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ILVA1\Downloads\"/>
    </mc:Choice>
  </mc:AlternateContent>
  <xr:revisionPtr revIDLastSave="0" documentId="13_ncr:1_{BFA9C2ED-7F62-44FC-865A-7854F09877B7}" xr6:coauthVersionLast="47" xr6:coauthVersionMax="47" xr10:uidLastSave="{00000000-0000-0000-0000-000000000000}"/>
  <bookViews>
    <workbookView xWindow="-108" yWindow="-108" windowWidth="23256" windowHeight="14016" activeTab="2" xr2:uid="{FBBCFF48-FA16-4253-ABC9-820D65F5B1B8}"/>
  </bookViews>
  <sheets>
    <sheet name="Instruções gerais" sheetId="2" r:id="rId1"/>
    <sheet name="Controle de despesas" sheetId="3" r:id="rId2"/>
    <sheet name="Reserva de emergênci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H20" i="1"/>
  <c r="G20" i="1"/>
  <c r="D14" i="1" l="1"/>
  <c r="C7" i="1"/>
  <c r="D10" i="3"/>
  <c r="E10" i="3" s="1"/>
  <c r="C14" i="3"/>
  <c r="D9" i="3"/>
  <c r="E9" i="3" s="1"/>
  <c r="D17" i="3"/>
  <c r="E17" i="3" s="1"/>
  <c r="C25" i="3"/>
  <c r="D33" i="3"/>
  <c r="E33" i="3" s="1"/>
  <c r="F33" i="3" s="1"/>
  <c r="G33" i="3" s="1"/>
  <c r="H33" i="3" s="1"/>
  <c r="I33" i="3" s="1"/>
  <c r="J33" i="3" s="1"/>
  <c r="K33" i="3" s="1"/>
  <c r="L33" i="3" s="1"/>
  <c r="M33" i="3" s="1"/>
  <c r="N33" i="3" s="1"/>
  <c r="D32" i="3"/>
  <c r="E32" i="3" s="1"/>
  <c r="F32" i="3" s="1"/>
  <c r="G32" i="3" s="1"/>
  <c r="H32" i="3" s="1"/>
  <c r="I32" i="3" s="1"/>
  <c r="J32" i="3" s="1"/>
  <c r="K32" i="3" s="1"/>
  <c r="L32" i="3" s="1"/>
  <c r="M32" i="3" s="1"/>
  <c r="N32" i="3" s="1"/>
  <c r="D31" i="3"/>
  <c r="E31" i="3" s="1"/>
  <c r="F31" i="3" s="1"/>
  <c r="G31" i="3" s="1"/>
  <c r="H31" i="3" s="1"/>
  <c r="I31" i="3" s="1"/>
  <c r="J31" i="3" s="1"/>
  <c r="K31" i="3" s="1"/>
  <c r="L31" i="3" s="1"/>
  <c r="M31" i="3" s="1"/>
  <c r="N31" i="3" s="1"/>
  <c r="D30" i="3"/>
  <c r="C11" i="3" l="1"/>
  <c r="C12" i="3" s="1"/>
  <c r="F10" i="3"/>
  <c r="G10" i="3" s="1"/>
  <c r="H10" i="3" s="1"/>
  <c r="I10" i="3" s="1"/>
  <c r="J10" i="3" s="1"/>
  <c r="K10" i="3" s="1"/>
  <c r="L10" i="3" s="1"/>
  <c r="M10" i="3" s="1"/>
  <c r="N10" i="3" s="1"/>
  <c r="O32" i="3"/>
  <c r="E30" i="3"/>
  <c r="F30" i="3" s="1"/>
  <c r="G30" i="3" s="1"/>
  <c r="H30" i="3" s="1"/>
  <c r="I30" i="3" s="1"/>
  <c r="J30" i="3" s="1"/>
  <c r="K30" i="3" s="1"/>
  <c r="L30" i="3" s="1"/>
  <c r="M30" i="3" s="1"/>
  <c r="N30" i="3" s="1"/>
  <c r="O33" i="3"/>
  <c r="O31" i="3"/>
  <c r="F9" i="3"/>
  <c r="F17" i="3"/>
  <c r="O10" i="3" l="1"/>
  <c r="O30" i="3"/>
  <c r="G9" i="3"/>
  <c r="G17" i="3"/>
  <c r="H9" i="3" l="1"/>
  <c r="H17" i="3"/>
  <c r="I9" i="3" l="1"/>
  <c r="I17" i="3"/>
  <c r="J9" i="3" l="1"/>
  <c r="J17" i="3"/>
  <c r="K9" i="3" l="1"/>
  <c r="K17" i="3"/>
  <c r="L9" i="3" l="1"/>
  <c r="L17" i="3"/>
  <c r="D23" i="3"/>
  <c r="D29" i="3"/>
  <c r="D28" i="3"/>
  <c r="D27" i="3"/>
  <c r="D26" i="3"/>
  <c r="D22" i="3"/>
  <c r="D21" i="3"/>
  <c r="D20" i="3"/>
  <c r="D19" i="3"/>
  <c r="D18" i="3"/>
  <c r="D16" i="3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D15" i="3"/>
  <c r="E15" i="3" s="1"/>
  <c r="D7" i="1"/>
  <c r="D8" i="1" s="1"/>
  <c r="I11" i="1"/>
  <c r="I10" i="1"/>
  <c r="I9" i="1"/>
  <c r="I8" i="1"/>
  <c r="E27" i="3" l="1"/>
  <c r="F27" i="3" s="1"/>
  <c r="G27" i="3" s="1"/>
  <c r="H27" i="3" s="1"/>
  <c r="I27" i="3" s="1"/>
  <c r="J27" i="3" s="1"/>
  <c r="K27" i="3" s="1"/>
  <c r="L27" i="3" s="1"/>
  <c r="M27" i="3" s="1"/>
  <c r="N27" i="3" s="1"/>
  <c r="F15" i="3"/>
  <c r="E29" i="3"/>
  <c r="F29" i="3" s="1"/>
  <c r="G29" i="3" s="1"/>
  <c r="H29" i="3" s="1"/>
  <c r="I29" i="3" s="1"/>
  <c r="J29" i="3" s="1"/>
  <c r="K29" i="3" s="1"/>
  <c r="L29" i="3" s="1"/>
  <c r="M29" i="3" s="1"/>
  <c r="N29" i="3" s="1"/>
  <c r="E19" i="3"/>
  <c r="F19" i="3" s="1"/>
  <c r="G19" i="3" s="1"/>
  <c r="H19" i="3" s="1"/>
  <c r="I19" i="3" s="1"/>
  <c r="J19" i="3" s="1"/>
  <c r="K19" i="3" s="1"/>
  <c r="L19" i="3" s="1"/>
  <c r="M19" i="3" s="1"/>
  <c r="N19" i="3" s="1"/>
  <c r="E21" i="3"/>
  <c r="F21" i="3" s="1"/>
  <c r="G21" i="3" s="1"/>
  <c r="H21" i="3" s="1"/>
  <c r="I21" i="3" s="1"/>
  <c r="J21" i="3" s="1"/>
  <c r="K21" i="3" s="1"/>
  <c r="L21" i="3" s="1"/>
  <c r="M21" i="3" s="1"/>
  <c r="N21" i="3" s="1"/>
  <c r="D14" i="3"/>
  <c r="E23" i="3"/>
  <c r="F23" i="3" s="1"/>
  <c r="G23" i="3" s="1"/>
  <c r="H23" i="3" s="1"/>
  <c r="I23" i="3" s="1"/>
  <c r="J23" i="3" s="1"/>
  <c r="K23" i="3" s="1"/>
  <c r="L23" i="3" s="1"/>
  <c r="M23" i="3" s="1"/>
  <c r="N23" i="3" s="1"/>
  <c r="E26" i="3"/>
  <c r="D25" i="3"/>
  <c r="O16" i="3"/>
  <c r="E22" i="3"/>
  <c r="F22" i="3" s="1"/>
  <c r="G22" i="3" s="1"/>
  <c r="H22" i="3" s="1"/>
  <c r="I22" i="3" s="1"/>
  <c r="J22" i="3" s="1"/>
  <c r="K22" i="3" s="1"/>
  <c r="L22" i="3" s="1"/>
  <c r="M22" i="3" s="1"/>
  <c r="N22" i="3" s="1"/>
  <c r="M9" i="3"/>
  <c r="E28" i="3"/>
  <c r="F28" i="3" s="1"/>
  <c r="G28" i="3" s="1"/>
  <c r="H28" i="3" s="1"/>
  <c r="I28" i="3" s="1"/>
  <c r="J28" i="3" s="1"/>
  <c r="K28" i="3" s="1"/>
  <c r="L28" i="3" s="1"/>
  <c r="M28" i="3" s="1"/>
  <c r="N28" i="3" s="1"/>
  <c r="E20" i="3"/>
  <c r="F20" i="3" s="1"/>
  <c r="G20" i="3" s="1"/>
  <c r="H20" i="3" s="1"/>
  <c r="I20" i="3" s="1"/>
  <c r="J20" i="3" s="1"/>
  <c r="K20" i="3" s="1"/>
  <c r="L20" i="3" s="1"/>
  <c r="M20" i="3" s="1"/>
  <c r="N20" i="3" s="1"/>
  <c r="E18" i="3"/>
  <c r="F18" i="3" s="1"/>
  <c r="G18" i="3" s="1"/>
  <c r="H18" i="3" s="1"/>
  <c r="I18" i="3" s="1"/>
  <c r="J18" i="3" s="1"/>
  <c r="K18" i="3" s="1"/>
  <c r="L18" i="3" s="1"/>
  <c r="M18" i="3" s="1"/>
  <c r="N18" i="3" s="1"/>
  <c r="M17" i="3"/>
  <c r="E179" i="1"/>
  <c r="E147" i="1"/>
  <c r="E109" i="1"/>
  <c r="E101" i="1"/>
  <c r="E76" i="1"/>
  <c r="E63" i="1"/>
  <c r="E26" i="1"/>
  <c r="E172" i="1"/>
  <c r="E135" i="1"/>
  <c r="E199" i="1"/>
  <c r="E59" i="1"/>
  <c r="E162" i="1"/>
  <c r="E51" i="1"/>
  <c r="E191" i="1"/>
  <c r="E159" i="1"/>
  <c r="E123" i="1"/>
  <c r="E90" i="1"/>
  <c r="E45" i="1"/>
  <c r="E133" i="1"/>
  <c r="E95" i="1"/>
  <c r="E187" i="1"/>
  <c r="E154" i="1"/>
  <c r="E122" i="1"/>
  <c r="E84" i="1"/>
  <c r="E37" i="1"/>
  <c r="E165" i="1"/>
  <c r="E98" i="1"/>
  <c r="E197" i="1"/>
  <c r="E127" i="1"/>
  <c r="E186" i="1"/>
  <c r="E148" i="1"/>
  <c r="E115" i="1"/>
  <c r="E83" i="1"/>
  <c r="E34" i="1"/>
  <c r="E173" i="1"/>
  <c r="E140" i="1"/>
  <c r="E108" i="1"/>
  <c r="E71" i="1"/>
  <c r="E20" i="1"/>
  <c r="E69" i="1"/>
  <c r="E58" i="1"/>
  <c r="E44" i="1"/>
  <c r="E31" i="1"/>
  <c r="E196" i="1"/>
  <c r="E171" i="1"/>
  <c r="E157" i="1"/>
  <c r="E146" i="1"/>
  <c r="E132" i="1"/>
  <c r="E119" i="1"/>
  <c r="E107" i="1"/>
  <c r="E93" i="1"/>
  <c r="E82" i="1"/>
  <c r="E68" i="1"/>
  <c r="E55" i="1"/>
  <c r="E43" i="1"/>
  <c r="E29" i="1"/>
  <c r="E195" i="1"/>
  <c r="E181" i="1"/>
  <c r="E170" i="1"/>
  <c r="E156" i="1"/>
  <c r="E143" i="1"/>
  <c r="E131" i="1"/>
  <c r="E117" i="1"/>
  <c r="E106" i="1"/>
  <c r="E92" i="1"/>
  <c r="E79" i="1"/>
  <c r="E67" i="1"/>
  <c r="E53" i="1"/>
  <c r="E42" i="1"/>
  <c r="E28" i="1"/>
  <c r="E183" i="1"/>
  <c r="E194" i="1"/>
  <c r="E180" i="1"/>
  <c r="E167" i="1"/>
  <c r="E155" i="1"/>
  <c r="E141" i="1"/>
  <c r="E130" i="1"/>
  <c r="E116" i="1"/>
  <c r="E103" i="1"/>
  <c r="E91" i="1"/>
  <c r="E77" i="1"/>
  <c r="E66" i="1"/>
  <c r="E52" i="1"/>
  <c r="E39" i="1"/>
  <c r="E27" i="1"/>
  <c r="E189" i="1"/>
  <c r="E178" i="1"/>
  <c r="E164" i="1"/>
  <c r="E151" i="1"/>
  <c r="E139" i="1"/>
  <c r="E125" i="1"/>
  <c r="E114" i="1"/>
  <c r="E100" i="1"/>
  <c r="E87" i="1"/>
  <c r="E75" i="1"/>
  <c r="E61" i="1"/>
  <c r="E50" i="1"/>
  <c r="E36" i="1"/>
  <c r="E23" i="1"/>
  <c r="E188" i="1"/>
  <c r="E175" i="1"/>
  <c r="E163" i="1"/>
  <c r="E149" i="1"/>
  <c r="E138" i="1"/>
  <c r="E124" i="1"/>
  <c r="E111" i="1"/>
  <c r="E99" i="1"/>
  <c r="E85" i="1"/>
  <c r="E74" i="1"/>
  <c r="E60" i="1"/>
  <c r="E47" i="1"/>
  <c r="E35" i="1"/>
  <c r="E2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92" i="1"/>
  <c r="E184" i="1"/>
  <c r="E176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64" i="1"/>
  <c r="E56" i="1"/>
  <c r="E48" i="1"/>
  <c r="E40" i="1"/>
  <c r="E32" i="1"/>
  <c r="E24" i="1"/>
  <c r="E198" i="1"/>
  <c r="E190" i="1"/>
  <c r="E182" i="1"/>
  <c r="E174" i="1"/>
  <c r="E166" i="1"/>
  <c r="E158" i="1"/>
  <c r="E150" i="1"/>
  <c r="E142" i="1"/>
  <c r="E134" i="1"/>
  <c r="E126" i="1"/>
  <c r="E118" i="1"/>
  <c r="E110" i="1"/>
  <c r="E102" i="1"/>
  <c r="E94" i="1"/>
  <c r="E86" i="1"/>
  <c r="E78" i="1"/>
  <c r="E70" i="1"/>
  <c r="E62" i="1"/>
  <c r="E54" i="1"/>
  <c r="E46" i="1"/>
  <c r="E38" i="1"/>
  <c r="E30" i="1"/>
  <c r="E22" i="1"/>
  <c r="D11" i="3" l="1"/>
  <c r="D12" i="3" s="1"/>
  <c r="O27" i="3"/>
  <c r="O23" i="3"/>
  <c r="E14" i="3"/>
  <c r="G15" i="3"/>
  <c r="F14" i="3"/>
  <c r="N9" i="3"/>
  <c r="O29" i="3"/>
  <c r="O18" i="3"/>
  <c r="O22" i="3"/>
  <c r="O21" i="3"/>
  <c r="O19" i="3"/>
  <c r="O28" i="3"/>
  <c r="F26" i="3"/>
  <c r="E25" i="3"/>
  <c r="O20" i="3"/>
  <c r="N17" i="3"/>
  <c r="G8" i="1"/>
  <c r="E11" i="3" l="1"/>
  <c r="E12" i="3" s="1"/>
  <c r="O9" i="3"/>
  <c r="H15" i="3"/>
  <c r="G14" i="3"/>
  <c r="G26" i="3"/>
  <c r="F25" i="3"/>
  <c r="F11" i="3" s="1"/>
  <c r="F12" i="3" s="1"/>
  <c r="O17" i="3"/>
  <c r="I15" i="3" l="1"/>
  <c r="H14" i="3"/>
  <c r="H26" i="3"/>
  <c r="G25" i="3"/>
  <c r="G11" i="3" s="1"/>
  <c r="G12" i="3" s="1"/>
  <c r="B120" i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D13" i="1"/>
  <c r="D11" i="1"/>
  <c r="F16" i="1" l="1"/>
  <c r="J15" i="3"/>
  <c r="I14" i="3"/>
  <c r="I26" i="3"/>
  <c r="H25" i="3"/>
  <c r="H11" i="3" s="1"/>
  <c r="H12" i="3" s="1"/>
  <c r="F136" i="1"/>
  <c r="F170" i="1"/>
  <c r="F125" i="1"/>
  <c r="F137" i="1"/>
  <c r="F129" i="1"/>
  <c r="F143" i="1"/>
  <c r="F168" i="1"/>
  <c r="F160" i="1"/>
  <c r="F153" i="1"/>
  <c r="F179" i="1"/>
  <c r="F171" i="1"/>
  <c r="F193" i="1"/>
  <c r="F186" i="1"/>
  <c r="F159" i="1"/>
  <c r="F185" i="1"/>
  <c r="F135" i="1"/>
  <c r="F158" i="1"/>
  <c r="F122" i="1"/>
  <c r="F134" i="1"/>
  <c r="F148" i="1"/>
  <c r="F140" i="1"/>
  <c r="F165" i="1"/>
  <c r="F150" i="1"/>
  <c r="F176" i="1"/>
  <c r="F198" i="1"/>
  <c r="F190" i="1"/>
  <c r="F183" i="1"/>
  <c r="F178" i="1"/>
  <c r="F123" i="1"/>
  <c r="F166" i="1"/>
  <c r="F177" i="1"/>
  <c r="F184" i="1"/>
  <c r="F121" i="1"/>
  <c r="F164" i="1"/>
  <c r="F175" i="1"/>
  <c r="F147" i="1"/>
  <c r="F157" i="1"/>
  <c r="F128" i="1"/>
  <c r="F120" i="1"/>
  <c r="F132" i="1"/>
  <c r="F146" i="1"/>
  <c r="F163" i="1"/>
  <c r="F156" i="1"/>
  <c r="F174" i="1"/>
  <c r="F196" i="1"/>
  <c r="F189" i="1"/>
  <c r="F182" i="1"/>
  <c r="F199" i="1"/>
  <c r="F142" i="1"/>
  <c r="F152" i="1"/>
  <c r="F141" i="1"/>
  <c r="F191" i="1"/>
  <c r="F133" i="1"/>
  <c r="F139" i="1"/>
  <c r="F149" i="1"/>
  <c r="F197" i="1"/>
  <c r="F127" i="1"/>
  <c r="F131" i="1"/>
  <c r="F145" i="1"/>
  <c r="F162" i="1"/>
  <c r="F155" i="1"/>
  <c r="F181" i="1"/>
  <c r="F173" i="1"/>
  <c r="F195" i="1"/>
  <c r="F188" i="1"/>
  <c r="F124" i="1"/>
  <c r="F167" i="1"/>
  <c r="F192" i="1"/>
  <c r="F151" i="1"/>
  <c r="F126" i="1"/>
  <c r="F138" i="1"/>
  <c r="F130" i="1"/>
  <c r="F144" i="1"/>
  <c r="F169" i="1"/>
  <c r="F161" i="1"/>
  <c r="F154" i="1"/>
  <c r="F180" i="1"/>
  <c r="F172" i="1"/>
  <c r="F194" i="1"/>
  <c r="F187" i="1"/>
  <c r="F21" i="1"/>
  <c r="F29" i="1"/>
  <c r="F37" i="1"/>
  <c r="F45" i="1"/>
  <c r="F53" i="1"/>
  <c r="F61" i="1"/>
  <c r="F69" i="1"/>
  <c r="F77" i="1"/>
  <c r="F85" i="1"/>
  <c r="F93" i="1"/>
  <c r="F101" i="1"/>
  <c r="F109" i="1"/>
  <c r="F117" i="1"/>
  <c r="F115" i="1"/>
  <c r="F22" i="1"/>
  <c r="F30" i="1"/>
  <c r="F38" i="1"/>
  <c r="F46" i="1"/>
  <c r="F54" i="1"/>
  <c r="F62" i="1"/>
  <c r="F70" i="1"/>
  <c r="F78" i="1"/>
  <c r="F86" i="1"/>
  <c r="F94" i="1"/>
  <c r="F102" i="1"/>
  <c r="F110" i="1"/>
  <c r="F118" i="1"/>
  <c r="F51" i="1"/>
  <c r="F23" i="1"/>
  <c r="F31" i="1"/>
  <c r="F39" i="1"/>
  <c r="F47" i="1"/>
  <c r="F55" i="1"/>
  <c r="F63" i="1"/>
  <c r="F71" i="1"/>
  <c r="F79" i="1"/>
  <c r="F87" i="1"/>
  <c r="F95" i="1"/>
  <c r="F103" i="1"/>
  <c r="F111" i="1"/>
  <c r="F119" i="1"/>
  <c r="F75" i="1"/>
  <c r="F24" i="1"/>
  <c r="F32" i="1"/>
  <c r="F40" i="1"/>
  <c r="F48" i="1"/>
  <c r="F56" i="1"/>
  <c r="F64" i="1"/>
  <c r="F72" i="1"/>
  <c r="F80" i="1"/>
  <c r="F88" i="1"/>
  <c r="F96" i="1"/>
  <c r="F104" i="1"/>
  <c r="F112" i="1"/>
  <c r="F20" i="1"/>
  <c r="I20" i="1" s="1"/>
  <c r="F67" i="1"/>
  <c r="F25" i="1"/>
  <c r="F33" i="1"/>
  <c r="F41" i="1"/>
  <c r="F49" i="1"/>
  <c r="F57" i="1"/>
  <c r="F65" i="1"/>
  <c r="F73" i="1"/>
  <c r="F81" i="1"/>
  <c r="F89" i="1"/>
  <c r="F97" i="1"/>
  <c r="F105" i="1"/>
  <c r="F113" i="1"/>
  <c r="F35" i="1"/>
  <c r="F83" i="1"/>
  <c r="F99" i="1"/>
  <c r="F26" i="1"/>
  <c r="F34" i="1"/>
  <c r="F42" i="1"/>
  <c r="F50" i="1"/>
  <c r="F58" i="1"/>
  <c r="F66" i="1"/>
  <c r="F74" i="1"/>
  <c r="F82" i="1"/>
  <c r="F90" i="1"/>
  <c r="F98" i="1"/>
  <c r="F106" i="1"/>
  <c r="F114" i="1"/>
  <c r="F27" i="1"/>
  <c r="F28" i="1"/>
  <c r="F36" i="1"/>
  <c r="F44" i="1"/>
  <c r="F52" i="1"/>
  <c r="F60" i="1"/>
  <c r="F68" i="1"/>
  <c r="F76" i="1"/>
  <c r="F84" i="1"/>
  <c r="F92" i="1"/>
  <c r="F100" i="1"/>
  <c r="F108" i="1"/>
  <c r="F116" i="1"/>
  <c r="F43" i="1"/>
  <c r="F59" i="1"/>
  <c r="F91" i="1"/>
  <c r="F107" i="1"/>
  <c r="J26" i="3" l="1"/>
  <c r="I25" i="3"/>
  <c r="I11" i="3" s="1"/>
  <c r="I12" i="3" s="1"/>
  <c r="K15" i="3"/>
  <c r="J14" i="3"/>
  <c r="G21" i="1"/>
  <c r="H21" i="1" s="1"/>
  <c r="L15" i="3" l="1"/>
  <c r="K14" i="3"/>
  <c r="K26" i="3"/>
  <c r="J25" i="3"/>
  <c r="J11" i="3" s="1"/>
  <c r="J12" i="3" s="1"/>
  <c r="G22" i="1"/>
  <c r="H22" i="1" l="1"/>
  <c r="D23" i="1"/>
  <c r="L26" i="3"/>
  <c r="K25" i="3"/>
  <c r="K11" i="3" s="1"/>
  <c r="K12" i="3" s="1"/>
  <c r="M15" i="3"/>
  <c r="L14" i="3"/>
  <c r="I21" i="1"/>
  <c r="G23" i="1"/>
  <c r="H23" i="1" l="1"/>
  <c r="D24" i="1"/>
  <c r="N15" i="3"/>
  <c r="M14" i="3"/>
  <c r="M26" i="3"/>
  <c r="L25" i="3"/>
  <c r="L11" i="3" s="1"/>
  <c r="L12" i="3" s="1"/>
  <c r="I22" i="1"/>
  <c r="G24" i="1"/>
  <c r="H24" i="1" l="1"/>
  <c r="D25" i="1"/>
  <c r="N26" i="3"/>
  <c r="M25" i="3"/>
  <c r="M11" i="3" s="1"/>
  <c r="M12" i="3" s="1"/>
  <c r="N14" i="3"/>
  <c r="O15" i="3"/>
  <c r="I23" i="1"/>
  <c r="G25" i="1"/>
  <c r="H25" i="1" l="1"/>
  <c r="D26" i="1"/>
  <c r="N25" i="3"/>
  <c r="O25" i="3" s="1"/>
  <c r="O26" i="3"/>
  <c r="I24" i="1"/>
  <c r="G26" i="1"/>
  <c r="H26" i="1" l="1"/>
  <c r="D27" i="1"/>
  <c r="N11" i="3"/>
  <c r="N12" i="3" s="1"/>
  <c r="I25" i="1"/>
  <c r="G27" i="1"/>
  <c r="H27" i="1" l="1"/>
  <c r="D28" i="1"/>
  <c r="I26" i="1"/>
  <c r="G28" i="1"/>
  <c r="H28" i="1" l="1"/>
  <c r="D29" i="1"/>
  <c r="I27" i="1"/>
  <c r="G29" i="1"/>
  <c r="H29" i="1" l="1"/>
  <c r="D30" i="1"/>
  <c r="I28" i="1"/>
  <c r="G30" i="1"/>
  <c r="H30" i="1" l="1"/>
  <c r="D31" i="1"/>
  <c r="I29" i="1"/>
  <c r="G31" i="1"/>
  <c r="H31" i="1" l="1"/>
  <c r="D32" i="1"/>
  <c r="I30" i="1"/>
  <c r="G32" i="1"/>
  <c r="H32" i="1" l="1"/>
  <c r="D33" i="1"/>
  <c r="I31" i="1"/>
  <c r="G33" i="1"/>
  <c r="H33" i="1" l="1"/>
  <c r="D34" i="1"/>
  <c r="I32" i="1"/>
  <c r="G34" i="1"/>
  <c r="H34" i="1" l="1"/>
  <c r="D35" i="1"/>
  <c r="I33" i="1"/>
  <c r="G35" i="1"/>
  <c r="H35" i="1" l="1"/>
  <c r="D36" i="1"/>
  <c r="I34" i="1"/>
  <c r="G36" i="1"/>
  <c r="H36" i="1" l="1"/>
  <c r="D37" i="1"/>
  <c r="I35" i="1"/>
  <c r="G37" i="1"/>
  <c r="H37" i="1" l="1"/>
  <c r="D38" i="1"/>
  <c r="I36" i="1"/>
  <c r="G38" i="1"/>
  <c r="H38" i="1" l="1"/>
  <c r="D39" i="1"/>
  <c r="I37" i="1"/>
  <c r="G39" i="1"/>
  <c r="H39" i="1" l="1"/>
  <c r="D40" i="1"/>
  <c r="I38" i="1"/>
  <c r="G40" i="1"/>
  <c r="H40" i="1" l="1"/>
  <c r="D41" i="1"/>
  <c r="I39" i="1"/>
  <c r="G41" i="1"/>
  <c r="H41" i="1" l="1"/>
  <c r="D42" i="1"/>
  <c r="I40" i="1"/>
  <c r="G42" i="1"/>
  <c r="H42" i="1" l="1"/>
  <c r="D43" i="1"/>
  <c r="I41" i="1"/>
  <c r="G43" i="1"/>
  <c r="H43" i="1" l="1"/>
  <c r="D44" i="1"/>
  <c r="I42" i="1"/>
  <c r="G44" i="1"/>
  <c r="H44" i="1" l="1"/>
  <c r="D45" i="1"/>
  <c r="I43" i="1"/>
  <c r="G45" i="1"/>
  <c r="H45" i="1" l="1"/>
  <c r="D46" i="1"/>
  <c r="I44" i="1"/>
  <c r="G46" i="1"/>
  <c r="H46" i="1" l="1"/>
  <c r="D47" i="1"/>
  <c r="I45" i="1"/>
  <c r="G47" i="1"/>
  <c r="H47" i="1" l="1"/>
  <c r="D48" i="1"/>
  <c r="I46" i="1"/>
  <c r="G48" i="1"/>
  <c r="H48" i="1" l="1"/>
  <c r="D49" i="1"/>
  <c r="I47" i="1"/>
  <c r="G49" i="1"/>
  <c r="H49" i="1" l="1"/>
  <c r="D50" i="1"/>
  <c r="I48" i="1"/>
  <c r="G50" i="1"/>
  <c r="H50" i="1" l="1"/>
  <c r="D51" i="1"/>
  <c r="I49" i="1"/>
  <c r="G51" i="1"/>
  <c r="H51" i="1" l="1"/>
  <c r="D52" i="1"/>
  <c r="I50" i="1"/>
  <c r="G52" i="1"/>
  <c r="H52" i="1" l="1"/>
  <c r="D53" i="1"/>
  <c r="I51" i="1"/>
  <c r="G53" i="1"/>
  <c r="H53" i="1" l="1"/>
  <c r="D54" i="1"/>
  <c r="I52" i="1"/>
  <c r="G54" i="1"/>
  <c r="H54" i="1" l="1"/>
  <c r="D55" i="1"/>
  <c r="I53" i="1"/>
  <c r="G55" i="1"/>
  <c r="H55" i="1" l="1"/>
  <c r="D56" i="1"/>
  <c r="I54" i="1"/>
  <c r="G56" i="1"/>
  <c r="H56" i="1" l="1"/>
  <c r="D57" i="1"/>
  <c r="I55" i="1"/>
  <c r="G57" i="1"/>
  <c r="H57" i="1" l="1"/>
  <c r="D58" i="1"/>
  <c r="I56" i="1"/>
  <c r="G58" i="1"/>
  <c r="H58" i="1" l="1"/>
  <c r="D59" i="1"/>
  <c r="I57" i="1"/>
  <c r="G59" i="1"/>
  <c r="H59" i="1" l="1"/>
  <c r="D60" i="1"/>
  <c r="I58" i="1"/>
  <c r="G60" i="1"/>
  <c r="H60" i="1" l="1"/>
  <c r="D61" i="1"/>
  <c r="I59" i="1"/>
  <c r="G61" i="1" l="1"/>
  <c r="I60" i="1"/>
  <c r="H61" i="1" l="1"/>
  <c r="D62" i="1"/>
  <c r="G62" i="1"/>
  <c r="I61" i="1"/>
  <c r="H62" i="1" l="1"/>
  <c r="D63" i="1"/>
  <c r="G63" i="1"/>
  <c r="I62" i="1"/>
  <c r="H63" i="1" l="1"/>
  <c r="D64" i="1"/>
  <c r="I63" i="1"/>
  <c r="G64" i="1"/>
  <c r="H64" i="1" l="1"/>
  <c r="D65" i="1"/>
  <c r="G65" i="1"/>
  <c r="I64" i="1"/>
  <c r="H65" i="1" l="1"/>
  <c r="D66" i="1"/>
  <c r="G66" i="1"/>
  <c r="I65" i="1"/>
  <c r="H66" i="1" l="1"/>
  <c r="D67" i="1"/>
  <c r="G67" i="1" s="1"/>
  <c r="I66" i="1"/>
  <c r="H67" i="1" l="1"/>
  <c r="D68" i="1"/>
  <c r="G68" i="1"/>
  <c r="I67" i="1"/>
  <c r="H68" i="1" l="1"/>
  <c r="D69" i="1"/>
  <c r="G69" i="1"/>
  <c r="I68" i="1"/>
  <c r="H69" i="1" l="1"/>
  <c r="D70" i="1"/>
  <c r="G70" i="1"/>
  <c r="I69" i="1"/>
  <c r="H70" i="1" l="1"/>
  <c r="D71" i="1"/>
  <c r="G71" i="1" s="1"/>
  <c r="I70" i="1"/>
  <c r="H71" i="1" l="1"/>
  <c r="D72" i="1"/>
  <c r="G72" i="1"/>
  <c r="I71" i="1"/>
  <c r="H72" i="1" l="1"/>
  <c r="D73" i="1"/>
  <c r="G73" i="1"/>
  <c r="I72" i="1"/>
  <c r="H73" i="1" l="1"/>
  <c r="D74" i="1"/>
  <c r="G74" i="1" s="1"/>
  <c r="I73" i="1"/>
  <c r="H74" i="1" l="1"/>
  <c r="D75" i="1"/>
  <c r="G75" i="1"/>
  <c r="I74" i="1"/>
  <c r="H75" i="1" l="1"/>
  <c r="D76" i="1"/>
  <c r="G76" i="1"/>
  <c r="I75" i="1"/>
  <c r="H76" i="1" l="1"/>
  <c r="D77" i="1"/>
  <c r="G77" i="1" s="1"/>
  <c r="I76" i="1"/>
  <c r="H77" i="1" l="1"/>
  <c r="D78" i="1"/>
  <c r="G78" i="1"/>
  <c r="I77" i="1"/>
  <c r="H78" i="1" l="1"/>
  <c r="D79" i="1"/>
  <c r="G79" i="1" s="1"/>
  <c r="I78" i="1"/>
  <c r="H79" i="1" l="1"/>
  <c r="D80" i="1"/>
  <c r="G80" i="1"/>
  <c r="I79" i="1"/>
  <c r="H80" i="1" l="1"/>
  <c r="D81" i="1"/>
  <c r="G81" i="1"/>
  <c r="I80" i="1"/>
  <c r="H81" i="1" l="1"/>
  <c r="D82" i="1"/>
  <c r="G82" i="1"/>
  <c r="I81" i="1"/>
  <c r="H82" i="1" l="1"/>
  <c r="D83" i="1"/>
  <c r="G83" i="1"/>
  <c r="I82" i="1"/>
  <c r="H83" i="1" l="1"/>
  <c r="D84" i="1"/>
  <c r="G84" i="1"/>
  <c r="I83" i="1"/>
  <c r="H84" i="1" l="1"/>
  <c r="D85" i="1"/>
  <c r="G85" i="1"/>
  <c r="I84" i="1"/>
  <c r="H85" i="1" l="1"/>
  <c r="D86" i="1"/>
  <c r="G86" i="1"/>
  <c r="I85" i="1"/>
  <c r="H86" i="1" l="1"/>
  <c r="D87" i="1"/>
  <c r="G87" i="1"/>
  <c r="I86" i="1"/>
  <c r="H87" i="1" l="1"/>
  <c r="D88" i="1"/>
  <c r="G88" i="1"/>
  <c r="I87" i="1"/>
  <c r="H88" i="1" l="1"/>
  <c r="D89" i="1"/>
  <c r="G89" i="1"/>
  <c r="I88" i="1"/>
  <c r="H89" i="1" l="1"/>
  <c r="D90" i="1"/>
  <c r="G90" i="1"/>
  <c r="I89" i="1"/>
  <c r="H90" i="1" l="1"/>
  <c r="D91" i="1"/>
  <c r="G91" i="1"/>
  <c r="I90" i="1"/>
  <c r="H91" i="1" l="1"/>
  <c r="D92" i="1"/>
  <c r="G92" i="1"/>
  <c r="I91" i="1"/>
  <c r="H92" i="1" l="1"/>
  <c r="D93" i="1"/>
  <c r="G93" i="1"/>
  <c r="I92" i="1"/>
  <c r="H93" i="1" l="1"/>
  <c r="D94" i="1"/>
  <c r="G94" i="1"/>
  <c r="I93" i="1"/>
  <c r="H94" i="1" l="1"/>
  <c r="D95" i="1"/>
  <c r="G95" i="1"/>
  <c r="I94" i="1"/>
  <c r="H95" i="1" l="1"/>
  <c r="D96" i="1"/>
  <c r="G96" i="1"/>
  <c r="I95" i="1"/>
  <c r="H96" i="1" l="1"/>
  <c r="D97" i="1"/>
  <c r="G97" i="1"/>
  <c r="I96" i="1"/>
  <c r="H97" i="1" l="1"/>
  <c r="D98" i="1"/>
  <c r="G98" i="1"/>
  <c r="I97" i="1"/>
  <c r="H98" i="1" l="1"/>
  <c r="D99" i="1"/>
  <c r="G99" i="1"/>
  <c r="I98" i="1"/>
  <c r="H99" i="1" l="1"/>
  <c r="D100" i="1"/>
  <c r="G100" i="1"/>
  <c r="I99" i="1"/>
  <c r="H100" i="1" l="1"/>
  <c r="D101" i="1"/>
  <c r="G101" i="1"/>
  <c r="I100" i="1"/>
  <c r="H101" i="1" l="1"/>
  <c r="D102" i="1"/>
  <c r="G102" i="1"/>
  <c r="I101" i="1"/>
  <c r="H102" i="1" l="1"/>
  <c r="D103" i="1"/>
  <c r="G103" i="1"/>
  <c r="I102" i="1"/>
  <c r="H103" i="1" l="1"/>
  <c r="D104" i="1"/>
  <c r="G104" i="1"/>
  <c r="I103" i="1"/>
  <c r="H104" i="1" l="1"/>
  <c r="D105" i="1"/>
  <c r="G105" i="1"/>
  <c r="I104" i="1"/>
  <c r="H105" i="1" l="1"/>
  <c r="D106" i="1"/>
  <c r="G106" i="1"/>
  <c r="I105" i="1"/>
  <c r="H106" i="1" l="1"/>
  <c r="D107" i="1"/>
  <c r="G107" i="1"/>
  <c r="I106" i="1"/>
  <c r="H107" i="1" l="1"/>
  <c r="D108" i="1"/>
  <c r="G108" i="1"/>
  <c r="I107" i="1"/>
  <c r="H108" i="1" l="1"/>
  <c r="D109" i="1"/>
  <c r="G109" i="1"/>
  <c r="I108" i="1"/>
  <c r="H109" i="1" l="1"/>
  <c r="D110" i="1"/>
  <c r="G110" i="1"/>
  <c r="I109" i="1"/>
  <c r="H110" i="1" l="1"/>
  <c r="D111" i="1"/>
  <c r="G111" i="1"/>
  <c r="I110" i="1"/>
  <c r="H111" i="1" l="1"/>
  <c r="D112" i="1"/>
  <c r="G112" i="1"/>
  <c r="I111" i="1"/>
  <c r="H112" i="1" l="1"/>
  <c r="D113" i="1"/>
  <c r="G113" i="1"/>
  <c r="I112" i="1"/>
  <c r="H113" i="1" l="1"/>
  <c r="D114" i="1"/>
  <c r="G114" i="1"/>
  <c r="I113" i="1"/>
  <c r="H114" i="1" l="1"/>
  <c r="D115" i="1"/>
  <c r="G115" i="1"/>
  <c r="I114" i="1"/>
  <c r="H115" i="1" l="1"/>
  <c r="D116" i="1"/>
  <c r="G116" i="1"/>
  <c r="I115" i="1"/>
  <c r="H116" i="1" l="1"/>
  <c r="D117" i="1"/>
  <c r="G117" i="1"/>
  <c r="I116" i="1"/>
  <c r="H117" i="1" l="1"/>
  <c r="D118" i="1"/>
  <c r="G118" i="1"/>
  <c r="I117" i="1"/>
  <c r="H118" i="1" l="1"/>
  <c r="D119" i="1"/>
  <c r="G119" i="1"/>
  <c r="I118" i="1"/>
  <c r="H119" i="1" l="1"/>
  <c r="D120" i="1"/>
  <c r="I119" i="1"/>
  <c r="G120" i="1"/>
  <c r="H120" i="1" l="1"/>
  <c r="D121" i="1"/>
  <c r="I120" i="1"/>
  <c r="G121" i="1"/>
  <c r="H121" i="1" l="1"/>
  <c r="D122" i="1"/>
  <c r="I121" i="1"/>
  <c r="G122" i="1"/>
  <c r="H122" i="1" l="1"/>
  <c r="D123" i="1"/>
  <c r="I122" i="1"/>
  <c r="G123" i="1" l="1"/>
  <c r="H123" i="1" l="1"/>
  <c r="D124" i="1"/>
  <c r="G124" i="1"/>
  <c r="I123" i="1"/>
  <c r="H124" i="1" l="1"/>
  <c r="D125" i="1"/>
  <c r="G125" i="1"/>
  <c r="I124" i="1"/>
  <c r="H125" i="1" l="1"/>
  <c r="D126" i="1"/>
  <c r="G126" i="1"/>
  <c r="I125" i="1"/>
  <c r="H126" i="1" l="1"/>
  <c r="D127" i="1"/>
  <c r="G127" i="1"/>
  <c r="I126" i="1"/>
  <c r="H127" i="1" l="1"/>
  <c r="D128" i="1"/>
  <c r="G128" i="1"/>
  <c r="I127" i="1"/>
  <c r="H128" i="1" l="1"/>
  <c r="D129" i="1"/>
  <c r="G129" i="1"/>
  <c r="I128" i="1"/>
  <c r="H129" i="1" l="1"/>
  <c r="D130" i="1"/>
  <c r="G130" i="1"/>
  <c r="I129" i="1"/>
  <c r="H130" i="1" l="1"/>
  <c r="D131" i="1"/>
  <c r="G131" i="1"/>
  <c r="I130" i="1"/>
  <c r="H131" i="1" l="1"/>
  <c r="D132" i="1"/>
  <c r="G132" i="1"/>
  <c r="I131" i="1"/>
  <c r="H132" i="1" l="1"/>
  <c r="D133" i="1"/>
  <c r="G133" i="1"/>
  <c r="I132" i="1"/>
  <c r="H133" i="1" l="1"/>
  <c r="D134" i="1"/>
  <c r="G134" i="1"/>
  <c r="I133" i="1"/>
  <c r="H134" i="1" l="1"/>
  <c r="D135" i="1"/>
  <c r="G135" i="1"/>
  <c r="I134" i="1"/>
  <c r="H135" i="1" l="1"/>
  <c r="D136" i="1"/>
  <c r="G136" i="1"/>
  <c r="I135" i="1"/>
  <c r="H136" i="1" l="1"/>
  <c r="D137" i="1"/>
  <c r="G137" i="1"/>
  <c r="I136" i="1"/>
  <c r="H137" i="1" l="1"/>
  <c r="D138" i="1"/>
  <c r="G138" i="1"/>
  <c r="I137" i="1"/>
  <c r="H138" i="1" l="1"/>
  <c r="D139" i="1"/>
  <c r="G139" i="1"/>
  <c r="I138" i="1"/>
  <c r="H139" i="1" l="1"/>
  <c r="D140" i="1"/>
  <c r="G140" i="1"/>
  <c r="I139" i="1"/>
  <c r="H140" i="1" l="1"/>
  <c r="D141" i="1"/>
  <c r="G141" i="1"/>
  <c r="I140" i="1"/>
  <c r="H141" i="1" l="1"/>
  <c r="D142" i="1"/>
  <c r="G142" i="1"/>
  <c r="I141" i="1"/>
  <c r="H142" i="1" l="1"/>
  <c r="D143" i="1"/>
  <c r="G143" i="1"/>
  <c r="I142" i="1"/>
  <c r="H143" i="1" l="1"/>
  <c r="D144" i="1"/>
  <c r="G144" i="1"/>
  <c r="I143" i="1"/>
  <c r="H144" i="1" l="1"/>
  <c r="D145" i="1"/>
  <c r="G145" i="1"/>
  <c r="I144" i="1"/>
  <c r="H145" i="1" l="1"/>
  <c r="D146" i="1"/>
  <c r="G146" i="1"/>
  <c r="I145" i="1"/>
  <c r="H146" i="1" l="1"/>
  <c r="D147" i="1"/>
  <c r="G147" i="1"/>
  <c r="I146" i="1"/>
  <c r="H147" i="1" l="1"/>
  <c r="D148" i="1"/>
  <c r="G148" i="1"/>
  <c r="I147" i="1"/>
  <c r="H148" i="1" l="1"/>
  <c r="D149" i="1"/>
  <c r="G149" i="1"/>
  <c r="I148" i="1"/>
  <c r="H149" i="1" l="1"/>
  <c r="D150" i="1"/>
  <c r="G150" i="1"/>
  <c r="I149" i="1"/>
  <c r="H150" i="1" l="1"/>
  <c r="D151" i="1"/>
  <c r="G151" i="1"/>
  <c r="I150" i="1"/>
  <c r="H151" i="1" l="1"/>
  <c r="D152" i="1"/>
  <c r="G152" i="1"/>
  <c r="I151" i="1"/>
  <c r="H152" i="1" l="1"/>
  <c r="D153" i="1"/>
  <c r="G153" i="1"/>
  <c r="I152" i="1"/>
  <c r="H153" i="1" l="1"/>
  <c r="D154" i="1"/>
  <c r="G154" i="1"/>
  <c r="I153" i="1"/>
  <c r="H154" i="1" l="1"/>
  <c r="D155" i="1"/>
  <c r="G155" i="1"/>
  <c r="I154" i="1"/>
  <c r="H155" i="1" l="1"/>
  <c r="D156" i="1"/>
  <c r="G156" i="1"/>
  <c r="I155" i="1"/>
  <c r="H156" i="1" l="1"/>
  <c r="D157" i="1"/>
  <c r="G157" i="1" s="1"/>
  <c r="I156" i="1"/>
  <c r="H157" i="1" l="1"/>
  <c r="D158" i="1"/>
  <c r="G158" i="1"/>
  <c r="I157" i="1"/>
  <c r="H158" i="1" l="1"/>
  <c r="D159" i="1"/>
  <c r="G159" i="1"/>
  <c r="I158" i="1"/>
  <c r="H159" i="1" l="1"/>
  <c r="D160" i="1"/>
  <c r="G160" i="1"/>
  <c r="I159" i="1"/>
  <c r="H160" i="1" l="1"/>
  <c r="D161" i="1"/>
  <c r="G161" i="1"/>
  <c r="I160" i="1"/>
  <c r="H161" i="1" l="1"/>
  <c r="D162" i="1"/>
  <c r="G162" i="1"/>
  <c r="I161" i="1"/>
  <c r="H162" i="1" l="1"/>
  <c r="D163" i="1"/>
  <c r="G163" i="1"/>
  <c r="I162" i="1"/>
  <c r="H163" i="1" l="1"/>
  <c r="D164" i="1"/>
  <c r="G164" i="1"/>
  <c r="I163" i="1"/>
  <c r="H164" i="1" l="1"/>
  <c r="D165" i="1"/>
  <c r="G165" i="1"/>
  <c r="I164" i="1"/>
  <c r="H165" i="1" l="1"/>
  <c r="D166" i="1"/>
  <c r="G166" i="1"/>
  <c r="I165" i="1"/>
  <c r="H166" i="1" l="1"/>
  <c r="D167" i="1"/>
  <c r="G167" i="1"/>
  <c r="I166" i="1"/>
  <c r="H167" i="1" l="1"/>
  <c r="D168" i="1"/>
  <c r="G168" i="1"/>
  <c r="I167" i="1"/>
  <c r="H168" i="1" l="1"/>
  <c r="D169" i="1"/>
  <c r="G169" i="1"/>
  <c r="I168" i="1"/>
  <c r="H169" i="1" l="1"/>
  <c r="D170" i="1"/>
  <c r="G170" i="1"/>
  <c r="I169" i="1"/>
  <c r="H170" i="1" l="1"/>
  <c r="D171" i="1"/>
  <c r="G171" i="1"/>
  <c r="I170" i="1"/>
  <c r="H171" i="1" l="1"/>
  <c r="D172" i="1"/>
  <c r="G172" i="1"/>
  <c r="I171" i="1"/>
  <c r="H172" i="1" l="1"/>
  <c r="D173" i="1"/>
  <c r="G173" i="1" s="1"/>
  <c r="I172" i="1"/>
  <c r="H173" i="1" l="1"/>
  <c r="D174" i="1"/>
  <c r="G174" i="1"/>
  <c r="I173" i="1"/>
  <c r="H174" i="1" l="1"/>
  <c r="D175" i="1"/>
  <c r="G175" i="1"/>
  <c r="I174" i="1"/>
  <c r="H175" i="1" l="1"/>
  <c r="D176" i="1"/>
  <c r="G176" i="1"/>
  <c r="I175" i="1"/>
  <c r="H176" i="1" l="1"/>
  <c r="D177" i="1"/>
  <c r="G177" i="1"/>
  <c r="I176" i="1"/>
  <c r="H177" i="1" l="1"/>
  <c r="D178" i="1"/>
  <c r="G178" i="1"/>
  <c r="I177" i="1"/>
  <c r="H178" i="1" l="1"/>
  <c r="D179" i="1"/>
  <c r="G179" i="1"/>
  <c r="I178" i="1"/>
  <c r="H179" i="1" l="1"/>
  <c r="D180" i="1"/>
  <c r="G180" i="1"/>
  <c r="I179" i="1"/>
  <c r="H180" i="1" l="1"/>
  <c r="D181" i="1"/>
  <c r="G181" i="1"/>
  <c r="I180" i="1"/>
  <c r="H181" i="1" l="1"/>
  <c r="D182" i="1"/>
  <c r="G182" i="1"/>
  <c r="I181" i="1"/>
  <c r="H182" i="1" l="1"/>
  <c r="D183" i="1"/>
  <c r="G183" i="1"/>
  <c r="I182" i="1"/>
  <c r="H183" i="1" l="1"/>
  <c r="D184" i="1"/>
  <c r="G184" i="1" s="1"/>
  <c r="I183" i="1"/>
  <c r="H184" i="1" l="1"/>
  <c r="D185" i="1"/>
  <c r="G185" i="1"/>
  <c r="I184" i="1"/>
  <c r="H185" i="1" l="1"/>
  <c r="D186" i="1"/>
  <c r="G186" i="1"/>
  <c r="I185" i="1"/>
  <c r="H186" i="1" l="1"/>
  <c r="D187" i="1"/>
  <c r="G187" i="1"/>
  <c r="I186" i="1"/>
  <c r="H187" i="1" l="1"/>
  <c r="D188" i="1"/>
  <c r="G188" i="1"/>
  <c r="I187" i="1"/>
  <c r="H188" i="1" l="1"/>
  <c r="D189" i="1"/>
  <c r="G189" i="1"/>
  <c r="I188" i="1"/>
  <c r="H189" i="1" l="1"/>
  <c r="D190" i="1"/>
  <c r="G190" i="1"/>
  <c r="I189" i="1"/>
  <c r="H190" i="1" l="1"/>
  <c r="D191" i="1"/>
  <c r="G191" i="1"/>
  <c r="I190" i="1"/>
  <c r="H191" i="1" l="1"/>
  <c r="D192" i="1"/>
  <c r="G192" i="1"/>
  <c r="I191" i="1"/>
  <c r="H192" i="1" l="1"/>
  <c r="D193" i="1"/>
  <c r="G193" i="1"/>
  <c r="I192" i="1"/>
  <c r="H193" i="1" l="1"/>
  <c r="D194" i="1"/>
  <c r="G194" i="1"/>
  <c r="I193" i="1"/>
  <c r="H194" i="1" l="1"/>
  <c r="D195" i="1"/>
  <c r="G195" i="1"/>
  <c r="I194" i="1"/>
  <c r="H195" i="1" l="1"/>
  <c r="D196" i="1"/>
  <c r="G196" i="1"/>
  <c r="I195" i="1"/>
  <c r="H196" i="1" l="1"/>
  <c r="D197" i="1"/>
  <c r="G197" i="1"/>
  <c r="I196" i="1"/>
  <c r="H197" i="1" l="1"/>
  <c r="D198" i="1"/>
  <c r="G198" i="1"/>
  <c r="I197" i="1"/>
  <c r="H198" i="1" l="1"/>
  <c r="D199" i="1"/>
  <c r="G199" i="1"/>
  <c r="H199" i="1" s="1"/>
  <c r="I198" i="1"/>
  <c r="I199" i="1" l="1"/>
  <c r="O14" i="3"/>
  <c r="O11" i="3" l="1"/>
  <c r="O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Mayara Sati Dantas Yamamoto</author>
  </authors>
  <commentList>
    <comment ref="C9" authorId="0" shapeId="0" xr:uid="{2B6B3841-2801-4062-AE04-DAB4556FED03}">
      <text>
        <r>
          <rPr>
            <sz val="9"/>
            <color indexed="81"/>
            <rFont val="Segoe UI"/>
            <family val="2"/>
          </rPr>
          <t>Preencha com o valor do seu salário líquido mensal. Se o valor recebido for fixo, as outras colunas vão replicar o mesmo valor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0" authorId="0" shapeId="0" xr:uid="{8798AAB9-BEF4-4367-892B-67D6A37B61A8}">
      <text>
        <r>
          <rPr>
            <sz val="9"/>
            <color indexed="81"/>
            <rFont val="Segoe UI"/>
            <family val="2"/>
          </rPr>
          <t>Se você possui uma segunda renda, como: PLR, bônus, outro salário insira este valor aqui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Mayara Sati Dantas Yamamoto</author>
    <author>Ted</author>
  </authors>
  <commentList>
    <comment ref="C7" authorId="0" shapeId="0" xr:uid="{2A2FBCC8-66EA-4356-9095-05DBD33CB3CC}">
      <text>
        <r>
          <rPr>
            <sz val="9"/>
            <color indexed="81"/>
            <rFont val="Segoe UI"/>
            <family val="2"/>
          </rPr>
          <t xml:space="preserve">Insira o valor % para o cálculo do seu aporte mensal. Por exemplo: 10% do meu salário. </t>
        </r>
      </text>
    </comment>
    <comment ref="H8" authorId="1" shapeId="0" xr:uid="{5699BDDD-0056-4789-8BE8-37FF871F3E4C}">
      <text>
        <r>
          <rPr>
            <sz val="9"/>
            <color indexed="81"/>
            <rFont val="Segoe UI"/>
            <family val="2"/>
          </rPr>
          <t>Essa taxa pode ser encontrada nos títulos pós-fixados dentro do site do Tesouro Direto na coluna "Rentabilidade Anual".</t>
        </r>
      </text>
    </comment>
    <comment ref="D10" authorId="0" shapeId="0" xr:uid="{91449495-5F60-4E69-ACB3-4F0A94CAC6C8}">
      <text>
        <r>
          <rPr>
            <sz val="9"/>
            <color indexed="81"/>
            <rFont val="Segoe UI"/>
            <family val="2"/>
          </rPr>
          <t>Insira a quantidade de meses que deseja ter de reserva de emergência</t>
        </r>
      </text>
    </comment>
    <comment ref="D20" authorId="0" shapeId="0" xr:uid="{BCFC6099-137C-4A06-B656-5F4820E8C5DD}">
      <text>
        <r>
          <rPr>
            <sz val="9"/>
            <color indexed="81"/>
            <rFont val="Segoe UI"/>
            <family val="2"/>
          </rPr>
          <t>Se você tiver um capital para iniciar sua reserva, insira este valor aqui.</t>
        </r>
      </text>
    </comment>
  </commentList>
</comments>
</file>

<file path=xl/sharedStrings.xml><?xml version="1.0" encoding="utf-8"?>
<sst xmlns="http://schemas.openxmlformats.org/spreadsheetml/2006/main" count="65" uniqueCount="63">
  <si>
    <t>MESES DE PROTEÇÃO</t>
  </si>
  <si>
    <t>Trend DI</t>
  </si>
  <si>
    <t>RENTABILIDADE MENSAL</t>
  </si>
  <si>
    <t>RENTABILIDADE ANUAL</t>
  </si>
  <si>
    <t>Tesouro Selic*</t>
  </si>
  <si>
    <t>Rentabilidade</t>
  </si>
  <si>
    <t>MÊS</t>
  </si>
  <si>
    <t>DETALHAMENTO MÊS A MÊS</t>
  </si>
  <si>
    <t>Planejamento de Reserva de Emergência</t>
  </si>
  <si>
    <t>Ágio</t>
  </si>
  <si>
    <t>Aluguel</t>
  </si>
  <si>
    <t>Condomínio</t>
  </si>
  <si>
    <t>Água</t>
  </si>
  <si>
    <t>Internet</t>
  </si>
  <si>
    <t>Celular</t>
  </si>
  <si>
    <t>Supermercado</t>
  </si>
  <si>
    <t>Faculdade</t>
  </si>
  <si>
    <t>Conta Remunerada</t>
  </si>
  <si>
    <t>CDB Liquidez Diária</t>
  </si>
  <si>
    <t>Insira a taxa Selic vigente:</t>
  </si>
  <si>
    <t>POSSÍVEIS INVESTIMENTOS PARA RESERVA DE EMERGÊNCIA</t>
  </si>
  <si>
    <t>ANO</t>
  </si>
  <si>
    <t>PROGRESSO DA META</t>
  </si>
  <si>
    <t>*Tesouro Selic tem a maior rentabilidade por conta do ágio, que só será real caso o título seja resgatado no seu vencimento.</t>
  </si>
  <si>
    <t>**Para a rentabilidade líquida, foi considerada a menor alíquota de IR que é de 15% (acima de 720 dias).</t>
  </si>
  <si>
    <t>RAZÃO DESPESA/SALÁRIO</t>
  </si>
  <si>
    <t>APORTE MENSAL R$</t>
  </si>
  <si>
    <t>DESPESA MENSAL R$</t>
  </si>
  <si>
    <t>VALOR TOTAL DA RESERVA DE EMERGÊNCIA</t>
  </si>
  <si>
    <t>Meu objetivo será concluído em:</t>
  </si>
  <si>
    <t>VALOR INICIAL R$</t>
  </si>
  <si>
    <t>VALOR FINAL R$</t>
  </si>
  <si>
    <t>RENDIMENTO MENSAL R$</t>
  </si>
  <si>
    <t>Rentabilidade líq. de impostos</t>
  </si>
  <si>
    <t>Investimento</t>
  </si>
  <si>
    <t>Energia elétrica</t>
  </si>
  <si>
    <t>Gás</t>
  </si>
  <si>
    <t>Escola</t>
  </si>
  <si>
    <t>Cursos</t>
  </si>
  <si>
    <t>Academia</t>
  </si>
  <si>
    <t>IPTU</t>
  </si>
  <si>
    <t>Convênio médico</t>
  </si>
  <si>
    <t>Seguro</t>
  </si>
  <si>
    <t>IPVA</t>
  </si>
  <si>
    <t>Lazer</t>
  </si>
  <si>
    <t>Gastos totais</t>
  </si>
  <si>
    <t>Trimestre 1</t>
  </si>
  <si>
    <t>Trimestre 4</t>
  </si>
  <si>
    <t>Trimestre 3</t>
  </si>
  <si>
    <t>Trimestre 2</t>
  </si>
  <si>
    <t>Mês:</t>
  </si>
  <si>
    <t>TOTAL ANO</t>
  </si>
  <si>
    <t>RENDA MENSAL R$</t>
  </si>
  <si>
    <t>Despesas fixas:</t>
  </si>
  <si>
    <t>Outras despesas:</t>
  </si>
  <si>
    <t>Saldo:</t>
  </si>
  <si>
    <t>Controle de Despesas 2024</t>
  </si>
  <si>
    <t>Renda 1 (Salário)</t>
  </si>
  <si>
    <t>RENDA MENSAL</t>
  </si>
  <si>
    <t>DESPESA MENSAL</t>
  </si>
  <si>
    <t>Planejamento para Reserva de Emergência</t>
  </si>
  <si>
    <t>Renda 2 (PLR)</t>
  </si>
  <si>
    <r>
      <t xml:space="preserve">A planilha foi criada com duas abas, a primeira para que você possa listar seus gastos mensais para fazer um acompanhamento anual do seu orçamento e a segunda para que você possa informar o valor do seu aporte mensal e acompanhar em quanto tempo sua reserva de
de emergência será concluída com sucesso.
Fique a vontade para realizar qualquer ajuste no layout ou nas fórmulas.
Preencha as células que estão em </t>
    </r>
    <r>
      <rPr>
        <b/>
        <u/>
        <sz val="11"/>
        <rFont val="Calibri"/>
        <family val="2"/>
        <scheme val="minor"/>
      </rPr>
      <t>amarelo.</t>
    </r>
    <r>
      <rPr>
        <sz val="11"/>
        <color theme="1"/>
        <rFont val="Calibri"/>
        <family val="2"/>
        <scheme val="minor"/>
      </rPr>
      <t xml:space="preserve">
Na aba "Controle de despesas" informe todos os seus gastos essenciais, você terá uma foto dos seus gastos e poderá realizar um controle melhor e até mesmo enxergar possíveis gargalos. Se desejar uma planilha mais detalhada recomendamos assistir a </t>
    </r>
    <r>
      <rPr>
        <b/>
        <u/>
        <sz val="11"/>
        <color theme="1"/>
        <rFont val="Calibri"/>
        <family val="2"/>
        <scheme val="minor"/>
      </rPr>
      <t xml:space="preserve">Finclass da Nath Arcuri - Organização financeira.
</t>
    </r>
    <r>
      <rPr>
        <sz val="11"/>
        <color theme="1"/>
        <rFont val="Calibri"/>
        <family val="2"/>
        <scheme val="minor"/>
      </rPr>
      <t xml:space="preserve">Já na aba "Reserva de emergência" você precisará informar o valor da sua renda e despesa mensal e o percentual do seu aporte mensal. O valor será calculado sobre o seu salário.
Exemplo:
Salário de R$1.000,00
% do aporte mensal: 10%
Valor do aporte: R$100,00
Já a célula "Razão despesa/salário" representa a proporção dos seus gastos em relação ao seu salário. É apenas um informativo para que você tenha ideia do quanto seus gastos representam. Quanto menor o % melhor.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</si>
</sst>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\ &quot;meses&quot;"/>
    <numFmt numFmtId="165" formatCode="0.000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2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9F7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A1E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0" fillId="4" borderId="14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8" fillId="0" borderId="0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right" vertical="center"/>
    </xf>
    <xf numFmtId="44" fontId="4" fillId="3" borderId="1" xfId="1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horizontal="center" vertical="center"/>
    </xf>
    <xf numFmtId="44" fontId="4" fillId="3" borderId="1" xfId="1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3" fillId="0" borderId="0" xfId="0" applyFont="1" applyAlignment="1">
      <alignment horizontal="left" vertical="center"/>
    </xf>
    <xf numFmtId="10" fontId="4" fillId="3" borderId="1" xfId="2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7" borderId="0" xfId="0" applyFill="1" applyAlignment="1">
      <alignment vertical="center"/>
    </xf>
    <xf numFmtId="0" fontId="2" fillId="7" borderId="0" xfId="0" applyFont="1" applyFill="1" applyBorder="1" applyAlignment="1">
      <alignment horizontal="center" vertical="center"/>
    </xf>
    <xf numFmtId="10" fontId="4" fillId="7" borderId="0" xfId="2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 wrapText="1"/>
    </xf>
    <xf numFmtId="10" fontId="0" fillId="0" borderId="0" xfId="0" applyNumberFormat="1" applyAlignment="1">
      <alignment vertical="center"/>
    </xf>
    <xf numFmtId="0" fontId="5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4" fontId="0" fillId="6" borderId="29" xfId="1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4" fontId="0" fillId="0" borderId="28" xfId="0" applyNumberFormat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7" fillId="7" borderId="5" xfId="0" applyFont="1" applyFill="1" applyBorder="1" applyAlignment="1">
      <alignment vertical="center"/>
    </xf>
    <xf numFmtId="0" fontId="5" fillId="2" borderId="35" xfId="0" applyFont="1" applyFill="1" applyBorder="1" applyAlignment="1">
      <alignment horizontal="center" vertical="center"/>
    </xf>
    <xf numFmtId="44" fontId="0" fillId="0" borderId="29" xfId="0" applyNumberFormat="1" applyBorder="1" applyAlignment="1">
      <alignment horizontal="center" vertical="center"/>
    </xf>
    <xf numFmtId="10" fontId="0" fillId="0" borderId="29" xfId="0" applyNumberFormat="1" applyBorder="1" applyAlignment="1">
      <alignment horizontal="center" vertical="center"/>
    </xf>
    <xf numFmtId="10" fontId="0" fillId="0" borderId="30" xfId="2" applyNumberFormat="1" applyFont="1" applyBorder="1" applyAlignment="1">
      <alignment horizontal="center" vertical="center"/>
    </xf>
    <xf numFmtId="10" fontId="0" fillId="0" borderId="28" xfId="0" applyNumberFormat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165" fontId="0" fillId="0" borderId="0" xfId="2" applyNumberFormat="1" applyFont="1" applyBorder="1" applyAlignment="1">
      <alignment horizontal="center" vertical="center"/>
    </xf>
    <xf numFmtId="165" fontId="0" fillId="0" borderId="26" xfId="2" applyNumberFormat="1" applyFont="1" applyBorder="1" applyAlignment="1">
      <alignment horizontal="center" vertical="center"/>
    </xf>
    <xf numFmtId="9" fontId="4" fillId="3" borderId="1" xfId="2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vertical="center"/>
    </xf>
    <xf numFmtId="17" fontId="16" fillId="2" borderId="41" xfId="0" applyNumberFormat="1" applyFont="1" applyFill="1" applyBorder="1" applyAlignment="1">
      <alignment horizontal="center" vertical="center"/>
    </xf>
    <xf numFmtId="17" fontId="16" fillId="2" borderId="40" xfId="0" applyNumberFormat="1" applyFont="1" applyFill="1" applyBorder="1" applyAlignment="1">
      <alignment horizontal="center" vertical="center"/>
    </xf>
    <xf numFmtId="17" fontId="16" fillId="2" borderId="42" xfId="0" applyNumberFormat="1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vertical="center"/>
    </xf>
    <xf numFmtId="164" fontId="13" fillId="0" borderId="0" xfId="0" applyNumberFormat="1" applyFont="1" applyFill="1" applyBorder="1" applyAlignment="1">
      <alignment vertical="center" wrapText="1"/>
    </xf>
    <xf numFmtId="10" fontId="0" fillId="8" borderId="20" xfId="0" applyNumberFormat="1" applyFill="1" applyBorder="1" applyAlignment="1">
      <alignment horizontal="center" vertical="center"/>
    </xf>
    <xf numFmtId="10" fontId="0" fillId="8" borderId="25" xfId="2" applyNumberFormat="1" applyFont="1" applyFill="1" applyBorder="1" applyAlignment="1">
      <alignment horizontal="center" vertical="center"/>
    </xf>
    <xf numFmtId="10" fontId="0" fillId="8" borderId="27" xfId="2" applyNumberFormat="1" applyFon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44" fontId="0" fillId="8" borderId="0" xfId="1" applyFont="1" applyFill="1" applyBorder="1" applyAlignment="1">
      <alignment horizontal="center" vertical="center"/>
    </xf>
    <xf numFmtId="44" fontId="0" fillId="8" borderId="4" xfId="1" applyFont="1" applyFill="1" applyBorder="1" applyAlignment="1">
      <alignment horizontal="center" vertical="center"/>
    </xf>
    <xf numFmtId="44" fontId="0" fillId="8" borderId="0" xfId="1" applyFont="1" applyFill="1" applyAlignment="1">
      <alignment horizontal="center" vertical="center"/>
    </xf>
    <xf numFmtId="44" fontId="0" fillId="8" borderId="3" xfId="1" applyFont="1" applyFill="1" applyBorder="1" applyAlignment="1">
      <alignment horizontal="center" vertical="center"/>
    </xf>
    <xf numFmtId="44" fontId="0" fillId="8" borderId="0" xfId="0" applyNumberFormat="1" applyFill="1" applyAlignment="1">
      <alignment horizontal="center" vertical="center"/>
    </xf>
    <xf numFmtId="44" fontId="0" fillId="8" borderId="6" xfId="0" applyNumberFormat="1" applyFill="1" applyBorder="1" applyAlignment="1">
      <alignment horizontal="center" vertical="center"/>
    </xf>
    <xf numFmtId="44" fontId="0" fillId="8" borderId="7" xfId="0" applyNumberFormat="1" applyFill="1" applyBorder="1" applyAlignment="1">
      <alignment horizontal="center" vertical="center"/>
    </xf>
    <xf numFmtId="44" fontId="0" fillId="8" borderId="5" xfId="0" applyNumberFormat="1" applyFill="1" applyBorder="1" applyAlignment="1">
      <alignment horizontal="center" vertical="center"/>
    </xf>
    <xf numFmtId="44" fontId="15" fillId="8" borderId="0" xfId="0" applyNumberFormat="1" applyFont="1" applyFill="1" applyBorder="1" applyAlignment="1">
      <alignment horizontal="center" vertical="center"/>
    </xf>
    <xf numFmtId="44" fontId="15" fillId="8" borderId="4" xfId="0" applyNumberFormat="1" applyFont="1" applyFill="1" applyBorder="1" applyAlignment="1">
      <alignment horizontal="center" vertical="center"/>
    </xf>
    <xf numFmtId="44" fontId="15" fillId="8" borderId="0" xfId="0" applyNumberFormat="1" applyFont="1" applyFill="1" applyAlignment="1">
      <alignment horizontal="center" vertical="center"/>
    </xf>
    <xf numFmtId="44" fontId="15" fillId="8" borderId="3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0" fillId="8" borderId="6" xfId="0" applyFill="1" applyBorder="1" applyAlignment="1">
      <alignment vertical="center"/>
    </xf>
    <xf numFmtId="0" fontId="15" fillId="8" borderId="0" xfId="0" applyFont="1" applyFill="1" applyAlignment="1">
      <alignment vertical="center"/>
    </xf>
    <xf numFmtId="44" fontId="0" fillId="8" borderId="0" xfId="0" applyNumberFormat="1" applyFill="1" applyBorder="1" applyAlignment="1">
      <alignment horizontal="center" vertical="center"/>
    </xf>
    <xf numFmtId="44" fontId="0" fillId="8" borderId="39" xfId="0" applyNumberFormat="1" applyFill="1" applyBorder="1" applyAlignment="1">
      <alignment horizontal="center" vertical="center"/>
    </xf>
    <xf numFmtId="0" fontId="15" fillId="8" borderId="6" xfId="0" applyFont="1" applyFill="1" applyBorder="1" applyAlignment="1">
      <alignment vertical="center"/>
    </xf>
    <xf numFmtId="44" fontId="15" fillId="8" borderId="5" xfId="0" applyNumberFormat="1" applyFont="1" applyFill="1" applyBorder="1" applyAlignment="1">
      <alignment horizontal="center" vertical="center"/>
    </xf>
    <xf numFmtId="44" fontId="15" fillId="8" borderId="6" xfId="0" applyNumberFormat="1" applyFont="1" applyFill="1" applyBorder="1" applyAlignment="1">
      <alignment horizontal="center" vertical="center"/>
    </xf>
    <xf numFmtId="44" fontId="15" fillId="8" borderId="7" xfId="0" applyNumberFormat="1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9" fontId="0" fillId="8" borderId="0" xfId="2" applyFont="1" applyFill="1" applyAlignment="1">
      <alignment horizontal="center" vertical="center"/>
    </xf>
    <xf numFmtId="44" fontId="0" fillId="6" borderId="3" xfId="1" applyFont="1" applyFill="1" applyBorder="1" applyAlignment="1">
      <alignment horizontal="center" vertical="center"/>
    </xf>
    <xf numFmtId="9" fontId="5" fillId="6" borderId="1" xfId="2" applyFont="1" applyFill="1" applyBorder="1" applyAlignment="1">
      <alignment horizontal="center" vertical="center"/>
    </xf>
    <xf numFmtId="44" fontId="5" fillId="6" borderId="0" xfId="1" applyFont="1" applyFill="1" applyBorder="1" applyAlignment="1">
      <alignment vertical="center"/>
    </xf>
    <xf numFmtId="10" fontId="5" fillId="6" borderId="11" xfId="0" applyNumberFormat="1" applyFont="1" applyFill="1" applyBorder="1" applyAlignment="1">
      <alignment horizontal="center" vertical="center"/>
    </xf>
    <xf numFmtId="0" fontId="0" fillId="7" borderId="1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6" fillId="2" borderId="44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2" fillId="5" borderId="45" xfId="0" applyFont="1" applyFill="1" applyBorder="1" applyAlignment="1">
      <alignment horizontal="center" vertical="center" wrapText="1"/>
    </xf>
    <xf numFmtId="164" fontId="12" fillId="5" borderId="45" xfId="0" applyNumberFormat="1" applyFont="1" applyFill="1" applyBorder="1" applyAlignment="1">
      <alignment horizontal="center" vertical="center" wrapText="1"/>
    </xf>
    <xf numFmtId="164" fontId="12" fillId="5" borderId="10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8"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89F7FF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F7FF"/>
      <color rgb="FF0093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l.finclass.com/finclass/?pmp=FIN-VEX-PDF-X-BFIN-20220817-ORG-F0099-AS-PLANILHA_FIIS&amp;utm_source=PDFDIVULGACOMATERIAL&amp;utm_campaign=X&amp;utm_medium=BASEFINCLASS&amp;utm_content=ORGANICO&amp;utm_term=FIN-VEX-PDF-X-BFIN-20220817-ORG-F0099-AS-PLANILHA_FIIS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l.finclass.com/finclass/?pmp=FIN-VEX-PDF-X-BFIN-20220817-ORG-F0099-AS-PLANILHA_FIIS&amp;utm_source=PDFDIVULGACOMATERIAL&amp;utm_campaign=X&amp;utm_medium=BASEFINCLASS&amp;utm_content=ORGANICO&amp;utm_term=FIN-VEX-PDF-X-BFIN-20220817-ORG-F0099-AS-PLANILHA_FIIS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l.finclass.com/finclass/?pmp=FIN-VEX-PDF-X-BFIN-20220817-ORG-F0099-AS-PLANILHA_FIIS&amp;utm_source=PDFDIVULGACOMATERIAL&amp;utm_campaign=X&amp;utm_medium=BASEFINCLASS&amp;utm_content=ORGANICO&amp;utm_term=FIN-VEX-PDF-X-BFIN-20220817-ORG-F0099-AS-PLANILHA_FII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133120</xdr:colOff>
      <xdr:row>0</xdr:row>
      <xdr:rowOff>0</xdr:rowOff>
    </xdr:from>
    <xdr:to>
      <xdr:col>9</xdr:col>
      <xdr:colOff>141497</xdr:colOff>
      <xdr:row>2</xdr:row>
      <xdr:rowOff>1523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80AAA85-7A2D-4C50-B0C7-36FE8D82FDF3}"/>
            </a:ext>
          </a:extLst>
        </xdr:cNvPr>
        <xdr:cNvSpPr txBox="1"/>
      </xdr:nvSpPr>
      <xdr:spPr>
        <a:xfrm>
          <a:off x="968272" y="81824"/>
          <a:ext cx="5866633" cy="7975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600" b="1">
              <a:solidFill>
                <a:schemeClr val="bg1"/>
              </a:solidFill>
            </a:rPr>
            <a:t>Instruções Gerais</a:t>
          </a:r>
        </a:p>
        <a:p>
          <a:pPr algn="ctr"/>
          <a:endParaRPr lang="pt-BR" sz="2600" b="1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12192</xdr:colOff>
      <xdr:row>0</xdr:row>
      <xdr:rowOff>42672</xdr:rowOff>
    </xdr:from>
    <xdr:to>
      <xdr:col>1</xdr:col>
      <xdr:colOff>57219</xdr:colOff>
      <xdr:row>1</xdr:row>
      <xdr:rowOff>469554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BD3236-13D3-4266-B1D7-6DD07E0C9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" y="42672"/>
          <a:ext cx="672915" cy="609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4360</xdr:colOff>
      <xdr:row>0</xdr:row>
      <xdr:rowOff>60960</xdr:rowOff>
    </xdr:from>
    <xdr:to>
      <xdr:col>1</xdr:col>
      <xdr:colOff>677275</xdr:colOff>
      <xdr:row>3</xdr:row>
      <xdr:rowOff>122082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495917-179F-4402-A89F-AEE3FB368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80" y="60960"/>
          <a:ext cx="672915" cy="609762"/>
        </a:xfrm>
        <a:prstGeom prst="rect">
          <a:avLst/>
        </a:prstGeom>
      </xdr:spPr>
    </xdr:pic>
    <xdr:clientData/>
  </xdr:twoCellAnchor>
  <xdr:twoCellAnchor>
    <xdr:from>
      <xdr:col>10</xdr:col>
      <xdr:colOff>441960</xdr:colOff>
      <xdr:row>0</xdr:row>
      <xdr:rowOff>68580</xdr:rowOff>
    </xdr:from>
    <xdr:to>
      <xdr:col>12</xdr:col>
      <xdr:colOff>937260</xdr:colOff>
      <xdr:row>3</xdr:row>
      <xdr:rowOff>129540</xdr:rowOff>
    </xdr:to>
    <xdr:sp macro="" textlink="">
      <xdr:nvSpPr>
        <xdr:cNvPr id="3" name="Texto Explicativo: Seta para a Direita 2">
          <a:extLst>
            <a:ext uri="{FF2B5EF4-FFF2-40B4-BE49-F238E27FC236}">
              <a16:creationId xmlns:a16="http://schemas.microsoft.com/office/drawing/2014/main" id="{2D888D3D-715D-46D8-B7CB-BE53E5399C1B}"/>
            </a:ext>
          </a:extLst>
        </xdr:cNvPr>
        <xdr:cNvSpPr/>
      </xdr:nvSpPr>
      <xdr:spPr>
        <a:xfrm>
          <a:off x="9494520" y="68580"/>
          <a:ext cx="2446020" cy="609600"/>
        </a:xfrm>
        <a:prstGeom prst="rightArrowCallout">
          <a:avLst>
            <a:gd name="adj1" fmla="val 25000"/>
            <a:gd name="adj2" fmla="val 25000"/>
            <a:gd name="adj3" fmla="val 25000"/>
            <a:gd name="adj4" fmla="val 6405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Insira os valores </a:t>
          </a:r>
          <a:r>
            <a:rPr lang="pt-BR" sz="1100" baseline="0"/>
            <a:t>para ser aplicado na aba de Reserva de emergência.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4360</xdr:colOff>
      <xdr:row>0</xdr:row>
      <xdr:rowOff>129540</xdr:rowOff>
    </xdr:from>
    <xdr:to>
      <xdr:col>1</xdr:col>
      <xdr:colOff>677275</xdr:colOff>
      <xdr:row>2</xdr:row>
      <xdr:rowOff>373542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3977AF-91C9-4D6D-96B2-C1A2656B7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40" y="129540"/>
          <a:ext cx="672915" cy="6097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57F33E-47BA-43D8-B463-B81AB87EBBE1}" name="Tabela2" displayName="Tabela2" ref="B19:H199" totalsRowShown="0" headerRowDxfId="9" dataDxfId="7" headerRowBorderDxfId="8">
  <tableColumns count="7">
    <tableColumn id="1" xr3:uid="{3F572FAB-6BA8-4128-8B9C-F76CACD7AB86}" name="MÊS" dataDxfId="6"/>
    <tableColumn id="7" xr3:uid="{5D6B2FCC-5D85-4A2C-BB9C-6A2F2886FB57}" name="ANO" dataDxfId="5"/>
    <tableColumn id="2" xr3:uid="{0DF63264-2FDF-45E4-ACD8-754E5F5D8396}" name="VALOR INICIAL R$" dataDxfId="4">
      <calculatedColumnFormula>G19+E20</calculatedColumnFormula>
    </tableColumn>
    <tableColumn id="3" xr3:uid="{56DDC930-12A7-4305-8C49-BBD1D122E787}" name="APORTE MENSAL R$" dataDxfId="3">
      <calculatedColumnFormula>$D$7</calculatedColumnFormula>
    </tableColumn>
    <tableColumn id="4" xr3:uid="{B19CF3A5-3718-46A6-B238-C1204C5EF63F}" name="RENTABILIDADE MENSAL" dataDxfId="2">
      <calculatedColumnFormula>$D$13</calculatedColumnFormula>
    </tableColumn>
    <tableColumn id="5" xr3:uid="{6C645560-90DF-4441-983E-53CA638DAF5C}" name="VALOR FINAL R$" dataDxfId="1">
      <calculatedColumnFormula>(Tabela2[[#This Row],[VALOR INICIAL R$]]+Tabela2[[#This Row],[APORTE MENSAL R$]])*(1+$D$13)</calculatedColumnFormula>
    </tableColumn>
    <tableColumn id="6" xr3:uid="{CAB64294-814C-4481-AE0E-0C65C9D8D80A}" name="RENDIMENTO MENSAL R$" dataDxfId="0">
      <calculatedColumnFormula>Tabela2[[#This Row],[VALOR FINAL R$]]-Tabela2[[#This Row],[VALOR INICIAL R$]]-Tabela2[[#This Row],[APORTE MENSAL R$]]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F04D-A487-487A-A45C-9272B3A67E0F}">
  <sheetPr codeName="Planilha1"/>
  <dimension ref="A1:L27"/>
  <sheetViews>
    <sheetView showGridLines="0" zoomScale="125" workbookViewId="0">
      <selection activeCell="A3" sqref="A3:XFD27"/>
    </sheetView>
  </sheetViews>
  <sheetFormatPr defaultColWidth="9.109375" defaultRowHeight="14.4" zeroHeight="1" x14ac:dyDescent="0.3"/>
  <cols>
    <col min="1" max="1" width="9.109375" customWidth="1"/>
    <col min="2" max="2" width="3" customWidth="1"/>
    <col min="3" max="8" width="9.109375" customWidth="1"/>
    <col min="9" max="9" width="30.44140625" customWidth="1"/>
    <col min="10" max="10" width="8.6640625" customWidth="1"/>
    <col min="11" max="11" width="6.6640625" customWidth="1"/>
    <col min="12" max="12" width="0.109375" hidden="1" customWidth="1"/>
    <col min="13" max="16383" width="0" hidden="1" customWidth="1"/>
    <col min="16384" max="16384" width="0.109375" customWidth="1"/>
  </cols>
  <sheetData>
    <row r="1" spans="1:12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40.200000000000003" customHeight="1" thickBot="1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spans="1:12" s="92" customFormat="1" ht="15" customHeight="1" thickBot="1" x14ac:dyDescent="0.35">
      <c r="A3" s="91" t="s">
        <v>62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1:12" s="92" customFormat="1" ht="15" customHeight="1" thickBot="1" x14ac:dyDescent="0.35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</row>
    <row r="5" spans="1:12" s="92" customFormat="1" ht="15" customHeight="1" thickBot="1" x14ac:dyDescent="0.35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s="92" customFormat="1" ht="15" customHeight="1" thickBot="1" x14ac:dyDescent="0.35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s="92" customFormat="1" ht="14.4" customHeight="1" thickBot="1" x14ac:dyDescent="0.35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</row>
    <row r="8" spans="1:12" s="92" customFormat="1" ht="14.4" customHeight="1" thickBot="1" x14ac:dyDescent="0.35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2" s="92" customFormat="1" ht="14.4" customHeight="1" thickBot="1" x14ac:dyDescent="0.35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</row>
    <row r="10" spans="1:12" s="92" customFormat="1" ht="15" customHeight="1" thickBot="1" x14ac:dyDescent="0.35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</row>
    <row r="11" spans="1:12" s="92" customFormat="1" ht="14.4" customHeight="1" thickBot="1" x14ac:dyDescent="0.35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</row>
    <row r="12" spans="1:12" s="92" customFormat="1" ht="14.4" customHeight="1" thickBot="1" x14ac:dyDescent="0.35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</row>
    <row r="13" spans="1:12" s="92" customFormat="1" ht="14.4" customHeight="1" thickBot="1" x14ac:dyDescent="0.35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</row>
    <row r="14" spans="1:12" s="92" customFormat="1" ht="15" customHeight="1" thickBot="1" x14ac:dyDescent="0.35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</row>
    <row r="15" spans="1:12" s="92" customFormat="1" ht="14.4" customHeight="1" thickBot="1" x14ac:dyDescent="0.35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</row>
    <row r="16" spans="1:12" s="92" customFormat="1" ht="14.4" customHeight="1" thickBot="1" x14ac:dyDescent="0.35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</row>
    <row r="17" spans="1:12" s="92" customFormat="1" ht="14.4" customHeight="1" thickBot="1" x14ac:dyDescent="0.35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</row>
    <row r="18" spans="1:12" s="92" customFormat="1" ht="15" customHeight="1" thickBot="1" x14ac:dyDescent="0.35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</row>
    <row r="19" spans="1:12" s="92" customFormat="1" ht="14.4" customHeight="1" thickBot="1" x14ac:dyDescent="0.35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</row>
    <row r="20" spans="1:12" s="92" customFormat="1" ht="14.4" customHeight="1" thickBot="1" x14ac:dyDescent="0.35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</row>
    <row r="21" spans="1:12" s="92" customFormat="1" ht="14.4" customHeight="1" thickBot="1" x14ac:dyDescent="0.35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</row>
    <row r="22" spans="1:12" s="92" customFormat="1" ht="15" customHeight="1" thickBot="1" x14ac:dyDescent="0.35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</row>
    <row r="23" spans="1:12" s="92" customFormat="1" ht="14.4" customHeight="1" thickBot="1" x14ac:dyDescent="0.35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</row>
    <row r="24" spans="1:12" s="92" customFormat="1" ht="14.4" customHeight="1" thickBot="1" x14ac:dyDescent="0.35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</row>
    <row r="25" spans="1:12" s="92" customFormat="1" ht="14.4" customHeight="1" thickBot="1" x14ac:dyDescent="0.3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</row>
    <row r="26" spans="1:12" s="92" customFormat="1" ht="15" customHeight="1" thickBot="1" x14ac:dyDescent="0.35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</row>
    <row r="27" spans="1:12" s="92" customFormat="1" x14ac:dyDescent="0.3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</row>
  </sheetData>
  <mergeCells count="1">
    <mergeCell ref="A3:XFD2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16A8-1510-4D0A-9EE0-816592B2818E}">
  <dimension ref="B1:O35"/>
  <sheetViews>
    <sheetView showGridLines="0" workbookViewId="0">
      <selection activeCell="J14" sqref="J14"/>
    </sheetView>
  </sheetViews>
  <sheetFormatPr defaultRowHeight="14.4" x14ac:dyDescent="0.3"/>
  <cols>
    <col min="1" max="1" width="0.6640625" style="73" customWidth="1"/>
    <col min="2" max="2" width="17.5546875" style="71" customWidth="1"/>
    <col min="3" max="3" width="15.5546875" style="72" bestFit="1" customWidth="1"/>
    <col min="4" max="12" width="14.21875" style="72" bestFit="1" customWidth="1"/>
    <col min="13" max="13" width="14.21875" style="72" customWidth="1"/>
    <col min="14" max="14" width="14.21875" style="72" bestFit="1" customWidth="1"/>
    <col min="15" max="15" width="15.44140625" style="72" bestFit="1" customWidth="1"/>
    <col min="16" max="16384" width="8.88671875" style="73"/>
  </cols>
  <sheetData>
    <row r="1" spans="2:15" customFormat="1" ht="14.4" customHeight="1" x14ac:dyDescent="0.3">
      <c r="B1" s="94" t="s">
        <v>56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49"/>
      <c r="N1" s="49"/>
      <c r="O1" s="49"/>
    </row>
    <row r="2" spans="2:15" customFormat="1" ht="14.4" customHeight="1" x14ac:dyDescent="0.3"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49"/>
      <c r="N2" s="53" t="s">
        <v>58</v>
      </c>
      <c r="O2" s="87">
        <v>3000</v>
      </c>
    </row>
    <row r="3" spans="2:15" customFormat="1" ht="14.4" customHeight="1" x14ac:dyDescent="0.3"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49"/>
      <c r="N3" s="53" t="s">
        <v>59</v>
      </c>
      <c r="O3" s="87">
        <v>1700</v>
      </c>
    </row>
    <row r="4" spans="2:15" customFormat="1" ht="14.4" customHeight="1" x14ac:dyDescent="0.3"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49"/>
      <c r="N4" s="49"/>
      <c r="O4" s="49"/>
    </row>
    <row r="5" spans="2:15" customFormat="1" x14ac:dyDescent="0.3">
      <c r="B5" s="11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2:15" customFormat="1" ht="16.2" thickBot="1" x14ac:dyDescent="0.35">
      <c r="B6" s="96" t="s">
        <v>50</v>
      </c>
      <c r="C6" s="95" t="s">
        <v>46</v>
      </c>
      <c r="D6" s="95"/>
      <c r="E6" s="95"/>
      <c r="F6" s="95" t="s">
        <v>49</v>
      </c>
      <c r="G6" s="95"/>
      <c r="H6" s="95"/>
      <c r="I6" s="95" t="s">
        <v>48</v>
      </c>
      <c r="J6" s="95"/>
      <c r="K6" s="95"/>
      <c r="L6" s="95" t="s">
        <v>47</v>
      </c>
      <c r="M6" s="95"/>
      <c r="N6" s="95"/>
      <c r="O6" s="93" t="s">
        <v>51</v>
      </c>
    </row>
    <row r="7" spans="2:15" customFormat="1" ht="16.2" thickTop="1" x14ac:dyDescent="0.3">
      <c r="B7" s="96"/>
      <c r="C7" s="50">
        <v>45292</v>
      </c>
      <c r="D7" s="51">
        <v>45323</v>
      </c>
      <c r="E7" s="52">
        <v>45352</v>
      </c>
      <c r="F7" s="50">
        <v>45383</v>
      </c>
      <c r="G7" s="51">
        <v>45413</v>
      </c>
      <c r="H7" s="52">
        <v>45444</v>
      </c>
      <c r="I7" s="50">
        <v>45474</v>
      </c>
      <c r="J7" s="51">
        <v>45505</v>
      </c>
      <c r="K7" s="52">
        <v>45536</v>
      </c>
      <c r="L7" s="50">
        <v>45566</v>
      </c>
      <c r="M7" s="51">
        <v>45597</v>
      </c>
      <c r="N7" s="52">
        <v>45627</v>
      </c>
      <c r="O7" s="93"/>
    </row>
    <row r="8" spans="2:15" ht="7.2" customHeight="1" x14ac:dyDescent="0.3"/>
    <row r="9" spans="2:15" x14ac:dyDescent="0.3">
      <c r="B9" s="71" t="s">
        <v>57</v>
      </c>
      <c r="C9" s="85">
        <v>5000</v>
      </c>
      <c r="D9" s="59">
        <f>C9</f>
        <v>5000</v>
      </c>
      <c r="E9" s="60">
        <f t="shared" ref="E9:N10" si="0">D9</f>
        <v>5000</v>
      </c>
      <c r="F9" s="61">
        <f t="shared" si="0"/>
        <v>5000</v>
      </c>
      <c r="G9" s="61">
        <f t="shared" si="0"/>
        <v>5000</v>
      </c>
      <c r="H9" s="61">
        <f t="shared" si="0"/>
        <v>5000</v>
      </c>
      <c r="I9" s="62">
        <f t="shared" si="0"/>
        <v>5000</v>
      </c>
      <c r="J9" s="59">
        <f t="shared" si="0"/>
        <v>5000</v>
      </c>
      <c r="K9" s="60">
        <f t="shared" si="0"/>
        <v>5000</v>
      </c>
      <c r="L9" s="61">
        <f t="shared" si="0"/>
        <v>5000</v>
      </c>
      <c r="M9" s="61">
        <f t="shared" si="0"/>
        <v>5000</v>
      </c>
      <c r="N9" s="60">
        <f t="shared" si="0"/>
        <v>5000</v>
      </c>
      <c r="O9" s="63">
        <f t="shared" ref="O9:O11" si="1">SUM(C9:N9)</f>
        <v>60000</v>
      </c>
    </row>
    <row r="10" spans="2:15" x14ac:dyDescent="0.3">
      <c r="B10" s="71" t="s">
        <v>61</v>
      </c>
      <c r="C10" s="85">
        <v>5000</v>
      </c>
      <c r="D10" s="59">
        <f>C10</f>
        <v>5000</v>
      </c>
      <c r="E10" s="60">
        <f t="shared" si="0"/>
        <v>5000</v>
      </c>
      <c r="F10" s="61">
        <f t="shared" si="0"/>
        <v>5000</v>
      </c>
      <c r="G10" s="61">
        <f t="shared" si="0"/>
        <v>5000</v>
      </c>
      <c r="H10" s="61">
        <f t="shared" si="0"/>
        <v>5000</v>
      </c>
      <c r="I10" s="62">
        <f t="shared" si="0"/>
        <v>5000</v>
      </c>
      <c r="J10" s="59">
        <f t="shared" si="0"/>
        <v>5000</v>
      </c>
      <c r="K10" s="60">
        <f t="shared" si="0"/>
        <v>5000</v>
      </c>
      <c r="L10" s="61">
        <f t="shared" si="0"/>
        <v>5000</v>
      </c>
      <c r="M10" s="61">
        <f t="shared" si="0"/>
        <v>5000</v>
      </c>
      <c r="N10" s="60">
        <f t="shared" si="0"/>
        <v>5000</v>
      </c>
      <c r="O10" s="63">
        <f t="shared" ref="O10" si="2">SUM(C10:N10)</f>
        <v>60000</v>
      </c>
    </row>
    <row r="11" spans="2:15" x14ac:dyDescent="0.3">
      <c r="B11" s="74" t="s">
        <v>45</v>
      </c>
      <c r="C11" s="66">
        <f>C14+C25</f>
        <v>1700</v>
      </c>
      <c r="D11" s="64">
        <f t="shared" ref="D11:N11" si="3">D14+D25</f>
        <v>1700</v>
      </c>
      <c r="E11" s="65">
        <f t="shared" si="3"/>
        <v>1700</v>
      </c>
      <c r="F11" s="64">
        <f t="shared" si="3"/>
        <v>1700</v>
      </c>
      <c r="G11" s="64">
        <f t="shared" si="3"/>
        <v>1700</v>
      </c>
      <c r="H11" s="64">
        <f t="shared" si="3"/>
        <v>1700</v>
      </c>
      <c r="I11" s="66">
        <f t="shared" si="3"/>
        <v>1700</v>
      </c>
      <c r="J11" s="64">
        <f t="shared" si="3"/>
        <v>1700</v>
      </c>
      <c r="K11" s="65">
        <f t="shared" si="3"/>
        <v>1700</v>
      </c>
      <c r="L11" s="64">
        <f t="shared" si="3"/>
        <v>1700</v>
      </c>
      <c r="M11" s="64">
        <f t="shared" si="3"/>
        <v>1700</v>
      </c>
      <c r="N11" s="65">
        <f t="shared" si="3"/>
        <v>1700</v>
      </c>
      <c r="O11" s="64">
        <f t="shared" si="1"/>
        <v>20400</v>
      </c>
    </row>
    <row r="12" spans="2:15" ht="15.6" x14ac:dyDescent="0.3">
      <c r="B12" s="75" t="s">
        <v>55</v>
      </c>
      <c r="C12" s="70">
        <f>(C9+C10)-C11</f>
        <v>8300</v>
      </c>
      <c r="D12" s="67">
        <f t="shared" ref="D12:N12" si="4">(D9+D10)-D11</f>
        <v>8300</v>
      </c>
      <c r="E12" s="68">
        <f t="shared" si="4"/>
        <v>8300</v>
      </c>
      <c r="F12" s="69">
        <f t="shared" si="4"/>
        <v>8300</v>
      </c>
      <c r="G12" s="69">
        <f t="shared" si="4"/>
        <v>8300</v>
      </c>
      <c r="H12" s="69">
        <f t="shared" si="4"/>
        <v>8300</v>
      </c>
      <c r="I12" s="70">
        <f t="shared" si="4"/>
        <v>8300</v>
      </c>
      <c r="J12" s="67">
        <f t="shared" si="4"/>
        <v>8300</v>
      </c>
      <c r="K12" s="68">
        <f t="shared" si="4"/>
        <v>8300</v>
      </c>
      <c r="L12" s="69">
        <f t="shared" si="4"/>
        <v>8300</v>
      </c>
      <c r="M12" s="69">
        <f t="shared" si="4"/>
        <v>8300</v>
      </c>
      <c r="N12" s="68">
        <f t="shared" si="4"/>
        <v>8300</v>
      </c>
      <c r="O12" s="69">
        <f>SUM(C12:N12)</f>
        <v>99600</v>
      </c>
    </row>
    <row r="13" spans="2:15" x14ac:dyDescent="0.3">
      <c r="C13" s="76"/>
      <c r="D13" s="76"/>
      <c r="E13" s="76"/>
      <c r="F13" s="76"/>
      <c r="G13" s="77"/>
      <c r="H13" s="63"/>
      <c r="I13" s="76"/>
      <c r="J13" s="76"/>
      <c r="K13" s="76"/>
      <c r="L13" s="76"/>
      <c r="M13" s="63"/>
      <c r="N13" s="76"/>
      <c r="O13" s="76"/>
    </row>
    <row r="14" spans="2:15" ht="15.6" x14ac:dyDescent="0.3">
      <c r="B14" s="78" t="s">
        <v>53</v>
      </c>
      <c r="C14" s="79">
        <f t="shared" ref="C14:N14" si="5">SUM(C15:C23)</f>
        <v>900</v>
      </c>
      <c r="D14" s="80">
        <f t="shared" si="5"/>
        <v>900</v>
      </c>
      <c r="E14" s="81">
        <f t="shared" si="5"/>
        <v>900</v>
      </c>
      <c r="F14" s="80">
        <f t="shared" si="5"/>
        <v>900</v>
      </c>
      <c r="G14" s="80">
        <f t="shared" si="5"/>
        <v>900</v>
      </c>
      <c r="H14" s="80">
        <f t="shared" si="5"/>
        <v>900</v>
      </c>
      <c r="I14" s="79">
        <f t="shared" si="5"/>
        <v>900</v>
      </c>
      <c r="J14" s="80">
        <f t="shared" si="5"/>
        <v>900</v>
      </c>
      <c r="K14" s="81">
        <f t="shared" si="5"/>
        <v>900</v>
      </c>
      <c r="L14" s="80">
        <f t="shared" si="5"/>
        <v>900</v>
      </c>
      <c r="M14" s="80">
        <f t="shared" si="5"/>
        <v>900</v>
      </c>
      <c r="N14" s="81">
        <f t="shared" si="5"/>
        <v>900</v>
      </c>
      <c r="O14" s="80">
        <f>SUM(C14:N14)</f>
        <v>10800</v>
      </c>
    </row>
    <row r="15" spans="2:15" x14ac:dyDescent="0.3">
      <c r="B15" s="71" t="s">
        <v>10</v>
      </c>
      <c r="C15" s="85">
        <v>100</v>
      </c>
      <c r="D15" s="59">
        <f>C15</f>
        <v>100</v>
      </c>
      <c r="E15" s="60">
        <f t="shared" ref="E15:N15" si="6">D15</f>
        <v>100</v>
      </c>
      <c r="F15" s="61">
        <f t="shared" si="6"/>
        <v>100</v>
      </c>
      <c r="G15" s="61">
        <f t="shared" si="6"/>
        <v>100</v>
      </c>
      <c r="H15" s="61">
        <f t="shared" si="6"/>
        <v>100</v>
      </c>
      <c r="I15" s="62">
        <f t="shared" si="6"/>
        <v>100</v>
      </c>
      <c r="J15" s="59">
        <f t="shared" si="6"/>
        <v>100</v>
      </c>
      <c r="K15" s="60">
        <f t="shared" si="6"/>
        <v>100</v>
      </c>
      <c r="L15" s="61">
        <f t="shared" si="6"/>
        <v>100</v>
      </c>
      <c r="M15" s="61">
        <f t="shared" si="6"/>
        <v>100</v>
      </c>
      <c r="N15" s="60">
        <f t="shared" si="6"/>
        <v>100</v>
      </c>
      <c r="O15" s="63">
        <f t="shared" ref="O15:O23" si="7">SUM(C15:N15)</f>
        <v>1200</v>
      </c>
    </row>
    <row r="16" spans="2:15" x14ac:dyDescent="0.3">
      <c r="B16" s="71" t="s">
        <v>11</v>
      </c>
      <c r="C16" s="85">
        <v>100</v>
      </c>
      <c r="D16" s="59">
        <f t="shared" ref="D16:N23" si="8">C16</f>
        <v>100</v>
      </c>
      <c r="E16" s="60">
        <f t="shared" si="8"/>
        <v>100</v>
      </c>
      <c r="F16" s="61">
        <f t="shared" si="8"/>
        <v>100</v>
      </c>
      <c r="G16" s="61">
        <f t="shared" si="8"/>
        <v>100</v>
      </c>
      <c r="H16" s="61">
        <f t="shared" si="8"/>
        <v>100</v>
      </c>
      <c r="I16" s="62">
        <f t="shared" si="8"/>
        <v>100</v>
      </c>
      <c r="J16" s="59">
        <f t="shared" si="8"/>
        <v>100</v>
      </c>
      <c r="K16" s="60">
        <f t="shared" si="8"/>
        <v>100</v>
      </c>
      <c r="L16" s="61">
        <f t="shared" si="8"/>
        <v>100</v>
      </c>
      <c r="M16" s="61">
        <f t="shared" si="8"/>
        <v>100</v>
      </c>
      <c r="N16" s="60">
        <f t="shared" si="8"/>
        <v>100</v>
      </c>
      <c r="O16" s="63">
        <f t="shared" si="7"/>
        <v>1200</v>
      </c>
    </row>
    <row r="17" spans="2:15" x14ac:dyDescent="0.3">
      <c r="B17" s="71" t="s">
        <v>40</v>
      </c>
      <c r="C17" s="85">
        <v>100</v>
      </c>
      <c r="D17" s="59">
        <f t="shared" si="8"/>
        <v>100</v>
      </c>
      <c r="E17" s="60">
        <f t="shared" si="8"/>
        <v>100</v>
      </c>
      <c r="F17" s="61">
        <f t="shared" si="8"/>
        <v>100</v>
      </c>
      <c r="G17" s="61">
        <f t="shared" si="8"/>
        <v>100</v>
      </c>
      <c r="H17" s="61">
        <f t="shared" si="8"/>
        <v>100</v>
      </c>
      <c r="I17" s="62">
        <f t="shared" si="8"/>
        <v>100</v>
      </c>
      <c r="J17" s="59">
        <f t="shared" si="8"/>
        <v>100</v>
      </c>
      <c r="K17" s="60">
        <f t="shared" si="8"/>
        <v>100</v>
      </c>
      <c r="L17" s="61">
        <f t="shared" si="8"/>
        <v>100</v>
      </c>
      <c r="M17" s="61">
        <f t="shared" si="8"/>
        <v>100</v>
      </c>
      <c r="N17" s="60">
        <f t="shared" si="8"/>
        <v>100</v>
      </c>
      <c r="O17" s="63">
        <f t="shared" si="7"/>
        <v>1200</v>
      </c>
    </row>
    <row r="18" spans="2:15" x14ac:dyDescent="0.3">
      <c r="B18" s="71" t="s">
        <v>35</v>
      </c>
      <c r="C18" s="85">
        <v>100</v>
      </c>
      <c r="D18" s="59">
        <f t="shared" si="8"/>
        <v>100</v>
      </c>
      <c r="E18" s="60">
        <f t="shared" si="8"/>
        <v>100</v>
      </c>
      <c r="F18" s="61">
        <f t="shared" si="8"/>
        <v>100</v>
      </c>
      <c r="G18" s="61">
        <f t="shared" si="8"/>
        <v>100</v>
      </c>
      <c r="H18" s="61">
        <f t="shared" si="8"/>
        <v>100</v>
      </c>
      <c r="I18" s="62">
        <f t="shared" si="8"/>
        <v>100</v>
      </c>
      <c r="J18" s="59">
        <f t="shared" si="8"/>
        <v>100</v>
      </c>
      <c r="K18" s="60">
        <f t="shared" si="8"/>
        <v>100</v>
      </c>
      <c r="L18" s="61">
        <f t="shared" si="8"/>
        <v>100</v>
      </c>
      <c r="M18" s="61">
        <f t="shared" si="8"/>
        <v>100</v>
      </c>
      <c r="N18" s="60">
        <f t="shared" si="8"/>
        <v>100</v>
      </c>
      <c r="O18" s="63">
        <f t="shared" si="7"/>
        <v>1200</v>
      </c>
    </row>
    <row r="19" spans="2:15" x14ac:dyDescent="0.3">
      <c r="B19" s="71" t="s">
        <v>12</v>
      </c>
      <c r="C19" s="85">
        <v>100</v>
      </c>
      <c r="D19" s="59">
        <f t="shared" si="8"/>
        <v>100</v>
      </c>
      <c r="E19" s="60">
        <f t="shared" si="8"/>
        <v>100</v>
      </c>
      <c r="F19" s="61">
        <f t="shared" si="8"/>
        <v>100</v>
      </c>
      <c r="G19" s="61">
        <f t="shared" si="8"/>
        <v>100</v>
      </c>
      <c r="H19" s="61">
        <f t="shared" si="8"/>
        <v>100</v>
      </c>
      <c r="I19" s="62">
        <f t="shared" si="8"/>
        <v>100</v>
      </c>
      <c r="J19" s="59">
        <f t="shared" si="8"/>
        <v>100</v>
      </c>
      <c r="K19" s="60">
        <f t="shared" si="8"/>
        <v>100</v>
      </c>
      <c r="L19" s="61">
        <f t="shared" si="8"/>
        <v>100</v>
      </c>
      <c r="M19" s="61">
        <f t="shared" si="8"/>
        <v>100</v>
      </c>
      <c r="N19" s="60">
        <f t="shared" si="8"/>
        <v>100</v>
      </c>
      <c r="O19" s="63">
        <f t="shared" si="7"/>
        <v>1200</v>
      </c>
    </row>
    <row r="20" spans="2:15" x14ac:dyDescent="0.3">
      <c r="B20" s="71" t="s">
        <v>36</v>
      </c>
      <c r="C20" s="85">
        <v>100</v>
      </c>
      <c r="D20" s="59">
        <f t="shared" si="8"/>
        <v>100</v>
      </c>
      <c r="E20" s="60">
        <f t="shared" si="8"/>
        <v>100</v>
      </c>
      <c r="F20" s="61">
        <f t="shared" si="8"/>
        <v>100</v>
      </c>
      <c r="G20" s="61">
        <f t="shared" si="8"/>
        <v>100</v>
      </c>
      <c r="H20" s="61">
        <f t="shared" si="8"/>
        <v>100</v>
      </c>
      <c r="I20" s="62">
        <f t="shared" si="8"/>
        <v>100</v>
      </c>
      <c r="J20" s="59">
        <f t="shared" si="8"/>
        <v>100</v>
      </c>
      <c r="K20" s="60">
        <f t="shared" si="8"/>
        <v>100</v>
      </c>
      <c r="L20" s="61">
        <f t="shared" si="8"/>
        <v>100</v>
      </c>
      <c r="M20" s="61">
        <f t="shared" si="8"/>
        <v>100</v>
      </c>
      <c r="N20" s="60">
        <f t="shared" si="8"/>
        <v>100</v>
      </c>
      <c r="O20" s="63">
        <f t="shared" si="7"/>
        <v>1200</v>
      </c>
    </row>
    <row r="21" spans="2:15" x14ac:dyDescent="0.3">
      <c r="B21" s="71" t="s">
        <v>13</v>
      </c>
      <c r="C21" s="85">
        <v>100</v>
      </c>
      <c r="D21" s="59">
        <f t="shared" si="8"/>
        <v>100</v>
      </c>
      <c r="E21" s="60">
        <f t="shared" si="8"/>
        <v>100</v>
      </c>
      <c r="F21" s="61">
        <f t="shared" si="8"/>
        <v>100</v>
      </c>
      <c r="G21" s="61">
        <f t="shared" si="8"/>
        <v>100</v>
      </c>
      <c r="H21" s="61">
        <f t="shared" si="8"/>
        <v>100</v>
      </c>
      <c r="I21" s="62">
        <f t="shared" si="8"/>
        <v>100</v>
      </c>
      <c r="J21" s="59">
        <f t="shared" si="8"/>
        <v>100</v>
      </c>
      <c r="K21" s="60">
        <f t="shared" si="8"/>
        <v>100</v>
      </c>
      <c r="L21" s="61">
        <f t="shared" si="8"/>
        <v>100</v>
      </c>
      <c r="M21" s="61">
        <f t="shared" si="8"/>
        <v>100</v>
      </c>
      <c r="N21" s="60">
        <f t="shared" si="8"/>
        <v>100</v>
      </c>
      <c r="O21" s="63">
        <f t="shared" si="7"/>
        <v>1200</v>
      </c>
    </row>
    <row r="22" spans="2:15" x14ac:dyDescent="0.3">
      <c r="B22" s="71" t="s">
        <v>14</v>
      </c>
      <c r="C22" s="85">
        <v>100</v>
      </c>
      <c r="D22" s="59">
        <f t="shared" si="8"/>
        <v>100</v>
      </c>
      <c r="E22" s="60">
        <f t="shared" si="8"/>
        <v>100</v>
      </c>
      <c r="F22" s="61">
        <f t="shared" si="8"/>
        <v>100</v>
      </c>
      <c r="G22" s="61">
        <f t="shared" si="8"/>
        <v>100</v>
      </c>
      <c r="H22" s="61">
        <f t="shared" si="8"/>
        <v>100</v>
      </c>
      <c r="I22" s="62">
        <f t="shared" si="8"/>
        <v>100</v>
      </c>
      <c r="J22" s="59">
        <f t="shared" si="8"/>
        <v>100</v>
      </c>
      <c r="K22" s="60">
        <f t="shared" si="8"/>
        <v>100</v>
      </c>
      <c r="L22" s="61">
        <f t="shared" si="8"/>
        <v>100</v>
      </c>
      <c r="M22" s="61">
        <f t="shared" si="8"/>
        <v>100</v>
      </c>
      <c r="N22" s="60">
        <f t="shared" si="8"/>
        <v>100</v>
      </c>
      <c r="O22" s="63">
        <f t="shared" si="7"/>
        <v>1200</v>
      </c>
    </row>
    <row r="23" spans="2:15" x14ac:dyDescent="0.3">
      <c r="B23" s="71" t="s">
        <v>15</v>
      </c>
      <c r="C23" s="85">
        <v>100</v>
      </c>
      <c r="D23" s="59">
        <f t="shared" si="8"/>
        <v>100</v>
      </c>
      <c r="E23" s="60">
        <f t="shared" si="8"/>
        <v>100</v>
      </c>
      <c r="F23" s="61">
        <f t="shared" si="8"/>
        <v>100</v>
      </c>
      <c r="G23" s="61">
        <f t="shared" si="8"/>
        <v>100</v>
      </c>
      <c r="H23" s="61">
        <f t="shared" si="8"/>
        <v>100</v>
      </c>
      <c r="I23" s="62">
        <f t="shared" si="8"/>
        <v>100</v>
      </c>
      <c r="J23" s="59">
        <f t="shared" si="8"/>
        <v>100</v>
      </c>
      <c r="K23" s="60">
        <f t="shared" si="8"/>
        <v>100</v>
      </c>
      <c r="L23" s="61">
        <f t="shared" si="8"/>
        <v>100</v>
      </c>
      <c r="M23" s="61">
        <f t="shared" si="8"/>
        <v>100</v>
      </c>
      <c r="N23" s="60">
        <f t="shared" si="8"/>
        <v>100</v>
      </c>
      <c r="O23" s="63">
        <f t="shared" si="7"/>
        <v>1200</v>
      </c>
    </row>
    <row r="24" spans="2:15" x14ac:dyDescent="0.3">
      <c r="C24" s="82"/>
      <c r="D24" s="82"/>
      <c r="E24" s="82"/>
      <c r="F24" s="82"/>
      <c r="I24" s="82"/>
      <c r="J24" s="82"/>
      <c r="K24" s="82"/>
      <c r="L24" s="82"/>
      <c r="N24" s="82"/>
      <c r="O24" s="82"/>
    </row>
    <row r="25" spans="2:15" ht="15.6" x14ac:dyDescent="0.3">
      <c r="B25" s="78" t="s">
        <v>54</v>
      </c>
      <c r="C25" s="79">
        <f>SUM(C26:C33)</f>
        <v>800</v>
      </c>
      <c r="D25" s="80">
        <f t="shared" ref="D25:N25" si="9">SUM(D26:D33)</f>
        <v>800</v>
      </c>
      <c r="E25" s="81">
        <f t="shared" si="9"/>
        <v>800</v>
      </c>
      <c r="F25" s="80">
        <f t="shared" si="9"/>
        <v>800</v>
      </c>
      <c r="G25" s="80">
        <f t="shared" si="9"/>
        <v>800</v>
      </c>
      <c r="H25" s="80">
        <f t="shared" si="9"/>
        <v>800</v>
      </c>
      <c r="I25" s="79">
        <f t="shared" si="9"/>
        <v>800</v>
      </c>
      <c r="J25" s="80">
        <f t="shared" si="9"/>
        <v>800</v>
      </c>
      <c r="K25" s="81">
        <f t="shared" si="9"/>
        <v>800</v>
      </c>
      <c r="L25" s="80">
        <f t="shared" si="9"/>
        <v>800</v>
      </c>
      <c r="M25" s="80">
        <f t="shared" si="9"/>
        <v>800</v>
      </c>
      <c r="N25" s="81">
        <f t="shared" si="9"/>
        <v>800</v>
      </c>
      <c r="O25" s="80">
        <f>SUM(C25:N25)</f>
        <v>9600</v>
      </c>
    </row>
    <row r="26" spans="2:15" x14ac:dyDescent="0.3">
      <c r="B26" s="71" t="s">
        <v>37</v>
      </c>
      <c r="C26" s="85">
        <v>100</v>
      </c>
      <c r="D26" s="59">
        <f>C26</f>
        <v>100</v>
      </c>
      <c r="E26" s="60">
        <f t="shared" ref="E26:N26" si="10">D26</f>
        <v>100</v>
      </c>
      <c r="F26" s="61">
        <f t="shared" si="10"/>
        <v>100</v>
      </c>
      <c r="G26" s="61">
        <f t="shared" si="10"/>
        <v>100</v>
      </c>
      <c r="H26" s="61">
        <f t="shared" si="10"/>
        <v>100</v>
      </c>
      <c r="I26" s="62">
        <f t="shared" si="10"/>
        <v>100</v>
      </c>
      <c r="J26" s="59">
        <f t="shared" si="10"/>
        <v>100</v>
      </c>
      <c r="K26" s="60">
        <f t="shared" si="10"/>
        <v>100</v>
      </c>
      <c r="L26" s="61">
        <f t="shared" si="10"/>
        <v>100</v>
      </c>
      <c r="M26" s="61">
        <f t="shared" si="10"/>
        <v>100</v>
      </c>
      <c r="N26" s="60">
        <f t="shared" si="10"/>
        <v>100</v>
      </c>
      <c r="O26" s="63">
        <f t="shared" ref="O26:O33" si="11">SUM(C26:N26)</f>
        <v>1200</v>
      </c>
    </row>
    <row r="27" spans="2:15" x14ac:dyDescent="0.3">
      <c r="B27" s="71" t="s">
        <v>16</v>
      </c>
      <c r="C27" s="85">
        <v>100</v>
      </c>
      <c r="D27" s="59">
        <f t="shared" ref="D27:N27" si="12">C27</f>
        <v>100</v>
      </c>
      <c r="E27" s="60">
        <f t="shared" si="12"/>
        <v>100</v>
      </c>
      <c r="F27" s="61">
        <f t="shared" si="12"/>
        <v>100</v>
      </c>
      <c r="G27" s="61">
        <f t="shared" si="12"/>
        <v>100</v>
      </c>
      <c r="H27" s="61">
        <f t="shared" si="12"/>
        <v>100</v>
      </c>
      <c r="I27" s="62">
        <f t="shared" si="12"/>
        <v>100</v>
      </c>
      <c r="J27" s="59">
        <f t="shared" si="12"/>
        <v>100</v>
      </c>
      <c r="K27" s="60">
        <f t="shared" si="12"/>
        <v>100</v>
      </c>
      <c r="L27" s="61">
        <f t="shared" si="12"/>
        <v>100</v>
      </c>
      <c r="M27" s="61">
        <f t="shared" si="12"/>
        <v>100</v>
      </c>
      <c r="N27" s="60">
        <f t="shared" si="12"/>
        <v>100</v>
      </c>
      <c r="O27" s="63">
        <f t="shared" si="11"/>
        <v>1200</v>
      </c>
    </row>
    <row r="28" spans="2:15" x14ac:dyDescent="0.3">
      <c r="B28" s="71" t="s">
        <v>38</v>
      </c>
      <c r="C28" s="85">
        <v>100</v>
      </c>
      <c r="D28" s="59">
        <f t="shared" ref="D28:N28" si="13">C28</f>
        <v>100</v>
      </c>
      <c r="E28" s="60">
        <f t="shared" si="13"/>
        <v>100</v>
      </c>
      <c r="F28" s="61">
        <f t="shared" si="13"/>
        <v>100</v>
      </c>
      <c r="G28" s="61">
        <f t="shared" si="13"/>
        <v>100</v>
      </c>
      <c r="H28" s="61">
        <f t="shared" si="13"/>
        <v>100</v>
      </c>
      <c r="I28" s="62">
        <f t="shared" si="13"/>
        <v>100</v>
      </c>
      <c r="J28" s="59">
        <f t="shared" si="13"/>
        <v>100</v>
      </c>
      <c r="K28" s="60">
        <f t="shared" si="13"/>
        <v>100</v>
      </c>
      <c r="L28" s="61">
        <f t="shared" si="13"/>
        <v>100</v>
      </c>
      <c r="M28" s="61">
        <f t="shared" si="13"/>
        <v>100</v>
      </c>
      <c r="N28" s="60">
        <f t="shared" si="13"/>
        <v>100</v>
      </c>
      <c r="O28" s="63">
        <f t="shared" si="11"/>
        <v>1200</v>
      </c>
    </row>
    <row r="29" spans="2:15" x14ac:dyDescent="0.3">
      <c r="B29" s="71" t="s">
        <v>39</v>
      </c>
      <c r="C29" s="85">
        <v>100</v>
      </c>
      <c r="D29" s="59">
        <f t="shared" ref="D29:N29" si="14">C29</f>
        <v>100</v>
      </c>
      <c r="E29" s="60">
        <f t="shared" si="14"/>
        <v>100</v>
      </c>
      <c r="F29" s="61">
        <f t="shared" si="14"/>
        <v>100</v>
      </c>
      <c r="G29" s="61">
        <f t="shared" si="14"/>
        <v>100</v>
      </c>
      <c r="H29" s="61">
        <f t="shared" si="14"/>
        <v>100</v>
      </c>
      <c r="I29" s="62">
        <f t="shared" si="14"/>
        <v>100</v>
      </c>
      <c r="J29" s="59">
        <f t="shared" si="14"/>
        <v>100</v>
      </c>
      <c r="K29" s="60">
        <f t="shared" si="14"/>
        <v>100</v>
      </c>
      <c r="L29" s="61">
        <f t="shared" si="14"/>
        <v>100</v>
      </c>
      <c r="M29" s="61">
        <f t="shared" si="14"/>
        <v>100</v>
      </c>
      <c r="N29" s="60">
        <f t="shared" si="14"/>
        <v>100</v>
      </c>
      <c r="O29" s="63">
        <f t="shared" si="11"/>
        <v>1200</v>
      </c>
    </row>
    <row r="30" spans="2:15" x14ac:dyDescent="0.3">
      <c r="B30" s="71" t="s">
        <v>41</v>
      </c>
      <c r="C30" s="85">
        <v>100</v>
      </c>
      <c r="D30" s="59">
        <f t="shared" ref="D30:N30" si="15">C30</f>
        <v>100</v>
      </c>
      <c r="E30" s="60">
        <f t="shared" si="15"/>
        <v>100</v>
      </c>
      <c r="F30" s="61">
        <f t="shared" si="15"/>
        <v>100</v>
      </c>
      <c r="G30" s="61">
        <f t="shared" si="15"/>
        <v>100</v>
      </c>
      <c r="H30" s="61">
        <f t="shared" si="15"/>
        <v>100</v>
      </c>
      <c r="I30" s="62">
        <f t="shared" si="15"/>
        <v>100</v>
      </c>
      <c r="J30" s="59">
        <f t="shared" si="15"/>
        <v>100</v>
      </c>
      <c r="K30" s="60">
        <f t="shared" si="15"/>
        <v>100</v>
      </c>
      <c r="L30" s="61">
        <f t="shared" si="15"/>
        <v>100</v>
      </c>
      <c r="M30" s="61">
        <f t="shared" si="15"/>
        <v>100</v>
      </c>
      <c r="N30" s="60">
        <f t="shared" si="15"/>
        <v>100</v>
      </c>
      <c r="O30" s="63">
        <f t="shared" si="11"/>
        <v>1200</v>
      </c>
    </row>
    <row r="31" spans="2:15" x14ac:dyDescent="0.3">
      <c r="B31" s="71" t="s">
        <v>42</v>
      </c>
      <c r="C31" s="85">
        <v>100</v>
      </c>
      <c r="D31" s="59">
        <f t="shared" ref="D31:N31" si="16">C31</f>
        <v>100</v>
      </c>
      <c r="E31" s="60">
        <f t="shared" si="16"/>
        <v>100</v>
      </c>
      <c r="F31" s="61">
        <f t="shared" si="16"/>
        <v>100</v>
      </c>
      <c r="G31" s="61">
        <f t="shared" si="16"/>
        <v>100</v>
      </c>
      <c r="H31" s="61">
        <f t="shared" si="16"/>
        <v>100</v>
      </c>
      <c r="I31" s="62">
        <f t="shared" si="16"/>
        <v>100</v>
      </c>
      <c r="J31" s="59">
        <f t="shared" si="16"/>
        <v>100</v>
      </c>
      <c r="K31" s="60">
        <f t="shared" si="16"/>
        <v>100</v>
      </c>
      <c r="L31" s="61">
        <f t="shared" si="16"/>
        <v>100</v>
      </c>
      <c r="M31" s="61">
        <f t="shared" si="16"/>
        <v>100</v>
      </c>
      <c r="N31" s="60">
        <f t="shared" si="16"/>
        <v>100</v>
      </c>
      <c r="O31" s="63">
        <f t="shared" si="11"/>
        <v>1200</v>
      </c>
    </row>
    <row r="32" spans="2:15" x14ac:dyDescent="0.3">
      <c r="B32" s="71" t="s">
        <v>43</v>
      </c>
      <c r="C32" s="85">
        <v>100</v>
      </c>
      <c r="D32" s="59">
        <f t="shared" ref="D32:N32" si="17">C32</f>
        <v>100</v>
      </c>
      <c r="E32" s="60">
        <f t="shared" si="17"/>
        <v>100</v>
      </c>
      <c r="F32" s="61">
        <f t="shared" si="17"/>
        <v>100</v>
      </c>
      <c r="G32" s="61">
        <f t="shared" si="17"/>
        <v>100</v>
      </c>
      <c r="H32" s="61">
        <f t="shared" si="17"/>
        <v>100</v>
      </c>
      <c r="I32" s="62">
        <f t="shared" si="17"/>
        <v>100</v>
      </c>
      <c r="J32" s="59">
        <f t="shared" si="17"/>
        <v>100</v>
      </c>
      <c r="K32" s="60">
        <f t="shared" si="17"/>
        <v>100</v>
      </c>
      <c r="L32" s="61">
        <f t="shared" si="17"/>
        <v>100</v>
      </c>
      <c r="M32" s="61">
        <f t="shared" si="17"/>
        <v>100</v>
      </c>
      <c r="N32" s="60">
        <f t="shared" si="17"/>
        <v>100</v>
      </c>
      <c r="O32" s="63">
        <f t="shared" si="11"/>
        <v>1200</v>
      </c>
    </row>
    <row r="33" spans="2:15" x14ac:dyDescent="0.3">
      <c r="B33" s="71" t="s">
        <v>44</v>
      </c>
      <c r="C33" s="85">
        <v>100</v>
      </c>
      <c r="D33" s="59">
        <f t="shared" ref="D33:N33" si="18">C33</f>
        <v>100</v>
      </c>
      <c r="E33" s="60">
        <f t="shared" si="18"/>
        <v>100</v>
      </c>
      <c r="F33" s="61">
        <f t="shared" si="18"/>
        <v>100</v>
      </c>
      <c r="G33" s="61">
        <f t="shared" si="18"/>
        <v>100</v>
      </c>
      <c r="H33" s="61">
        <f t="shared" si="18"/>
        <v>100</v>
      </c>
      <c r="I33" s="62">
        <f t="shared" si="18"/>
        <v>100</v>
      </c>
      <c r="J33" s="59">
        <f t="shared" si="18"/>
        <v>100</v>
      </c>
      <c r="K33" s="60">
        <f t="shared" si="18"/>
        <v>100</v>
      </c>
      <c r="L33" s="61">
        <f t="shared" si="18"/>
        <v>100</v>
      </c>
      <c r="M33" s="61">
        <f t="shared" si="18"/>
        <v>100</v>
      </c>
      <c r="N33" s="60">
        <f t="shared" si="18"/>
        <v>100</v>
      </c>
      <c r="O33" s="63">
        <f t="shared" si="11"/>
        <v>1200</v>
      </c>
    </row>
    <row r="35" spans="2:15" x14ac:dyDescent="0.3">
      <c r="B35" s="83"/>
      <c r="C35" s="84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</sheetData>
  <mergeCells count="7">
    <mergeCell ref="O6:O7"/>
    <mergeCell ref="B1:L4"/>
    <mergeCell ref="C6:E6"/>
    <mergeCell ref="F6:H6"/>
    <mergeCell ref="I6:K6"/>
    <mergeCell ref="L6:N6"/>
    <mergeCell ref="B6:B7"/>
  </mergeCells>
  <conditionalFormatting sqref="C12:O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CFDC-596E-43E3-92CA-9F6993281F83}">
  <dimension ref="A1:I199"/>
  <sheetViews>
    <sheetView showGridLines="0" tabSelected="1" zoomScale="85" zoomScaleNormal="85" workbookViewId="0">
      <selection activeCell="B1" sqref="B1:I3"/>
    </sheetView>
  </sheetViews>
  <sheetFormatPr defaultColWidth="8.88671875" defaultRowHeight="14.4" x14ac:dyDescent="0.3"/>
  <cols>
    <col min="1" max="1" width="0.44140625" style="21" customWidth="1"/>
    <col min="2" max="3" width="20.6640625" style="11" customWidth="1"/>
    <col min="4" max="4" width="18.88671875" style="11" customWidth="1"/>
    <col min="5" max="5" width="24.6640625" style="11" bestFit="1" customWidth="1"/>
    <col min="6" max="6" width="22.88671875" style="11" customWidth="1"/>
    <col min="7" max="7" width="18.21875" style="11" customWidth="1"/>
    <col min="8" max="8" width="24.5546875" style="11" customWidth="1"/>
    <col min="9" max="9" width="26.77734375" style="11" customWidth="1"/>
    <col min="10" max="16384" width="8.88671875" style="11"/>
  </cols>
  <sheetData>
    <row r="1" spans="1:9" ht="14.4" customHeight="1" x14ac:dyDescent="0.3">
      <c r="A1" s="33" t="s">
        <v>8</v>
      </c>
      <c r="B1" s="94" t="s">
        <v>60</v>
      </c>
      <c r="C1" s="94"/>
      <c r="D1" s="94"/>
      <c r="E1" s="94"/>
      <c r="F1" s="94"/>
      <c r="G1" s="94"/>
      <c r="H1" s="94"/>
      <c r="I1" s="94"/>
    </row>
    <row r="2" spans="1:9" ht="14.4" customHeight="1" x14ac:dyDescent="0.3">
      <c r="A2" s="34"/>
      <c r="B2" s="94"/>
      <c r="C2" s="94"/>
      <c r="D2" s="94"/>
      <c r="E2" s="94"/>
      <c r="F2" s="94"/>
      <c r="G2" s="94"/>
      <c r="H2" s="94"/>
      <c r="I2" s="94"/>
    </row>
    <row r="3" spans="1:9" ht="35.1" customHeight="1" x14ac:dyDescent="0.3">
      <c r="A3" s="35"/>
      <c r="B3" s="94"/>
      <c r="C3" s="94"/>
      <c r="D3" s="94"/>
      <c r="E3" s="94"/>
      <c r="F3" s="94"/>
      <c r="G3" s="94"/>
      <c r="H3" s="94"/>
      <c r="I3" s="94"/>
    </row>
    <row r="5" spans="1:9" ht="15" thickBot="1" x14ac:dyDescent="0.35">
      <c r="B5" s="104" t="s">
        <v>52</v>
      </c>
      <c r="C5" s="105"/>
      <c r="D5" s="13">
        <v>1400</v>
      </c>
      <c r="F5" s="89" t="s">
        <v>19</v>
      </c>
      <c r="G5" s="88">
        <v>0.1125</v>
      </c>
      <c r="I5" s="12"/>
    </row>
    <row r="6" spans="1:9" ht="15" thickBot="1" x14ac:dyDescent="0.35">
      <c r="B6" s="104" t="s">
        <v>27</v>
      </c>
      <c r="C6" s="105"/>
      <c r="D6" s="13">
        <v>800</v>
      </c>
      <c r="F6" s="106" t="s">
        <v>20</v>
      </c>
      <c r="G6" s="107"/>
      <c r="H6" s="107"/>
      <c r="I6" s="108"/>
    </row>
    <row r="7" spans="1:9" x14ac:dyDescent="0.3">
      <c r="B7" s="48" t="s">
        <v>26</v>
      </c>
      <c r="C7" s="86">
        <f>600/1400</f>
        <v>0.42857142857142855</v>
      </c>
      <c r="D7" s="13">
        <f>C7*D5</f>
        <v>600</v>
      </c>
      <c r="F7" s="32" t="s">
        <v>34</v>
      </c>
      <c r="G7" s="8" t="s">
        <v>5</v>
      </c>
      <c r="H7" s="8" t="s">
        <v>9</v>
      </c>
      <c r="I7" s="9" t="s">
        <v>33</v>
      </c>
    </row>
    <row r="8" spans="1:9" x14ac:dyDescent="0.3">
      <c r="B8" s="104" t="s">
        <v>25</v>
      </c>
      <c r="C8" s="105"/>
      <c r="D8" s="47">
        <f>(D6+D7)/D5</f>
        <v>1</v>
      </c>
      <c r="F8" s="14" t="s">
        <v>4</v>
      </c>
      <c r="G8" s="42">
        <f>G5</f>
        <v>0.1125</v>
      </c>
      <c r="H8" s="58">
        <v>1.5499999999999999E-3</v>
      </c>
      <c r="I8" s="55">
        <f>((G5-0.1%)+H8)*(1-15%)</f>
        <v>9.6092499999999997E-2</v>
      </c>
    </row>
    <row r="9" spans="1:9" x14ac:dyDescent="0.3">
      <c r="D9" s="15"/>
      <c r="F9" s="14" t="s">
        <v>1</v>
      </c>
      <c r="G9" s="43">
        <v>0.99</v>
      </c>
      <c r="H9" s="45">
        <v>0</v>
      </c>
      <c r="I9" s="56">
        <f>((G5-0.1%)*G9)*(1-15%)</f>
        <v>9.3827250000000001E-2</v>
      </c>
    </row>
    <row r="10" spans="1:9" x14ac:dyDescent="0.3">
      <c r="B10" s="104" t="s">
        <v>0</v>
      </c>
      <c r="C10" s="105"/>
      <c r="D10" s="90">
        <v>12</v>
      </c>
      <c r="F10" s="14" t="s">
        <v>17</v>
      </c>
      <c r="G10" s="43">
        <v>1</v>
      </c>
      <c r="H10" s="45">
        <v>0</v>
      </c>
      <c r="I10" s="56">
        <f>((G5-0.1%)*G10)*(1-15%)</f>
        <v>9.4774999999999998E-2</v>
      </c>
    </row>
    <row r="11" spans="1:9" ht="15" thickBot="1" x14ac:dyDescent="0.35">
      <c r="B11" s="104" t="s">
        <v>28</v>
      </c>
      <c r="C11" s="105"/>
      <c r="D11" s="16">
        <f>D6*D10</f>
        <v>9600</v>
      </c>
      <c r="F11" s="17" t="s">
        <v>18</v>
      </c>
      <c r="G11" s="44">
        <v>1</v>
      </c>
      <c r="H11" s="46">
        <v>0</v>
      </c>
      <c r="I11" s="57">
        <f>((G5-0.1%)*G11)*(1-15%)</f>
        <v>9.4774999999999998E-2</v>
      </c>
    </row>
    <row r="12" spans="1:9" x14ac:dyDescent="0.3">
      <c r="D12" s="15"/>
      <c r="F12" s="18" t="s">
        <v>23</v>
      </c>
    </row>
    <row r="13" spans="1:9" ht="15" customHeight="1" x14ac:dyDescent="0.3">
      <c r="B13" s="104" t="s">
        <v>2</v>
      </c>
      <c r="C13" s="105"/>
      <c r="D13" s="19">
        <f>(1+D14)^(1/12)-1</f>
        <v>8.9237257287477778E-3</v>
      </c>
      <c r="F13" s="18" t="s">
        <v>24</v>
      </c>
      <c r="G13" s="20"/>
      <c r="H13" s="20"/>
      <c r="I13" s="20"/>
    </row>
    <row r="14" spans="1:9" x14ac:dyDescent="0.3">
      <c r="B14" s="104" t="s">
        <v>3</v>
      </c>
      <c r="C14" s="105"/>
      <c r="D14" s="19">
        <f>G5</f>
        <v>0.1125</v>
      </c>
      <c r="G14" s="18"/>
      <c r="H14" s="20"/>
      <c r="I14" s="20"/>
    </row>
    <row r="15" spans="1:9" s="21" customFormat="1" x14ac:dyDescent="0.3">
      <c r="B15" s="22"/>
      <c r="C15" s="22"/>
      <c r="D15" s="22"/>
      <c r="E15" s="23"/>
      <c r="G15" s="24"/>
      <c r="H15" s="25"/>
      <c r="I15" s="25"/>
    </row>
    <row r="16" spans="1:9" ht="31.2" customHeight="1" x14ac:dyDescent="0.3">
      <c r="B16" s="7"/>
      <c r="C16" s="100" t="s">
        <v>29</v>
      </c>
      <c r="D16" s="101"/>
      <c r="E16" s="101"/>
      <c r="F16" s="102">
        <f>ROUNDUP(NPER(D13,-D7,0,D11,0),0)</f>
        <v>16</v>
      </c>
      <c r="G16" s="102"/>
      <c r="H16" s="103"/>
      <c r="I16" s="54"/>
    </row>
    <row r="17" spans="2:9" ht="15" thickBot="1" x14ac:dyDescent="0.35">
      <c r="F17" s="26"/>
    </row>
    <row r="18" spans="2:9" ht="28.8" customHeight="1" thickBot="1" x14ac:dyDescent="0.35">
      <c r="B18" s="97" t="s">
        <v>7</v>
      </c>
      <c r="C18" s="98"/>
      <c r="D18" s="98"/>
      <c r="E18" s="98"/>
      <c r="F18" s="98"/>
      <c r="G18" s="98"/>
      <c r="H18" s="98"/>
      <c r="I18" s="99"/>
    </row>
    <row r="19" spans="2:9" ht="15" thickBot="1" x14ac:dyDescent="0.35">
      <c r="B19" s="27" t="s">
        <v>6</v>
      </c>
      <c r="C19" s="36" t="s">
        <v>21</v>
      </c>
      <c r="D19" s="10" t="s">
        <v>30</v>
      </c>
      <c r="E19" s="10" t="s">
        <v>26</v>
      </c>
      <c r="F19" s="10" t="s">
        <v>2</v>
      </c>
      <c r="G19" s="10" t="s">
        <v>31</v>
      </c>
      <c r="H19" s="10" t="s">
        <v>32</v>
      </c>
      <c r="I19" s="41" t="s">
        <v>22</v>
      </c>
    </row>
    <row r="20" spans="2:9" x14ac:dyDescent="0.3">
      <c r="B20" s="28">
        <v>1</v>
      </c>
      <c r="C20" s="28">
        <v>1</v>
      </c>
      <c r="D20" s="29">
        <v>500</v>
      </c>
      <c r="E20" s="37">
        <f t="shared" ref="E20:E51" si="0">$D$7</f>
        <v>600</v>
      </c>
      <c r="F20" s="38">
        <f t="shared" ref="F20:F51" si="1">$D$13</f>
        <v>8.9237257287477778E-3</v>
      </c>
      <c r="G20" s="37">
        <f>(Tabela2[[#This Row],[VALOR INICIAL R$]]+Tabela2[[#This Row],[APORTE MENSAL R$]])*(1+$D$13)</f>
        <v>1109.8160983016226</v>
      </c>
      <c r="H20" s="37">
        <f>Tabela2[[#This Row],[VALOR FINAL R$]]-Tabela2[[#This Row],[VALOR INICIAL R$]]-Tabela2[[#This Row],[APORTE MENSAL R$]]</f>
        <v>9.81609830162256</v>
      </c>
      <c r="I20" s="39">
        <f>Tabela2[[#This Row],[VALOR FINAL R$]]/$D$11</f>
        <v>0.11560584357308569</v>
      </c>
    </row>
    <row r="21" spans="2:9" x14ac:dyDescent="0.3">
      <c r="B21" s="30">
        <v>2</v>
      </c>
      <c r="C21" s="30">
        <v>1</v>
      </c>
      <c r="D21" s="31">
        <f>G20</f>
        <v>1109.8160983016226</v>
      </c>
      <c r="E21" s="31">
        <f t="shared" si="0"/>
        <v>600</v>
      </c>
      <c r="F21" s="40">
        <f t="shared" si="1"/>
        <v>8.9237257287477778E-3</v>
      </c>
      <c r="G21" s="31">
        <f>(Tabela2[[#This Row],[VALOR INICIAL R$]]+Tabela2[[#This Row],[APORTE MENSAL R$]])*(1+$D$13)</f>
        <v>1725.0740282094639</v>
      </c>
      <c r="H21" s="31">
        <f>Tabela2[[#This Row],[VALOR FINAL R$]]-Tabela2[[#This Row],[VALOR INICIAL R$]]-Tabela2[[#This Row],[APORTE MENSAL R$]]</f>
        <v>15.257929907841344</v>
      </c>
      <c r="I21" s="39">
        <f>Tabela2[[#This Row],[VALOR FINAL R$]]/$D$11</f>
        <v>0.17969521127181914</v>
      </c>
    </row>
    <row r="22" spans="2:9" x14ac:dyDescent="0.3">
      <c r="B22" s="30">
        <v>3</v>
      </c>
      <c r="C22" s="30">
        <v>1</v>
      </c>
      <c r="D22" s="31">
        <f t="shared" ref="D22:D85" si="2">G21</f>
        <v>1725.0740282094639</v>
      </c>
      <c r="E22" s="31">
        <f t="shared" si="0"/>
        <v>600</v>
      </c>
      <c r="F22" s="40">
        <f t="shared" si="1"/>
        <v>8.9237257287477778E-3</v>
      </c>
      <c r="G22" s="31">
        <f>(Tabela2[[#This Row],[VALOR INICIAL R$]]+Tabela2[[#This Row],[APORTE MENSAL R$]])*(1+$D$13)</f>
        <v>2345.8223511362398</v>
      </c>
      <c r="H22" s="31">
        <f>Tabela2[[#This Row],[VALOR FINAL R$]]-Tabela2[[#This Row],[VALOR INICIAL R$]]-Tabela2[[#This Row],[APORTE MENSAL R$]]</f>
        <v>20.748322926775927</v>
      </c>
      <c r="I22" s="39">
        <f>Tabela2[[#This Row],[VALOR FINAL R$]]/$D$11</f>
        <v>0.24435649491002498</v>
      </c>
    </row>
    <row r="23" spans="2:9" x14ac:dyDescent="0.3">
      <c r="B23" s="30">
        <v>4</v>
      </c>
      <c r="C23" s="30">
        <v>1</v>
      </c>
      <c r="D23" s="31">
        <f t="shared" si="2"/>
        <v>2345.8223511362398</v>
      </c>
      <c r="E23" s="31">
        <f t="shared" si="0"/>
        <v>600</v>
      </c>
      <c r="F23" s="40">
        <f t="shared" si="1"/>
        <v>8.9237257287477778E-3</v>
      </c>
      <c r="G23" s="31">
        <f>(Tabela2[[#This Row],[VALOR INICIAL R$]]+Tabela2[[#This Row],[APORTE MENSAL R$]])*(1+$D$13)</f>
        <v>2972.1100618433948</v>
      </c>
      <c r="H23" s="31">
        <f>Tabela2[[#This Row],[VALOR FINAL R$]]-Tabela2[[#This Row],[VALOR INICIAL R$]]-Tabela2[[#This Row],[APORTE MENSAL R$]]</f>
        <v>26.287710707154929</v>
      </c>
      <c r="I23" s="39">
        <f>Tabela2[[#This Row],[VALOR FINAL R$]]/$D$11</f>
        <v>0.30959479810868695</v>
      </c>
    </row>
    <row r="24" spans="2:9" x14ac:dyDescent="0.3">
      <c r="B24" s="30">
        <v>5</v>
      </c>
      <c r="C24" s="30">
        <v>1</v>
      </c>
      <c r="D24" s="31">
        <f t="shared" si="2"/>
        <v>2972.1100618433948</v>
      </c>
      <c r="E24" s="31">
        <f t="shared" si="0"/>
        <v>600</v>
      </c>
      <c r="F24" s="40">
        <f t="shared" si="1"/>
        <v>8.9237257287477778E-3</v>
      </c>
      <c r="G24" s="31">
        <f>(Tabela2[[#This Row],[VALOR INICIAL R$]]+Tabela2[[#This Row],[APORTE MENSAL R$]])*(1+$D$13)</f>
        <v>3603.9865923081857</v>
      </c>
      <c r="H24" s="31">
        <f>Tabela2[[#This Row],[VALOR FINAL R$]]-Tabela2[[#This Row],[VALOR INICIAL R$]]-Tabela2[[#This Row],[APORTE MENSAL R$]]</f>
        <v>31.876530464790903</v>
      </c>
      <c r="I24" s="39">
        <f>Tabela2[[#This Row],[VALOR FINAL R$]]/$D$11</f>
        <v>0.37541527003210268</v>
      </c>
    </row>
    <row r="25" spans="2:9" x14ac:dyDescent="0.3">
      <c r="B25" s="30">
        <v>6</v>
      </c>
      <c r="C25" s="30">
        <v>1</v>
      </c>
      <c r="D25" s="31">
        <f t="shared" si="2"/>
        <v>3603.9865923081857</v>
      </c>
      <c r="E25" s="31">
        <f t="shared" si="0"/>
        <v>600</v>
      </c>
      <c r="F25" s="40">
        <f t="shared" si="1"/>
        <v>8.9237257287477778E-3</v>
      </c>
      <c r="G25" s="31">
        <f>(Tabela2[[#This Row],[VALOR INICIAL R$]]+Tabela2[[#This Row],[APORTE MENSAL R$]])*(1+$D$13)</f>
        <v>4241.5018156252763</v>
      </c>
      <c r="H25" s="31">
        <f>Tabela2[[#This Row],[VALOR FINAL R$]]-Tabela2[[#This Row],[VALOR INICIAL R$]]-Tabela2[[#This Row],[APORTE MENSAL R$]]</f>
        <v>37.515223317090658</v>
      </c>
      <c r="I25" s="39">
        <f>Tabela2[[#This Row],[VALOR FINAL R$]]/$D$11</f>
        <v>0.44182310579429962</v>
      </c>
    </row>
    <row r="26" spans="2:9" x14ac:dyDescent="0.3">
      <c r="B26" s="30">
        <v>7</v>
      </c>
      <c r="C26" s="30">
        <v>1</v>
      </c>
      <c r="D26" s="31">
        <f t="shared" si="2"/>
        <v>4241.5018156252763</v>
      </c>
      <c r="E26" s="31">
        <f t="shared" si="0"/>
        <v>600</v>
      </c>
      <c r="F26" s="40">
        <f t="shared" si="1"/>
        <v>8.9237257287477778E-3</v>
      </c>
      <c r="G26" s="31">
        <f>(Tabela2[[#This Row],[VALOR INICIAL R$]]+Tabela2[[#This Row],[APORTE MENSAL R$]])*(1+$D$13)</f>
        <v>4884.7060499431509</v>
      </c>
      <c r="H26" s="31">
        <f>Tabela2[[#This Row],[VALOR FINAL R$]]-Tabela2[[#This Row],[VALOR INICIAL R$]]-Tabela2[[#This Row],[APORTE MENSAL R$]]</f>
        <v>43.20423431787458</v>
      </c>
      <c r="I26" s="39">
        <f>Tabela2[[#This Row],[VALOR FINAL R$]]/$D$11</f>
        <v>0.50882354686907827</v>
      </c>
    </row>
    <row r="27" spans="2:9" x14ac:dyDescent="0.3">
      <c r="B27" s="30">
        <v>8</v>
      </c>
      <c r="C27" s="30">
        <v>1</v>
      </c>
      <c r="D27" s="31">
        <f t="shared" si="2"/>
        <v>4884.7060499431509</v>
      </c>
      <c r="E27" s="31">
        <f t="shared" si="0"/>
        <v>600</v>
      </c>
      <c r="F27" s="40">
        <f t="shared" si="1"/>
        <v>8.9237257287477778E-3</v>
      </c>
      <c r="G27" s="31">
        <f>(Tabela2[[#This Row],[VALOR INICIAL R$]]+Tabela2[[#This Row],[APORTE MENSAL R$]])*(1+$D$13)</f>
        <v>5533.6500624356468</v>
      </c>
      <c r="H27" s="31">
        <f>Tabela2[[#This Row],[VALOR FINAL R$]]-Tabela2[[#This Row],[VALOR INICIAL R$]]-Tabela2[[#This Row],[APORTE MENSAL R$]]</f>
        <v>48.944012492495858</v>
      </c>
      <c r="I27" s="39">
        <f>Tabela2[[#This Row],[VALOR FINAL R$]]/$D$11</f>
        <v>0.57642188150371321</v>
      </c>
    </row>
    <row r="28" spans="2:9" x14ac:dyDescent="0.3">
      <c r="B28" s="30">
        <v>9</v>
      </c>
      <c r="C28" s="30">
        <v>1</v>
      </c>
      <c r="D28" s="31">
        <f t="shared" si="2"/>
        <v>5533.6500624356468</v>
      </c>
      <c r="E28" s="31">
        <f t="shared" si="0"/>
        <v>600</v>
      </c>
      <c r="F28" s="40">
        <f t="shared" si="1"/>
        <v>8.9237257287477778E-3</v>
      </c>
      <c r="G28" s="31">
        <f>(Tabela2[[#This Row],[VALOR INICIAL R$]]+Tabela2[[#This Row],[APORTE MENSAL R$]])*(1+$D$13)</f>
        <v>6188.3850733089394</v>
      </c>
      <c r="H28" s="31">
        <f>Tabela2[[#This Row],[VALOR FINAL R$]]-Tabela2[[#This Row],[VALOR INICIAL R$]]-Tabela2[[#This Row],[APORTE MENSAL R$]]</f>
        <v>54.735010873292595</v>
      </c>
      <c r="I28" s="39">
        <f>Tabela2[[#This Row],[VALOR FINAL R$]]/$D$11</f>
        <v>0.64462344513634784</v>
      </c>
    </row>
    <row r="29" spans="2:9" x14ac:dyDescent="0.3">
      <c r="B29" s="30">
        <v>10</v>
      </c>
      <c r="C29" s="30">
        <v>1</v>
      </c>
      <c r="D29" s="31">
        <f t="shared" si="2"/>
        <v>6188.3850733089394</v>
      </c>
      <c r="E29" s="31">
        <f t="shared" si="0"/>
        <v>600</v>
      </c>
      <c r="F29" s="40">
        <f t="shared" si="1"/>
        <v>8.9237257287477778E-3</v>
      </c>
      <c r="G29" s="31">
        <f>(Tabela2[[#This Row],[VALOR INICIAL R$]]+Tabela2[[#This Row],[APORTE MENSAL R$]])*(1+$D$13)</f>
        <v>6848.9627598442739</v>
      </c>
      <c r="H29" s="31">
        <f>Tabela2[[#This Row],[VALOR FINAL R$]]-Tabela2[[#This Row],[VALOR INICIAL R$]]-Tabela2[[#This Row],[APORTE MENSAL R$]]</f>
        <v>60.577686535334578</v>
      </c>
      <c r="I29" s="39">
        <f>Tabela2[[#This Row],[VALOR FINAL R$]]/$D$11</f>
        <v>0.71343362081711181</v>
      </c>
    </row>
    <row r="30" spans="2:9" x14ac:dyDescent="0.3">
      <c r="B30" s="30">
        <v>11</v>
      </c>
      <c r="C30" s="30">
        <v>1</v>
      </c>
      <c r="D30" s="31">
        <f t="shared" si="2"/>
        <v>6848.9627598442739</v>
      </c>
      <c r="E30" s="31">
        <f t="shared" si="0"/>
        <v>600</v>
      </c>
      <c r="F30" s="40">
        <f t="shared" si="1"/>
        <v>8.9237257287477778E-3</v>
      </c>
      <c r="G30" s="31">
        <f>(Tabela2[[#This Row],[VALOR INICIAL R$]]+Tabela2[[#This Row],[APORTE MENSAL R$]])*(1+$D$13)</f>
        <v>7515.4352604767801</v>
      </c>
      <c r="H30" s="31">
        <f>Tabela2[[#This Row],[VALOR FINAL R$]]-Tabela2[[#This Row],[VALOR INICIAL R$]]-Tabela2[[#This Row],[APORTE MENSAL R$]]</f>
        <v>66.472500632506126</v>
      </c>
      <c r="I30" s="39">
        <f>Tabela2[[#This Row],[VALOR FINAL R$]]/$D$11</f>
        <v>0.78285783963299793</v>
      </c>
    </row>
    <row r="31" spans="2:9" x14ac:dyDescent="0.3">
      <c r="B31" s="30">
        <v>12</v>
      </c>
      <c r="C31" s="30">
        <v>1</v>
      </c>
      <c r="D31" s="31">
        <f t="shared" si="2"/>
        <v>7515.4352604767801</v>
      </c>
      <c r="E31" s="31">
        <f t="shared" si="0"/>
        <v>600</v>
      </c>
      <c r="F31" s="40">
        <f t="shared" si="1"/>
        <v>8.9237257287477778E-3</v>
      </c>
      <c r="G31" s="31">
        <f>(Tabela2[[#This Row],[VALOR INICIAL R$]]+Tabela2[[#This Row],[APORTE MENSAL R$]])*(1+$D$13)</f>
        <v>8187.8551789106832</v>
      </c>
      <c r="H31" s="31">
        <f>Tabela2[[#This Row],[VALOR FINAL R$]]-Tabela2[[#This Row],[VALOR INICIAL R$]]-Tabela2[[#This Row],[APORTE MENSAL R$]]</f>
        <v>72.419918433903149</v>
      </c>
      <c r="I31" s="39">
        <f>Tabela2[[#This Row],[VALOR FINAL R$]]/$D$11</f>
        <v>0.85290158113652947</v>
      </c>
    </row>
    <row r="32" spans="2:9" x14ac:dyDescent="0.3">
      <c r="B32" s="30">
        <v>13</v>
      </c>
      <c r="C32" s="30">
        <v>2</v>
      </c>
      <c r="D32" s="31">
        <f t="shared" si="2"/>
        <v>8187.8551789106832</v>
      </c>
      <c r="E32" s="31">
        <f t="shared" si="0"/>
        <v>600</v>
      </c>
      <c r="F32" s="40">
        <f t="shared" si="1"/>
        <v>8.9237257287477778E-3</v>
      </c>
      <c r="G32" s="31">
        <f>(Tabela2[[#This Row],[VALOR INICIAL R$]]+Tabela2[[#This Row],[APORTE MENSAL R$]])*(1+$D$13)</f>
        <v>8866.2755882712372</v>
      </c>
      <c r="H32" s="31">
        <f>Tabela2[[#This Row],[VALOR FINAL R$]]-Tabela2[[#This Row],[VALOR INICIAL R$]]-Tabela2[[#This Row],[APORTE MENSAL R$]]</f>
        <v>78.420409360554004</v>
      </c>
      <c r="I32" s="39">
        <f>Tabela2[[#This Row],[VALOR FINAL R$]]/$D$11</f>
        <v>0.92357037377825391</v>
      </c>
    </row>
    <row r="33" spans="2:9" x14ac:dyDescent="0.3">
      <c r="B33" s="30">
        <v>14</v>
      </c>
      <c r="C33" s="30">
        <v>2</v>
      </c>
      <c r="D33" s="31">
        <f t="shared" si="2"/>
        <v>8866.2755882712372</v>
      </c>
      <c r="E33" s="31">
        <f t="shared" si="0"/>
        <v>600</v>
      </c>
      <c r="F33" s="40">
        <f t="shared" si="1"/>
        <v>8.9237257287477778E-3</v>
      </c>
      <c r="G33" s="31">
        <f>(Tabela2[[#This Row],[VALOR INICIAL R$]]+Tabela2[[#This Row],[APORTE MENSAL R$]])*(1+$D$13)</f>
        <v>9550.7500352937095</v>
      </c>
      <c r="H33" s="31">
        <f>Tabela2[[#This Row],[VALOR FINAL R$]]-Tabela2[[#This Row],[VALOR INICIAL R$]]-Tabela2[[#This Row],[APORTE MENSAL R$]]</f>
        <v>84.474447022472305</v>
      </c>
      <c r="I33" s="39">
        <f>Tabela2[[#This Row],[VALOR FINAL R$]]/$D$11</f>
        <v>0.99486979534309472</v>
      </c>
    </row>
    <row r="34" spans="2:9" x14ac:dyDescent="0.3">
      <c r="B34" s="30">
        <v>15</v>
      </c>
      <c r="C34" s="30">
        <v>2</v>
      </c>
      <c r="D34" s="31">
        <f t="shared" si="2"/>
        <v>9550.7500352937095</v>
      </c>
      <c r="E34" s="31">
        <f t="shared" si="0"/>
        <v>600</v>
      </c>
      <c r="F34" s="40">
        <f t="shared" si="1"/>
        <v>8.9237257287477778E-3</v>
      </c>
      <c r="G34" s="31">
        <f>(Tabela2[[#This Row],[VALOR INICIAL R$]]+Tabela2[[#This Row],[APORTE MENSAL R$]])*(1+$D$13)</f>
        <v>10241.332544549747</v>
      </c>
      <c r="H34" s="31">
        <f>Tabela2[[#This Row],[VALOR FINAL R$]]-Tabela2[[#This Row],[VALOR INICIAL R$]]-Tabela2[[#This Row],[APORTE MENSAL R$]]</f>
        <v>90.582509256037156</v>
      </c>
      <c r="I34" s="39">
        <f>Tabela2[[#This Row],[VALOR FINAL R$]]/$D$11</f>
        <v>1.0668054733905985</v>
      </c>
    </row>
    <row r="35" spans="2:9" x14ac:dyDescent="0.3">
      <c r="B35" s="30">
        <v>16</v>
      </c>
      <c r="C35" s="30">
        <v>2</v>
      </c>
      <c r="D35" s="31">
        <f t="shared" si="2"/>
        <v>10241.332544549747</v>
      </c>
      <c r="E35" s="31">
        <f t="shared" si="0"/>
        <v>600</v>
      </c>
      <c r="F35" s="40">
        <f t="shared" si="1"/>
        <v>8.9237257287477778E-3</v>
      </c>
      <c r="G35" s="31">
        <f>(Tabela2[[#This Row],[VALOR INICIAL R$]]+Tabela2[[#This Row],[APORTE MENSAL R$]])*(1+$D$13)</f>
        <v>10938.077622711457</v>
      </c>
      <c r="H35" s="31">
        <f>Tabela2[[#This Row],[VALOR FINAL R$]]-Tabela2[[#This Row],[VALOR INICIAL R$]]-Tabela2[[#This Row],[APORTE MENSAL R$]]</f>
        <v>96.745078161709898</v>
      </c>
      <c r="I35" s="39">
        <f>Tabela2[[#This Row],[VALOR FINAL R$]]/$D$11</f>
        <v>1.1393830856991101</v>
      </c>
    </row>
    <row r="36" spans="2:9" x14ac:dyDescent="0.3">
      <c r="B36" s="30">
        <v>17</v>
      </c>
      <c r="C36" s="30">
        <v>2</v>
      </c>
      <c r="D36" s="31">
        <f t="shared" si="2"/>
        <v>10938.077622711457</v>
      </c>
      <c r="E36" s="31">
        <f t="shared" si="0"/>
        <v>600</v>
      </c>
      <c r="F36" s="40">
        <f t="shared" si="1"/>
        <v>8.9237257287477778E-3</v>
      </c>
      <c r="G36" s="31">
        <f>(Tabela2[[#This Row],[VALOR INICIAL R$]]+Tabela2[[#This Row],[APORTE MENSAL R$]])*(1+$D$13)</f>
        <v>11641.040262853536</v>
      </c>
      <c r="H36" s="31">
        <f>Tabela2[[#This Row],[VALOR FINAL R$]]-Tabela2[[#This Row],[VALOR INICIAL R$]]-Tabela2[[#This Row],[APORTE MENSAL R$]]</f>
        <v>102.96264014207918</v>
      </c>
      <c r="I36" s="39">
        <f>Tabela2[[#This Row],[VALOR FINAL R$]]/$D$11</f>
        <v>1.21260836071391</v>
      </c>
    </row>
    <row r="37" spans="2:9" x14ac:dyDescent="0.3">
      <c r="B37" s="30">
        <v>18</v>
      </c>
      <c r="C37" s="30">
        <v>2</v>
      </c>
      <c r="D37" s="31">
        <f t="shared" si="2"/>
        <v>11641.040262853536</v>
      </c>
      <c r="E37" s="31">
        <f t="shared" si="0"/>
        <v>600</v>
      </c>
      <c r="F37" s="40">
        <f t="shared" si="1"/>
        <v>8.9237257287477778E-3</v>
      </c>
      <c r="G37" s="31">
        <f>(Tabela2[[#This Row],[VALOR INICIAL R$]]+Tabela2[[#This Row],[APORTE MENSAL R$]])*(1+$D$13)</f>
        <v>12350.2759487938</v>
      </c>
      <c r="H37" s="31">
        <f>Tabela2[[#This Row],[VALOR FINAL R$]]-Tabela2[[#This Row],[VALOR INICIAL R$]]-Tabela2[[#This Row],[APORTE MENSAL R$]]</f>
        <v>109.23568594026437</v>
      </c>
      <c r="I37" s="39">
        <f>Tabela2[[#This Row],[VALOR FINAL R$]]/$D$11</f>
        <v>1.2864870779993542</v>
      </c>
    </row>
    <row r="38" spans="2:9" x14ac:dyDescent="0.3">
      <c r="B38" s="30">
        <v>19</v>
      </c>
      <c r="C38" s="30">
        <v>2</v>
      </c>
      <c r="D38" s="31">
        <f t="shared" si="2"/>
        <v>12350.2759487938</v>
      </c>
      <c r="E38" s="31">
        <f t="shared" si="0"/>
        <v>600</v>
      </c>
      <c r="F38" s="40">
        <f t="shared" si="1"/>
        <v>8.9237257287477778E-3</v>
      </c>
      <c r="G38" s="31">
        <f>(Tabela2[[#This Row],[VALOR INICIAL R$]]+Tabela2[[#This Row],[APORTE MENSAL R$]])*(1+$D$13)</f>
        <v>13065.840659472435</v>
      </c>
      <c r="H38" s="31">
        <f>Tabela2[[#This Row],[VALOR FINAL R$]]-Tabela2[[#This Row],[VALOR INICIAL R$]]-Tabela2[[#This Row],[APORTE MENSAL R$]]</f>
        <v>115.56471067863458</v>
      </c>
      <c r="I38" s="39">
        <f>Tabela2[[#This Row],[VALOR FINAL R$]]/$D$11</f>
        <v>1.3610250686950454</v>
      </c>
    </row>
    <row r="39" spans="2:9" x14ac:dyDescent="0.3">
      <c r="B39" s="30">
        <v>20</v>
      </c>
      <c r="C39" s="30">
        <v>2</v>
      </c>
      <c r="D39" s="31">
        <f t="shared" si="2"/>
        <v>13065.840659472435</v>
      </c>
      <c r="E39" s="31">
        <f t="shared" si="0"/>
        <v>600</v>
      </c>
      <c r="F39" s="40">
        <f t="shared" si="1"/>
        <v>8.9237257287477778E-3</v>
      </c>
      <c r="G39" s="31">
        <f>(Tabela2[[#This Row],[VALOR INICIAL R$]]+Tabela2[[#This Row],[APORTE MENSAL R$]])*(1+$D$13)</f>
        <v>13787.790873370337</v>
      </c>
      <c r="H39" s="31">
        <f>Tabela2[[#This Row],[VALOR FINAL R$]]-Tabela2[[#This Row],[VALOR INICIAL R$]]-Tabela2[[#This Row],[APORTE MENSAL R$]]</f>
        <v>121.95021389790236</v>
      </c>
      <c r="I39" s="39">
        <f>Tabela2[[#This Row],[VALOR FINAL R$]]/$D$11</f>
        <v>1.4362282159760769</v>
      </c>
    </row>
    <row r="40" spans="2:9" x14ac:dyDescent="0.3">
      <c r="B40" s="30">
        <v>21</v>
      </c>
      <c r="C40" s="30">
        <v>2</v>
      </c>
      <c r="D40" s="31">
        <f t="shared" si="2"/>
        <v>13787.790873370337</v>
      </c>
      <c r="E40" s="31">
        <f t="shared" si="0"/>
        <v>600</v>
      </c>
      <c r="F40" s="40">
        <f t="shared" si="1"/>
        <v>8.9237257287477778E-3</v>
      </c>
      <c r="G40" s="31">
        <f>(Tabela2[[#This Row],[VALOR INICIAL R$]]+Tabela2[[#This Row],[APORTE MENSAL R$]])*(1+$D$13)</f>
        <v>14516.183572966875</v>
      </c>
      <c r="H40" s="31">
        <f>Tabela2[[#This Row],[VALOR FINAL R$]]-Tabela2[[#This Row],[VALOR INICIAL R$]]-Tabela2[[#This Row],[APORTE MENSAL R$]]</f>
        <v>128.39269959653757</v>
      </c>
      <c r="I40" s="39">
        <f>Tabela2[[#This Row],[VALOR FINAL R$]]/$D$11</f>
        <v>1.5121024555173828</v>
      </c>
    </row>
    <row r="41" spans="2:9" x14ac:dyDescent="0.3">
      <c r="B41" s="30">
        <v>22</v>
      </c>
      <c r="C41" s="30">
        <v>2</v>
      </c>
      <c r="D41" s="31">
        <f t="shared" si="2"/>
        <v>14516.183572966875</v>
      </c>
      <c r="E41" s="31">
        <f t="shared" si="0"/>
        <v>600</v>
      </c>
      <c r="F41" s="40">
        <f t="shared" si="1"/>
        <v>8.9237257287477778E-3</v>
      </c>
      <c r="G41" s="31">
        <f>(Tabela2[[#This Row],[VALOR INICIAL R$]]+Tabela2[[#This Row],[APORTE MENSAL R$]])*(1+$D$13)</f>
        <v>15251.076249237434</v>
      </c>
      <c r="H41" s="31">
        <f>Tabela2[[#This Row],[VALOR FINAL R$]]-Tabela2[[#This Row],[VALOR INICIAL R$]]-Tabela2[[#This Row],[APORTE MENSAL R$]]</f>
        <v>134.8926762705596</v>
      </c>
      <c r="I41" s="39">
        <f>Tabela2[[#This Row],[VALOR FINAL R$]]/$D$11</f>
        <v>1.5886537759622328</v>
      </c>
    </row>
    <row r="42" spans="2:9" x14ac:dyDescent="0.3">
      <c r="B42" s="30">
        <v>23</v>
      </c>
      <c r="C42" s="30">
        <v>2</v>
      </c>
      <c r="D42" s="31">
        <f t="shared" si="2"/>
        <v>15251.076249237434</v>
      </c>
      <c r="E42" s="31">
        <f t="shared" si="0"/>
        <v>600</v>
      </c>
      <c r="F42" s="40">
        <f t="shared" si="1"/>
        <v>8.9237257287477778E-3</v>
      </c>
      <c r="G42" s="31">
        <f>(Tabela2[[#This Row],[VALOR INICIAL R$]]+Tabela2[[#This Row],[APORTE MENSAL R$]])*(1+$D$13)</f>
        <v>15992.526906191097</v>
      </c>
      <c r="H42" s="31">
        <f>Tabela2[[#This Row],[VALOR FINAL R$]]-Tabela2[[#This Row],[VALOR INICIAL R$]]-Tabela2[[#This Row],[APORTE MENSAL R$]]</f>
        <v>141.45065695366247</v>
      </c>
      <c r="I42" s="39">
        <f>Tabela2[[#This Row],[VALOR FINAL R$]]/$D$11</f>
        <v>1.6658882193949058</v>
      </c>
    </row>
    <row r="43" spans="2:9" x14ac:dyDescent="0.3">
      <c r="B43" s="30">
        <v>24</v>
      </c>
      <c r="C43" s="30">
        <v>2</v>
      </c>
      <c r="D43" s="31">
        <f t="shared" si="2"/>
        <v>15992.526906191097</v>
      </c>
      <c r="E43" s="31">
        <f t="shared" si="0"/>
        <v>600</v>
      </c>
      <c r="F43" s="40">
        <f t="shared" si="1"/>
        <v>8.9237257287477778E-3</v>
      </c>
      <c r="G43" s="31">
        <f>(Tabela2[[#This Row],[VALOR INICIAL R$]]+Tabela2[[#This Row],[APORTE MENSAL R$]])*(1+$D$13)</f>
        <v>16740.594065448811</v>
      </c>
      <c r="H43" s="31">
        <f>Tabela2[[#This Row],[VALOR FINAL R$]]-Tabela2[[#This Row],[VALOR INICIAL R$]]-Tabela2[[#This Row],[APORTE MENSAL R$]]</f>
        <v>148.06715925771459</v>
      </c>
      <c r="I43" s="39">
        <f>Tabela2[[#This Row],[VALOR FINAL R$]]/$D$11</f>
        <v>1.7438118818175845</v>
      </c>
    </row>
    <row r="44" spans="2:9" x14ac:dyDescent="0.3">
      <c r="B44" s="30">
        <v>25</v>
      </c>
      <c r="C44" s="30">
        <v>3</v>
      </c>
      <c r="D44" s="31">
        <f t="shared" si="2"/>
        <v>16740.594065448811</v>
      </c>
      <c r="E44" s="31">
        <f t="shared" si="0"/>
        <v>600</v>
      </c>
      <c r="F44" s="40">
        <f t="shared" si="1"/>
        <v>8.9237257287477778E-3</v>
      </c>
      <c r="G44" s="31">
        <f>(Tabela2[[#This Row],[VALOR INICIAL R$]]+Tabela2[[#This Row],[APORTE MENSAL R$]])*(1+$D$13)</f>
        <v>17495.336770862428</v>
      </c>
      <c r="H44" s="31">
        <f>Tabela2[[#This Row],[VALOR FINAL R$]]-Tabela2[[#This Row],[VALOR INICIAL R$]]-Tabela2[[#This Row],[APORTE MENSAL R$]]</f>
        <v>154.74270541361693</v>
      </c>
      <c r="I44" s="39">
        <f>Tabela2[[#This Row],[VALOR FINAL R$]]/$D$11</f>
        <v>1.8224309136315029</v>
      </c>
    </row>
    <row r="45" spans="2:9" x14ac:dyDescent="0.3">
      <c r="B45" s="30">
        <v>26</v>
      </c>
      <c r="C45" s="30">
        <v>3</v>
      </c>
      <c r="D45" s="31">
        <f t="shared" si="2"/>
        <v>17495.336770862428</v>
      </c>
      <c r="E45" s="31">
        <f t="shared" si="0"/>
        <v>600</v>
      </c>
      <c r="F45" s="40">
        <f t="shared" si="1"/>
        <v>8.9237257287477778E-3</v>
      </c>
      <c r="G45" s="31">
        <f>(Tabela2[[#This Row],[VALOR INICIAL R$]]+Tabela2[[#This Row],[APORTE MENSAL R$]])*(1+$D$13)</f>
        <v>18256.814593174928</v>
      </c>
      <c r="H45" s="31">
        <f>Tabela2[[#This Row],[VALOR FINAL R$]]-Tabela2[[#This Row],[VALOR INICIAL R$]]-Tabela2[[#This Row],[APORTE MENSAL R$]]</f>
        <v>161.47782231249948</v>
      </c>
      <c r="I45" s="39">
        <f>Tabela2[[#This Row],[VALOR FINAL R$]]/$D$11</f>
        <v>1.9017515201223882</v>
      </c>
    </row>
    <row r="46" spans="2:9" x14ac:dyDescent="0.3">
      <c r="B46" s="30">
        <v>27</v>
      </c>
      <c r="C46" s="30">
        <v>3</v>
      </c>
      <c r="D46" s="31">
        <f t="shared" si="2"/>
        <v>18256.814593174928</v>
      </c>
      <c r="E46" s="31">
        <f t="shared" si="0"/>
        <v>600</v>
      </c>
      <c r="F46" s="40">
        <f t="shared" si="1"/>
        <v>8.9237257287477778E-3</v>
      </c>
      <c r="G46" s="31">
        <f>(Tabela2[[#This Row],[VALOR INICIAL R$]]+Tabela2[[#This Row],[APORTE MENSAL R$]])*(1+$D$13)</f>
        <v>19025.087634722269</v>
      </c>
      <c r="H46" s="31">
        <f>Tabela2[[#This Row],[VALOR FINAL R$]]-Tabela2[[#This Row],[VALOR INICIAL R$]]-Tabela2[[#This Row],[APORTE MENSAL R$]]</f>
        <v>168.27304154734156</v>
      </c>
      <c r="I46" s="39">
        <f>Tabela2[[#This Row],[VALOR FINAL R$]]/$D$11</f>
        <v>1.9817799619502363</v>
      </c>
    </row>
    <row r="47" spans="2:9" x14ac:dyDescent="0.3">
      <c r="B47" s="30">
        <v>28</v>
      </c>
      <c r="C47" s="30">
        <v>3</v>
      </c>
      <c r="D47" s="31">
        <f t="shared" si="2"/>
        <v>19025.087634722269</v>
      </c>
      <c r="E47" s="31">
        <f t="shared" si="0"/>
        <v>600</v>
      </c>
      <c r="F47" s="40">
        <f t="shared" si="1"/>
        <v>8.9237257287477778E-3</v>
      </c>
      <c r="G47" s="31">
        <f>(Tabela2[[#This Row],[VALOR INICIAL R$]]+Tabela2[[#This Row],[APORTE MENSAL R$]])*(1+$D$13)</f>
        <v>19800.216534177169</v>
      </c>
      <c r="H47" s="31">
        <f>Tabela2[[#This Row],[VALOR FINAL R$]]-Tabela2[[#This Row],[VALOR INICIAL R$]]-Tabela2[[#This Row],[APORTE MENSAL R$]]</f>
        <v>175.12889945489951</v>
      </c>
      <c r="I47" s="39">
        <f>Tabela2[[#This Row],[VALOR FINAL R$]]/$D$11</f>
        <v>2.0625225556434552</v>
      </c>
    </row>
    <row r="48" spans="2:9" x14ac:dyDescent="0.3">
      <c r="B48" s="30">
        <v>29</v>
      </c>
      <c r="C48" s="30">
        <v>3</v>
      </c>
      <c r="D48" s="31">
        <f t="shared" si="2"/>
        <v>19800.216534177169</v>
      </c>
      <c r="E48" s="31">
        <f t="shared" si="0"/>
        <v>600</v>
      </c>
      <c r="F48" s="40">
        <f t="shared" si="1"/>
        <v>8.9237257287477778E-3</v>
      </c>
      <c r="G48" s="31">
        <f>(Tabela2[[#This Row],[VALOR INICIAL R$]]+Tabela2[[#This Row],[APORTE MENSAL R$]])*(1+$D$13)</f>
        <v>20582.262471335231</v>
      </c>
      <c r="H48" s="31">
        <f>Tabela2[[#This Row],[VALOR FINAL R$]]-Tabela2[[#This Row],[VALOR INICIAL R$]]-Tabela2[[#This Row],[APORTE MENSAL R$]]</f>
        <v>182.04593715806186</v>
      </c>
      <c r="I48" s="39">
        <f>Tabela2[[#This Row],[VALOR FINAL R$]]/$D$11</f>
        <v>2.1439856740974199</v>
      </c>
    </row>
    <row r="49" spans="2:9" x14ac:dyDescent="0.3">
      <c r="B49" s="30">
        <v>30</v>
      </c>
      <c r="C49" s="30">
        <v>3</v>
      </c>
      <c r="D49" s="31">
        <f t="shared" si="2"/>
        <v>20582.262471335231</v>
      </c>
      <c r="E49" s="31">
        <f t="shared" si="0"/>
        <v>600</v>
      </c>
      <c r="F49" s="40">
        <f t="shared" si="1"/>
        <v>8.9237257287477778E-3</v>
      </c>
      <c r="G49" s="31">
        <f>(Tabela2[[#This Row],[VALOR INICIAL R$]]+Tabela2[[#This Row],[APORTE MENSAL R$]])*(1+$D$13)</f>
        <v>21371.287171943772</v>
      </c>
      <c r="H49" s="31">
        <f>Tabela2[[#This Row],[VALOR FINAL R$]]-Tabela2[[#This Row],[VALOR INICIAL R$]]-Tabela2[[#This Row],[APORTE MENSAL R$]]</f>
        <v>189.02470060854102</v>
      </c>
      <c r="I49" s="39">
        <f>Tabela2[[#This Row],[VALOR FINAL R$]]/$D$11</f>
        <v>2.2261757470774763</v>
      </c>
    </row>
    <row r="50" spans="2:9" x14ac:dyDescent="0.3">
      <c r="B50" s="30">
        <v>31</v>
      </c>
      <c r="C50" s="30">
        <v>3</v>
      </c>
      <c r="D50" s="31">
        <f t="shared" si="2"/>
        <v>21371.287171943772</v>
      </c>
      <c r="E50" s="31">
        <f t="shared" si="0"/>
        <v>600</v>
      </c>
      <c r="F50" s="40">
        <f t="shared" si="1"/>
        <v>8.9237257287477778E-3</v>
      </c>
      <c r="G50" s="31">
        <f>(Tabela2[[#This Row],[VALOR INICIAL R$]]+Tabela2[[#This Row],[APORTE MENSAL R$]])*(1+$D$13)</f>
        <v>22167.352912573751</v>
      </c>
      <c r="H50" s="31">
        <f>Tabela2[[#This Row],[VALOR FINAL R$]]-Tabela2[[#This Row],[VALOR INICIAL R$]]-Tabela2[[#This Row],[APORTE MENSAL R$]]</f>
        <v>196.0657406299797</v>
      </c>
      <c r="I50" s="39">
        <f>Tabela2[[#This Row],[VALOR FINAL R$]]/$D$11</f>
        <v>2.3090992617264323</v>
      </c>
    </row>
    <row r="51" spans="2:9" x14ac:dyDescent="0.3">
      <c r="B51" s="30">
        <v>32</v>
      </c>
      <c r="C51" s="30">
        <v>3</v>
      </c>
      <c r="D51" s="31">
        <f t="shared" si="2"/>
        <v>22167.352912573751</v>
      </c>
      <c r="E51" s="31">
        <f t="shared" si="0"/>
        <v>600</v>
      </c>
      <c r="F51" s="40">
        <f t="shared" si="1"/>
        <v>8.9237257287477778E-3</v>
      </c>
      <c r="G51" s="31">
        <f>(Tabela2[[#This Row],[VALOR INICIAL R$]]+Tabela2[[#This Row],[APORTE MENSAL R$]])*(1+$D$13)</f>
        <v>22970.522525535165</v>
      </c>
      <c r="H51" s="31">
        <f>Tabela2[[#This Row],[VALOR FINAL R$]]-Tabela2[[#This Row],[VALOR INICIAL R$]]-Tabela2[[#This Row],[APORTE MENSAL R$]]</f>
        <v>203.1696129614138</v>
      </c>
      <c r="I51" s="39">
        <f>Tabela2[[#This Row],[VALOR FINAL R$]]/$D$11</f>
        <v>2.3927627630765795</v>
      </c>
    </row>
    <row r="52" spans="2:9" x14ac:dyDescent="0.3">
      <c r="B52" s="30">
        <v>33</v>
      </c>
      <c r="C52" s="30">
        <v>3</v>
      </c>
      <c r="D52" s="31">
        <f t="shared" si="2"/>
        <v>22970.522525535165</v>
      </c>
      <c r="E52" s="31">
        <f t="shared" ref="E52:E83" si="3">$D$7</f>
        <v>600</v>
      </c>
      <c r="F52" s="40">
        <f t="shared" ref="F52:F83" si="4">$D$13</f>
        <v>8.9237257287477778E-3</v>
      </c>
      <c r="G52" s="31">
        <f>(Tabela2[[#This Row],[VALOR INICIAL R$]]+Tabela2[[#This Row],[APORTE MENSAL R$]])*(1+$D$13)</f>
        <v>23780.859403836312</v>
      </c>
      <c r="H52" s="31">
        <f>Tabela2[[#This Row],[VALOR FINAL R$]]-Tabela2[[#This Row],[VALOR INICIAL R$]]-Tabela2[[#This Row],[APORTE MENSAL R$]]</f>
        <v>210.3368783011465</v>
      </c>
      <c r="I52" s="39">
        <f>Tabela2[[#This Row],[VALOR FINAL R$]]/$D$11</f>
        <v>2.4771728545662826</v>
      </c>
    </row>
    <row r="53" spans="2:9" x14ac:dyDescent="0.3">
      <c r="B53" s="30">
        <v>34</v>
      </c>
      <c r="C53" s="30">
        <v>3</v>
      </c>
      <c r="D53" s="31">
        <f t="shared" si="2"/>
        <v>23780.859403836312</v>
      </c>
      <c r="E53" s="31">
        <f t="shared" si="3"/>
        <v>600</v>
      </c>
      <c r="F53" s="40">
        <f t="shared" si="4"/>
        <v>8.9237257287477778E-3</v>
      </c>
      <c r="G53" s="31">
        <f>(Tabela2[[#This Row],[VALOR INICIAL R$]]+Tabela2[[#This Row],[APORTE MENSAL R$]])*(1+$D$13)</f>
        <v>24598.427506187309</v>
      </c>
      <c r="H53" s="31">
        <f>Tabela2[[#This Row],[VALOR FINAL R$]]-Tabela2[[#This Row],[VALOR INICIAL R$]]-Tabela2[[#This Row],[APORTE MENSAL R$]]</f>
        <v>217.56810235099692</v>
      </c>
      <c r="I53" s="39">
        <f>Tabela2[[#This Row],[VALOR FINAL R$]]/$D$11</f>
        <v>2.5623361985611779</v>
      </c>
    </row>
    <row r="54" spans="2:9" x14ac:dyDescent="0.3">
      <c r="B54" s="30">
        <v>35</v>
      </c>
      <c r="C54" s="30">
        <v>3</v>
      </c>
      <c r="D54" s="31">
        <f t="shared" si="2"/>
        <v>24598.427506187309</v>
      </c>
      <c r="E54" s="31">
        <f t="shared" si="3"/>
        <v>600</v>
      </c>
      <c r="F54" s="40">
        <f t="shared" si="4"/>
        <v>8.9237257287477778E-3</v>
      </c>
      <c r="G54" s="31">
        <f>(Tabela2[[#This Row],[VALOR INICIAL R$]]+Tabela2[[#This Row],[APORTE MENSAL R$]])*(1+$D$13)</f>
        <v>25423.291362048258</v>
      </c>
      <c r="H54" s="31">
        <f>Tabela2[[#This Row],[VALOR FINAL R$]]-Tabela2[[#This Row],[VALOR INICIAL R$]]-Tabela2[[#This Row],[APORTE MENSAL R$]]</f>
        <v>224.86385586094912</v>
      </c>
      <c r="I54" s="39">
        <f>Tabela2[[#This Row],[VALOR FINAL R$]]/$D$11</f>
        <v>2.6482595168800267</v>
      </c>
    </row>
    <row r="55" spans="2:9" x14ac:dyDescent="0.3">
      <c r="B55" s="30">
        <v>36</v>
      </c>
      <c r="C55" s="30">
        <v>3</v>
      </c>
      <c r="D55" s="31">
        <f t="shared" si="2"/>
        <v>25423.291362048258</v>
      </c>
      <c r="E55" s="31">
        <f t="shared" si="3"/>
        <v>600</v>
      </c>
      <c r="F55" s="40">
        <f t="shared" si="4"/>
        <v>8.9237257287477778E-3</v>
      </c>
      <c r="G55" s="31">
        <f>(Tabela2[[#This Row],[VALOR INICIAL R$]]+Tabela2[[#This Row],[APORTE MENSAL R$]])*(1+$D$13)</f>
        <v>26255.516076722466</v>
      </c>
      <c r="H55" s="31">
        <f>Tabela2[[#This Row],[VALOR FINAL R$]]-Tabela2[[#This Row],[VALOR INICIAL R$]]-Tabela2[[#This Row],[APORTE MENSAL R$]]</f>
        <v>232.22471467420837</v>
      </c>
      <c r="I55" s="39">
        <f>Tabela2[[#This Row],[VALOR FINAL R$]]/$D$11</f>
        <v>2.7349495913252571</v>
      </c>
    </row>
    <row r="56" spans="2:9" x14ac:dyDescent="0.3">
      <c r="B56" s="30">
        <v>37</v>
      </c>
      <c r="C56" s="30">
        <v>4</v>
      </c>
      <c r="D56" s="31">
        <f t="shared" si="2"/>
        <v>26255.516076722466</v>
      </c>
      <c r="E56" s="31">
        <f t="shared" si="3"/>
        <v>600</v>
      </c>
      <c r="F56" s="40">
        <f t="shared" si="4"/>
        <v>8.9237257287477778E-3</v>
      </c>
      <c r="G56" s="31">
        <f>(Tabela2[[#This Row],[VALOR INICIAL R$]]+Tabela2[[#This Row],[APORTE MENSAL R$]])*(1+$D$13)</f>
        <v>27095.167336495113</v>
      </c>
      <c r="H56" s="31">
        <f>Tabela2[[#This Row],[VALOR FINAL R$]]-Tabela2[[#This Row],[VALOR INICIAL R$]]-Tabela2[[#This Row],[APORTE MENSAL R$]]</f>
        <v>239.65125977264688</v>
      </c>
      <c r="I56" s="39">
        <f>Tabela2[[#This Row],[VALOR FINAL R$]]/$D$11</f>
        <v>2.8224132642182411</v>
      </c>
    </row>
    <row r="57" spans="2:9" x14ac:dyDescent="0.3">
      <c r="B57" s="30">
        <v>38</v>
      </c>
      <c r="C57" s="30">
        <v>4</v>
      </c>
      <c r="D57" s="31">
        <f t="shared" si="2"/>
        <v>27095.167336495113</v>
      </c>
      <c r="E57" s="31">
        <f t="shared" si="3"/>
        <v>600</v>
      </c>
      <c r="F57" s="40">
        <f t="shared" si="4"/>
        <v>8.9237257287477778E-3</v>
      </c>
      <c r="G57" s="31">
        <f>(Tabela2[[#This Row],[VALOR INICIAL R$]]+Tabela2[[#This Row],[APORTE MENSAL R$]])*(1+$D$13)</f>
        <v>27942.31141381777</v>
      </c>
      <c r="H57" s="31">
        <f>Tabela2[[#This Row],[VALOR FINAL R$]]-Tabela2[[#This Row],[VALOR INICIAL R$]]-Tabela2[[#This Row],[APORTE MENSAL R$]]</f>
        <v>247.14407732265681</v>
      </c>
      <c r="I57" s="39">
        <f>Tabela2[[#This Row],[VALOR FINAL R$]]/$D$11</f>
        <v>2.9106574389393511</v>
      </c>
    </row>
    <row r="58" spans="2:9" x14ac:dyDescent="0.3">
      <c r="B58" s="30">
        <v>39</v>
      </c>
      <c r="C58" s="30">
        <v>4</v>
      </c>
      <c r="D58" s="31">
        <f t="shared" si="2"/>
        <v>27942.31141381777</v>
      </c>
      <c r="E58" s="31">
        <f t="shared" si="3"/>
        <v>600</v>
      </c>
      <c r="F58" s="40">
        <f t="shared" si="4"/>
        <v>8.9237257287477778E-3</v>
      </c>
      <c r="G58" s="31">
        <f>(Tabela2[[#This Row],[VALOR INICIAL R$]]+Tabela2[[#This Row],[APORTE MENSAL R$]])*(1+$D$13)</f>
        <v>28797.015172539188</v>
      </c>
      <c r="H58" s="31">
        <f>Tabela2[[#This Row],[VALOR FINAL R$]]-Tabela2[[#This Row],[VALOR INICIAL R$]]-Tabela2[[#This Row],[APORTE MENSAL R$]]</f>
        <v>254.70375872141813</v>
      </c>
      <c r="I58" s="39">
        <f>Tabela2[[#This Row],[VALOR FINAL R$]]/$D$11</f>
        <v>2.999689080472832</v>
      </c>
    </row>
    <row r="59" spans="2:9" x14ac:dyDescent="0.3">
      <c r="B59" s="30">
        <v>40</v>
      </c>
      <c r="C59" s="30">
        <v>4</v>
      </c>
      <c r="D59" s="31">
        <f t="shared" si="2"/>
        <v>28797.015172539188</v>
      </c>
      <c r="E59" s="31">
        <f t="shared" si="3"/>
        <v>600</v>
      </c>
      <c r="F59" s="40">
        <f t="shared" si="4"/>
        <v>8.9237257287477778E-3</v>
      </c>
      <c r="G59" s="31">
        <f>(Tabela2[[#This Row],[VALOR INICIAL R$]]+Tabela2[[#This Row],[APORTE MENSAL R$]])*(1+$D$13)</f>
        <v>29659.346073182765</v>
      </c>
      <c r="H59" s="31">
        <f>Tabela2[[#This Row],[VALOR FINAL R$]]-Tabela2[[#This Row],[VALOR INICIAL R$]]-Tabela2[[#This Row],[APORTE MENSAL R$]]</f>
        <v>262.33090064357748</v>
      </c>
      <c r="I59" s="39">
        <f>Tabela2[[#This Row],[VALOR FINAL R$]]/$D$11</f>
        <v>3.089515215956538</v>
      </c>
    </row>
    <row r="60" spans="2:9" x14ac:dyDescent="0.3">
      <c r="B60" s="30">
        <v>41</v>
      </c>
      <c r="C60" s="30">
        <v>4</v>
      </c>
      <c r="D60" s="31">
        <f t="shared" si="2"/>
        <v>29659.346073182765</v>
      </c>
      <c r="E60" s="31">
        <f t="shared" si="3"/>
        <v>600</v>
      </c>
      <c r="F60" s="40">
        <f t="shared" si="4"/>
        <v>8.9237257287477778E-3</v>
      </c>
      <c r="G60" s="31">
        <f>(Tabela2[[#This Row],[VALOR INICIAL R$]]+Tabela2[[#This Row],[APORTE MENSAL R$]])*(1+$D$13)</f>
        <v>30529.372178271111</v>
      </c>
      <c r="H60" s="31">
        <f>Tabela2[[#This Row],[VALOR FINAL R$]]-Tabela2[[#This Row],[VALOR INICIAL R$]]-Tabela2[[#This Row],[APORTE MENSAL R$]]</f>
        <v>270.0261050883455</v>
      </c>
      <c r="I60" s="39">
        <f>Tabela2[[#This Row],[VALOR FINAL R$]]/$D$11</f>
        <v>3.180142935236574</v>
      </c>
    </row>
    <row r="61" spans="2:9" x14ac:dyDescent="0.3">
      <c r="B61" s="30">
        <v>42</v>
      </c>
      <c r="C61" s="30">
        <v>4</v>
      </c>
      <c r="D61" s="31">
        <f t="shared" si="2"/>
        <v>30529.372178271111</v>
      </c>
      <c r="E61" s="31">
        <f t="shared" si="3"/>
        <v>600</v>
      </c>
      <c r="F61" s="40">
        <f t="shared" si="4"/>
        <v>8.9237257287477778E-3</v>
      </c>
      <c r="G61" s="31">
        <f>(Tabela2[[#This Row],[VALOR INICIAL R$]]+Tabela2[[#This Row],[APORTE MENSAL R$]])*(1+$D$13)</f>
        <v>31407.162157698112</v>
      </c>
      <c r="H61" s="31">
        <f>Tabela2[[#This Row],[VALOR FINAL R$]]-Tabela2[[#This Row],[VALOR INICIAL R$]]-Tabela2[[#This Row],[APORTE MENSAL R$]]</f>
        <v>277.78997942700153</v>
      </c>
      <c r="I61" s="39">
        <f>Tabela2[[#This Row],[VALOR FINAL R$]]/$D$11</f>
        <v>3.2715793914268869</v>
      </c>
    </row>
    <row r="62" spans="2:9" x14ac:dyDescent="0.3">
      <c r="B62" s="30">
        <v>43</v>
      </c>
      <c r="C62" s="30">
        <v>4</v>
      </c>
      <c r="D62" s="31">
        <f t="shared" si="2"/>
        <v>31407.162157698112</v>
      </c>
      <c r="E62" s="31">
        <f t="shared" si="3"/>
        <v>600</v>
      </c>
      <c r="F62" s="40">
        <f t="shared" si="4"/>
        <v>8.9237257287477778E-3</v>
      </c>
      <c r="G62" s="31">
        <f>(Tabela2[[#This Row],[VALOR INICIAL R$]]+Tabela2[[#This Row],[APORTE MENSAL R$]])*(1+$D$13)</f>
        <v>32292.785294148965</v>
      </c>
      <c r="H62" s="31">
        <f>Tabela2[[#This Row],[VALOR FINAL R$]]-Tabela2[[#This Row],[VALOR INICIAL R$]]-Tabela2[[#This Row],[APORTE MENSAL R$]]</f>
        <v>285.62313645085305</v>
      </c>
      <c r="I62" s="39">
        <f>Tabela2[[#This Row],[VALOR FINAL R$]]/$D$11</f>
        <v>3.3638318014738506</v>
      </c>
    </row>
    <row r="63" spans="2:9" x14ac:dyDescent="0.3">
      <c r="B63" s="30">
        <v>44</v>
      </c>
      <c r="C63" s="30">
        <v>4</v>
      </c>
      <c r="D63" s="31">
        <f t="shared" si="2"/>
        <v>32292.785294148965</v>
      </c>
      <c r="E63" s="31">
        <f t="shared" si="3"/>
        <v>600</v>
      </c>
      <c r="F63" s="40">
        <f t="shared" si="4"/>
        <v>8.9237257287477778E-3</v>
      </c>
      <c r="G63" s="31">
        <f>(Tabela2[[#This Row],[VALOR INICIAL R$]]+Tabela2[[#This Row],[APORTE MENSAL R$]])*(1+$D$13)</f>
        <v>33186.311488568543</v>
      </c>
      <c r="H63" s="31">
        <f>Tabela2[[#This Row],[VALOR FINAL R$]]-Tabela2[[#This Row],[VALOR INICIAL R$]]-Tabela2[[#This Row],[APORTE MENSAL R$]]</f>
        <v>293.52619441957722</v>
      </c>
      <c r="I63" s="39">
        <f>Tabela2[[#This Row],[VALOR FINAL R$]]/$D$11</f>
        <v>3.4569074467258898</v>
      </c>
    </row>
    <row r="64" spans="2:9" x14ac:dyDescent="0.3">
      <c r="B64" s="30">
        <v>45</v>
      </c>
      <c r="C64" s="30">
        <v>4</v>
      </c>
      <c r="D64" s="31">
        <f t="shared" si="2"/>
        <v>33186.311488568543</v>
      </c>
      <c r="E64" s="31">
        <f t="shared" si="3"/>
        <v>600</v>
      </c>
      <c r="F64" s="40">
        <f t="shared" si="4"/>
        <v>8.9237257287477778E-3</v>
      </c>
      <c r="G64" s="31">
        <f>(Tabela2[[#This Row],[VALOR INICIAL R$]]+Tabela2[[#This Row],[APORTE MENSAL R$]])*(1+$D$13)</f>
        <v>34087.811265678567</v>
      </c>
      <c r="H64" s="31">
        <f>Tabela2[[#This Row],[VALOR FINAL R$]]-Tabela2[[#This Row],[VALOR INICIAL R$]]-Tabela2[[#This Row],[APORTE MENSAL R$]]</f>
        <v>301.4997771100243</v>
      </c>
      <c r="I64" s="39">
        <f>Tabela2[[#This Row],[VALOR FINAL R$]]/$D$11</f>
        <v>3.5508136735081841</v>
      </c>
    </row>
    <row r="65" spans="2:9" x14ac:dyDescent="0.3">
      <c r="B65" s="30">
        <v>46</v>
      </c>
      <c r="C65" s="30">
        <v>4</v>
      </c>
      <c r="D65" s="31">
        <f t="shared" si="2"/>
        <v>34087.811265678567</v>
      </c>
      <c r="E65" s="31">
        <f t="shared" si="3"/>
        <v>600</v>
      </c>
      <c r="F65" s="40">
        <f t="shared" si="4"/>
        <v>8.9237257287477778E-3</v>
      </c>
      <c r="G65" s="31">
        <f>(Tabela2[[#This Row],[VALOR INICIAL R$]]+Tabela2[[#This Row],[APORTE MENSAL R$]])*(1+$D$13)</f>
        <v>34997.35577954405</v>
      </c>
      <c r="H65" s="31">
        <f>Tabela2[[#This Row],[VALOR FINAL R$]]-Tabela2[[#This Row],[VALOR INICIAL R$]]-Tabela2[[#This Row],[APORTE MENSAL R$]]</f>
        <v>309.54451386548317</v>
      </c>
      <c r="I65" s="39">
        <f>Tabela2[[#This Row],[VALOR FINAL R$]]/$D$11</f>
        <v>3.645557893702505</v>
      </c>
    </row>
    <row r="66" spans="2:9" x14ac:dyDescent="0.3">
      <c r="B66" s="30">
        <v>47</v>
      </c>
      <c r="C66" s="30">
        <v>4</v>
      </c>
      <c r="D66" s="31">
        <f t="shared" si="2"/>
        <v>34997.35577954405</v>
      </c>
      <c r="E66" s="31">
        <f t="shared" si="3"/>
        <v>600</v>
      </c>
      <c r="F66" s="40">
        <f t="shared" si="4"/>
        <v>8.9237257287477778E-3</v>
      </c>
      <c r="G66" s="31">
        <f>(Tabela2[[#This Row],[VALOR INICIAL R$]]+Tabela2[[#This Row],[APORTE MENSAL R$]])*(1+$D$13)</f>
        <v>35915.016819189354</v>
      </c>
      <c r="H66" s="31">
        <f>Tabela2[[#This Row],[VALOR FINAL R$]]-Tabela2[[#This Row],[VALOR INICIAL R$]]-Tabela2[[#This Row],[APORTE MENSAL R$]]</f>
        <v>317.66103964530339</v>
      </c>
      <c r="I66" s="39">
        <f>Tabela2[[#This Row],[VALOR FINAL R$]]/$D$11</f>
        <v>3.7411475853322242</v>
      </c>
    </row>
    <row r="67" spans="2:9" x14ac:dyDescent="0.3">
      <c r="B67" s="30">
        <v>48</v>
      </c>
      <c r="C67" s="30">
        <v>4</v>
      </c>
      <c r="D67" s="31">
        <f t="shared" si="2"/>
        <v>35915.016819189354</v>
      </c>
      <c r="E67" s="31">
        <f t="shared" si="3"/>
        <v>600</v>
      </c>
      <c r="F67" s="40">
        <f t="shared" si="4"/>
        <v>8.9237257287477778E-3</v>
      </c>
      <c r="G67" s="31">
        <f>(Tabela2[[#This Row],[VALOR INICIAL R$]]+Tabela2[[#This Row],[APORTE MENSAL R$]])*(1+$D$13)</f>
        <v>36840.866814264409</v>
      </c>
      <c r="H67" s="31">
        <f>Tabela2[[#This Row],[VALOR FINAL R$]]-Tabela2[[#This Row],[VALOR INICIAL R$]]-Tabela2[[#This Row],[APORTE MENSAL R$]]</f>
        <v>325.84999507505563</v>
      </c>
      <c r="I67" s="39">
        <f>Tabela2[[#This Row],[VALOR FINAL R$]]/$D$11</f>
        <v>3.8375902931525427</v>
      </c>
    </row>
    <row r="68" spans="2:9" x14ac:dyDescent="0.3">
      <c r="B68" s="30">
        <v>49</v>
      </c>
      <c r="C68" s="30">
        <v>5</v>
      </c>
      <c r="D68" s="31">
        <f t="shared" si="2"/>
        <v>36840.866814264409</v>
      </c>
      <c r="E68" s="31">
        <f t="shared" si="3"/>
        <v>600</v>
      </c>
      <c r="F68" s="40">
        <f t="shared" si="4"/>
        <v>8.9237257287477778E-3</v>
      </c>
      <c r="G68" s="31">
        <f>(Tabela2[[#This Row],[VALOR INICIAL R$]]+Tabela2[[#This Row],[APORTE MENSAL R$]])*(1+$D$13)</f>
        <v>37774.978840761476</v>
      </c>
      <c r="H68" s="31">
        <f>Tabela2[[#This Row],[VALOR FINAL R$]]-Tabela2[[#This Row],[VALOR INICIAL R$]]-Tabela2[[#This Row],[APORTE MENSAL R$]]</f>
        <v>334.11202649706684</v>
      </c>
      <c r="I68" s="39">
        <f>Tabela2[[#This Row],[VALOR FINAL R$]]/$D$11</f>
        <v>3.9348936292459871</v>
      </c>
    </row>
    <row r="69" spans="2:9" x14ac:dyDescent="0.3">
      <c r="B69" s="30">
        <v>50</v>
      </c>
      <c r="C69" s="30">
        <v>5</v>
      </c>
      <c r="D69" s="31">
        <f t="shared" si="2"/>
        <v>37774.978840761476</v>
      </c>
      <c r="E69" s="31">
        <f t="shared" si="3"/>
        <v>600</v>
      </c>
      <c r="F69" s="40">
        <f t="shared" si="4"/>
        <v>8.9237257287477778E-3</v>
      </c>
      <c r="G69" s="31">
        <f>(Tabela2[[#This Row],[VALOR INICIAL R$]]+Tabela2[[#This Row],[APORTE MENSAL R$]])*(1+$D$13)</f>
        <v>38717.42662678293</v>
      </c>
      <c r="H69" s="31">
        <f>Tabela2[[#This Row],[VALOR FINAL R$]]-Tabela2[[#This Row],[VALOR INICIAL R$]]-Tabela2[[#This Row],[APORTE MENSAL R$]]</f>
        <v>342.44778602145379</v>
      </c>
      <c r="I69" s="39">
        <f>Tabela2[[#This Row],[VALOR FINAL R$]]/$D$11</f>
        <v>4.0330652736232215</v>
      </c>
    </row>
    <row r="70" spans="2:9" x14ac:dyDescent="0.3">
      <c r="B70" s="30">
        <v>51</v>
      </c>
      <c r="C70" s="30">
        <v>5</v>
      </c>
      <c r="D70" s="31">
        <f t="shared" si="2"/>
        <v>38717.42662678293</v>
      </c>
      <c r="E70" s="31">
        <f t="shared" si="3"/>
        <v>600</v>
      </c>
      <c r="F70" s="40">
        <f t="shared" si="4"/>
        <v>8.9237257287477778E-3</v>
      </c>
      <c r="G70" s="31">
        <f>(Tabela2[[#This Row],[VALOR INICIAL R$]]+Tabela2[[#This Row],[APORTE MENSAL R$]])*(1+$D$13)</f>
        <v>39668.284558360509</v>
      </c>
      <c r="H70" s="31">
        <f>Tabela2[[#This Row],[VALOR FINAL R$]]-Tabela2[[#This Row],[VALOR INICIAL R$]]-Tabela2[[#This Row],[APORTE MENSAL R$]]</f>
        <v>350.85793157757871</v>
      </c>
      <c r="I70" s="39">
        <f>Tabela2[[#This Row],[VALOR FINAL R$]]/$D$11</f>
        <v>4.1321129748292194</v>
      </c>
    </row>
    <row r="71" spans="2:9" x14ac:dyDescent="0.3">
      <c r="B71" s="30">
        <v>52</v>
      </c>
      <c r="C71" s="30">
        <v>5</v>
      </c>
      <c r="D71" s="31">
        <f t="shared" si="2"/>
        <v>39668.284558360509</v>
      </c>
      <c r="E71" s="31">
        <f t="shared" si="3"/>
        <v>600</v>
      </c>
      <c r="F71" s="40">
        <f t="shared" si="4"/>
        <v>8.9237257287477778E-3</v>
      </c>
      <c r="G71" s="31">
        <f>(Tabela2[[#This Row],[VALOR INICIAL R$]]+Tabela2[[#This Row],[APORTE MENSAL R$]])*(1+$D$13)</f>
        <v>40627.627685326486</v>
      </c>
      <c r="H71" s="31">
        <f>Tabela2[[#This Row],[VALOR FINAL R$]]-Tabela2[[#This Row],[VALOR INICIAL R$]]-Tabela2[[#This Row],[APORTE MENSAL R$]]</f>
        <v>359.34312696597772</v>
      </c>
      <c r="I71" s="39">
        <f>Tabela2[[#This Row],[VALOR FINAL R$]]/$D$11</f>
        <v>4.2320445505548427</v>
      </c>
    </row>
    <row r="72" spans="2:9" x14ac:dyDescent="0.3">
      <c r="B72" s="30">
        <v>53</v>
      </c>
      <c r="C72" s="30">
        <v>5</v>
      </c>
      <c r="D72" s="31">
        <f t="shared" si="2"/>
        <v>40627.627685326486</v>
      </c>
      <c r="E72" s="31">
        <f t="shared" si="3"/>
        <v>600</v>
      </c>
      <c r="F72" s="40">
        <f t="shared" si="4"/>
        <v>8.9237257287477778E-3</v>
      </c>
      <c r="G72" s="31">
        <f>(Tabela2[[#This Row],[VALOR INICIAL R$]]+Tabela2[[#This Row],[APORTE MENSAL R$]])*(1+$D$13)</f>
        <v>41595.53172723727</v>
      </c>
      <c r="H72" s="31">
        <f>Tabela2[[#This Row],[VALOR FINAL R$]]-Tabela2[[#This Row],[VALOR INICIAL R$]]-Tabela2[[#This Row],[APORTE MENSAL R$]]</f>
        <v>367.90404191078414</v>
      </c>
      <c r="I72" s="39">
        <f>Tabela2[[#This Row],[VALOR FINAL R$]]/$D$11</f>
        <v>4.3328678882538822</v>
      </c>
    </row>
    <row r="73" spans="2:9" x14ac:dyDescent="0.3">
      <c r="B73" s="30">
        <v>54</v>
      </c>
      <c r="C73" s="30">
        <v>5</v>
      </c>
      <c r="D73" s="31">
        <f t="shared" si="2"/>
        <v>41595.53172723727</v>
      </c>
      <c r="E73" s="31">
        <f t="shared" si="3"/>
        <v>600</v>
      </c>
      <c r="F73" s="40">
        <f t="shared" si="4"/>
        <v>8.9237257287477778E-3</v>
      </c>
      <c r="G73" s="31">
        <f>(Tabela2[[#This Row],[VALOR INICIAL R$]]+Tabela2[[#This Row],[APORTE MENSAL R$]])*(1+$D$13)</f>
        <v>42572.073079349808</v>
      </c>
      <c r="H73" s="31">
        <f>Tabela2[[#This Row],[VALOR FINAL R$]]-Tabela2[[#This Row],[VALOR INICIAL R$]]-Tabela2[[#This Row],[APORTE MENSAL R$]]</f>
        <v>376.54135211253742</v>
      </c>
      <c r="I73" s="39">
        <f>Tabela2[[#This Row],[VALOR FINAL R$]]/$D$11</f>
        <v>4.4345909457656054</v>
      </c>
    </row>
    <row r="74" spans="2:9" x14ac:dyDescent="0.3">
      <c r="B74" s="30">
        <v>55</v>
      </c>
      <c r="C74" s="30">
        <v>5</v>
      </c>
      <c r="D74" s="31">
        <f t="shared" si="2"/>
        <v>42572.073079349808</v>
      </c>
      <c r="E74" s="31">
        <f t="shared" si="3"/>
        <v>600</v>
      </c>
      <c r="F74" s="40">
        <f t="shared" si="4"/>
        <v>8.9237257287477778E-3</v>
      </c>
      <c r="G74" s="31">
        <f>(Tabela2[[#This Row],[VALOR INICIAL R$]]+Tabela2[[#This Row],[APORTE MENSAL R$]])*(1+$D$13)</f>
        <v>43557.328818651382</v>
      </c>
      <c r="H74" s="31">
        <f>Tabela2[[#This Row],[VALOR FINAL R$]]-Tabela2[[#This Row],[VALOR INICIAL R$]]-Tabela2[[#This Row],[APORTE MENSAL R$]]</f>
        <v>385.25573930157407</v>
      </c>
      <c r="I74" s="39">
        <f>Tabela2[[#This Row],[VALOR FINAL R$]]/$D$11</f>
        <v>4.5372217519428526</v>
      </c>
    </row>
    <row r="75" spans="2:9" x14ac:dyDescent="0.3">
      <c r="B75" s="30">
        <v>56</v>
      </c>
      <c r="C75" s="30">
        <v>5</v>
      </c>
      <c r="D75" s="31">
        <f t="shared" si="2"/>
        <v>43557.328818651382</v>
      </c>
      <c r="E75" s="31">
        <f t="shared" si="3"/>
        <v>600</v>
      </c>
      <c r="F75" s="40">
        <f t="shared" si="4"/>
        <v>8.9237257287477778E-3</v>
      </c>
      <c r="G75" s="31">
        <f>(Tabela2[[#This Row],[VALOR INICIAL R$]]+Tabela2[[#This Row],[APORTE MENSAL R$]])*(1+$D$13)</f>
        <v>44551.376709943157</v>
      </c>
      <c r="H75" s="31">
        <f>Tabela2[[#This Row],[VALOR FINAL R$]]-Tabela2[[#This Row],[VALOR INICIAL R$]]-Tabela2[[#This Row],[APORTE MENSAL R$]]</f>
        <v>394.04789129177516</v>
      </c>
      <c r="I75" s="39">
        <f>Tabela2[[#This Row],[VALOR FINAL R$]]/$D$11</f>
        <v>4.6407684072857451</v>
      </c>
    </row>
    <row r="76" spans="2:9" x14ac:dyDescent="0.3">
      <c r="B76" s="30">
        <v>57</v>
      </c>
      <c r="C76" s="30">
        <v>5</v>
      </c>
      <c r="D76" s="31">
        <f t="shared" si="2"/>
        <v>44551.376709943157</v>
      </c>
      <c r="E76" s="31">
        <f t="shared" si="3"/>
        <v>600</v>
      </c>
      <c r="F76" s="40">
        <f t="shared" si="4"/>
        <v>8.9237257287477778E-3</v>
      </c>
      <c r="G76" s="31">
        <f>(Tabela2[[#This Row],[VALOR INICIAL R$]]+Tabela2[[#This Row],[APORTE MENSAL R$]])*(1+$D$13)</f>
        <v>45554.29521197806</v>
      </c>
      <c r="H76" s="31">
        <f>Tabela2[[#This Row],[VALOR FINAL R$]]-Tabela2[[#This Row],[VALOR INICIAL R$]]-Tabela2[[#This Row],[APORTE MENSAL R$]]</f>
        <v>402.91850203490321</v>
      </c>
      <c r="I76" s="39">
        <f>Tabela2[[#This Row],[VALOR FINAL R$]]/$D$11</f>
        <v>4.7452390845810477</v>
      </c>
    </row>
    <row r="77" spans="2:9" x14ac:dyDescent="0.3">
      <c r="B77" s="30">
        <v>58</v>
      </c>
      <c r="C77" s="30">
        <v>5</v>
      </c>
      <c r="D77" s="31">
        <f t="shared" si="2"/>
        <v>45554.29521197806</v>
      </c>
      <c r="E77" s="31">
        <f t="shared" si="3"/>
        <v>600</v>
      </c>
      <c r="F77" s="40">
        <f t="shared" si="4"/>
        <v>8.9237257287477778E-3</v>
      </c>
      <c r="G77" s="31">
        <f>(Tabela2[[#This Row],[VALOR INICIAL R$]]+Tabela2[[#This Row],[APORTE MENSAL R$]])*(1+$D$13)</f>
        <v>46566.163483653407</v>
      </c>
      <c r="H77" s="31">
        <f>Tabela2[[#This Row],[VALOR FINAL R$]]-Tabela2[[#This Row],[VALOR INICIAL R$]]-Tabela2[[#This Row],[APORTE MENSAL R$]]</f>
        <v>411.86827167534648</v>
      </c>
      <c r="I77" s="39">
        <f>Tabela2[[#This Row],[VALOR FINAL R$]]/$D$11</f>
        <v>4.8506420295472301</v>
      </c>
    </row>
    <row r="78" spans="2:9" x14ac:dyDescent="0.3">
      <c r="B78" s="30">
        <v>59</v>
      </c>
      <c r="C78" s="30">
        <v>5</v>
      </c>
      <c r="D78" s="31">
        <f t="shared" si="2"/>
        <v>46566.163483653407</v>
      </c>
      <c r="E78" s="31">
        <f t="shared" si="3"/>
        <v>600</v>
      </c>
      <c r="F78" s="40">
        <f t="shared" si="4"/>
        <v>8.9237257287477778E-3</v>
      </c>
      <c r="G78" s="31">
        <f>(Tabela2[[#This Row],[VALOR INICIAL R$]]+Tabela2[[#This Row],[APORTE MENSAL R$]])*(1+$D$13)</f>
        <v>47587.061390258808</v>
      </c>
      <c r="H78" s="31">
        <f>Tabela2[[#This Row],[VALOR FINAL R$]]-Tabela2[[#This Row],[VALOR INICIAL R$]]-Tabela2[[#This Row],[APORTE MENSAL R$]]</f>
        <v>420.89790660540166</v>
      </c>
      <c r="I78" s="39">
        <f>Tabela2[[#This Row],[VALOR FINAL R$]]/$D$11</f>
        <v>4.9569855614852925</v>
      </c>
    </row>
    <row r="79" spans="2:9" x14ac:dyDescent="0.3">
      <c r="B79" s="30">
        <v>60</v>
      </c>
      <c r="C79" s="30">
        <v>5</v>
      </c>
      <c r="D79" s="31">
        <f t="shared" si="2"/>
        <v>47587.061390258808</v>
      </c>
      <c r="E79" s="31">
        <f t="shared" si="3"/>
        <v>600</v>
      </c>
      <c r="F79" s="40">
        <f t="shared" si="4"/>
        <v>8.9237257287477778E-3</v>
      </c>
      <c r="G79" s="31">
        <f>(Tabela2[[#This Row],[VALOR INICIAL R$]]+Tabela2[[#This Row],[APORTE MENSAL R$]])*(1+$D$13)</f>
        <v>48617.069509779809</v>
      </c>
      <c r="H79" s="31">
        <f>Tabela2[[#This Row],[VALOR FINAL R$]]-Tabela2[[#This Row],[VALOR INICIAL R$]]-Tabela2[[#This Row],[APORTE MENSAL R$]]</f>
        <v>430.00811952100048</v>
      </c>
      <c r="I79" s="39">
        <f>Tabela2[[#This Row],[VALOR FINAL R$]]/$D$11</f>
        <v>5.0642780739353972</v>
      </c>
    </row>
    <row r="80" spans="2:9" x14ac:dyDescent="0.3">
      <c r="B80" s="30">
        <v>61</v>
      </c>
      <c r="C80" s="30">
        <v>6</v>
      </c>
      <c r="D80" s="31">
        <f t="shared" si="2"/>
        <v>48617.069509779809</v>
      </c>
      <c r="E80" s="31">
        <f t="shared" si="3"/>
        <v>600</v>
      </c>
      <c r="F80" s="40">
        <f t="shared" si="4"/>
        <v>8.9237257287477778E-3</v>
      </c>
      <c r="G80" s="31">
        <f>(Tabela2[[#This Row],[VALOR INICIAL R$]]+Tabela2[[#This Row],[APORTE MENSAL R$]])*(1+$D$13)</f>
        <v>49656.269139257798</v>
      </c>
      <c r="H80" s="31">
        <f>Tabela2[[#This Row],[VALOR FINAL R$]]-Tabela2[[#This Row],[VALOR INICIAL R$]]-Tabela2[[#This Row],[APORTE MENSAL R$]]</f>
        <v>439.19962947798922</v>
      </c>
      <c r="I80" s="39">
        <f>Tabela2[[#This Row],[VALOR FINAL R$]]/$D$11</f>
        <v>5.1725280353393543</v>
      </c>
    </row>
    <row r="81" spans="2:9" x14ac:dyDescent="0.3">
      <c r="B81" s="30">
        <v>62</v>
      </c>
      <c r="C81" s="30">
        <v>6</v>
      </c>
      <c r="D81" s="31">
        <f t="shared" si="2"/>
        <v>49656.269139257798</v>
      </c>
      <c r="E81" s="31">
        <f t="shared" si="3"/>
        <v>600</v>
      </c>
      <c r="F81" s="40">
        <f t="shared" si="4"/>
        <v>8.9237257287477778E-3</v>
      </c>
      <c r="G81" s="31">
        <f>(Tabela2[[#This Row],[VALOR INICIAL R$]]+Tabela2[[#This Row],[APORTE MENSAL R$]])*(1+$D$13)</f>
        <v>50704.742301206665</v>
      </c>
      <c r="H81" s="31">
        <f>Tabela2[[#This Row],[VALOR FINAL R$]]-Tabela2[[#This Row],[VALOR INICIAL R$]]-Tabela2[[#This Row],[APORTE MENSAL R$]]</f>
        <v>448.47316194886662</v>
      </c>
      <c r="I81" s="39">
        <f>Tabela2[[#This Row],[VALOR FINAL R$]]/$D$11</f>
        <v>5.2817439897090273</v>
      </c>
    </row>
    <row r="82" spans="2:9" x14ac:dyDescent="0.3">
      <c r="B82" s="30">
        <v>63</v>
      </c>
      <c r="C82" s="30">
        <v>6</v>
      </c>
      <c r="D82" s="31">
        <f t="shared" si="2"/>
        <v>50704.742301206665</v>
      </c>
      <c r="E82" s="31">
        <f t="shared" si="3"/>
        <v>600</v>
      </c>
      <c r="F82" s="40">
        <f t="shared" si="4"/>
        <v>8.9237257287477778E-3</v>
      </c>
      <c r="G82" s="31">
        <f>(Tabela2[[#This Row],[VALOR INICIAL R$]]+Tabela2[[#This Row],[APORTE MENSAL R$]])*(1+$D$13)</f>
        <v>51762.571750086718</v>
      </c>
      <c r="H82" s="31">
        <f>Tabela2[[#This Row],[VALOR FINAL R$]]-Tabela2[[#This Row],[VALOR INICIAL R$]]-Tabela2[[#This Row],[APORTE MENSAL R$]]</f>
        <v>457.82944888005295</v>
      </c>
      <c r="I82" s="39">
        <f>Tabela2[[#This Row],[VALOR FINAL R$]]/$D$11</f>
        <v>5.3919345573006998</v>
      </c>
    </row>
    <row r="83" spans="2:9" x14ac:dyDescent="0.3">
      <c r="B83" s="30">
        <v>64</v>
      </c>
      <c r="C83" s="30">
        <v>6</v>
      </c>
      <c r="D83" s="31">
        <f t="shared" si="2"/>
        <v>51762.571750086718</v>
      </c>
      <c r="E83" s="31">
        <f t="shared" si="3"/>
        <v>600</v>
      </c>
      <c r="F83" s="40">
        <f t="shared" si="4"/>
        <v>8.9237257287477778E-3</v>
      </c>
      <c r="G83" s="31">
        <f>(Tabela2[[#This Row],[VALOR INICIAL R$]]+Tabela2[[#This Row],[APORTE MENSAL R$]])*(1+$D$13)</f>
        <v>52829.840978836372</v>
      </c>
      <c r="H83" s="31">
        <f>Tabela2[[#This Row],[VALOR FINAL R$]]-Tabela2[[#This Row],[VALOR INICIAL R$]]-Tabela2[[#This Row],[APORTE MENSAL R$]]</f>
        <v>467.26922874965385</v>
      </c>
      <c r="I83" s="39">
        <f>Tabela2[[#This Row],[VALOR FINAL R$]]/$D$11</f>
        <v>5.5031084352954558</v>
      </c>
    </row>
    <row r="84" spans="2:9" x14ac:dyDescent="0.3">
      <c r="B84" s="30">
        <v>65</v>
      </c>
      <c r="C84" s="30">
        <v>6</v>
      </c>
      <c r="D84" s="31">
        <f t="shared" si="2"/>
        <v>52829.840978836372</v>
      </c>
      <c r="E84" s="31">
        <f t="shared" ref="E84:E115" si="5">$D$7</f>
        <v>600</v>
      </c>
      <c r="F84" s="40">
        <f t="shared" ref="F84:F115" si="6">$D$13</f>
        <v>8.9237257287477778E-3</v>
      </c>
      <c r="G84" s="31">
        <f>(Tabela2[[#This Row],[VALOR INICIAL R$]]+Tabela2[[#This Row],[APORTE MENSAL R$]])*(1+$D$13)</f>
        <v>53906.63422546212</v>
      </c>
      <c r="H84" s="31">
        <f>Tabela2[[#This Row],[VALOR FINAL R$]]-Tabela2[[#This Row],[VALOR INICIAL R$]]-Tabela2[[#This Row],[APORTE MENSAL R$]]</f>
        <v>476.793246625748</v>
      </c>
      <c r="I84" s="39">
        <f>Tabela2[[#This Row],[VALOR FINAL R$]]/$D$11</f>
        <v>5.6152743984856377</v>
      </c>
    </row>
    <row r="85" spans="2:9" x14ac:dyDescent="0.3">
      <c r="B85" s="30">
        <v>66</v>
      </c>
      <c r="C85" s="30">
        <v>6</v>
      </c>
      <c r="D85" s="31">
        <f t="shared" si="2"/>
        <v>53906.63422546212</v>
      </c>
      <c r="E85" s="31">
        <f t="shared" si="5"/>
        <v>600</v>
      </c>
      <c r="F85" s="40">
        <f t="shared" si="6"/>
        <v>8.9237257287477778E-3</v>
      </c>
      <c r="G85" s="31">
        <f>(Tabela2[[#This Row],[VALOR INICIAL R$]]+Tabela2[[#This Row],[APORTE MENSAL R$]])*(1+$D$13)</f>
        <v>54993.036479687318</v>
      </c>
      <c r="H85" s="31">
        <f>Tabela2[[#This Row],[VALOR FINAL R$]]-Tabela2[[#This Row],[VALOR INICIAL R$]]-Tabela2[[#This Row],[APORTE MENSAL R$]]</f>
        <v>486.4022542251987</v>
      </c>
      <c r="I85" s="39">
        <f>Tabela2[[#This Row],[VALOR FINAL R$]]/$D$11</f>
        <v>5.7284412999674288</v>
      </c>
    </row>
    <row r="86" spans="2:9" x14ac:dyDescent="0.3">
      <c r="B86" s="30">
        <v>67</v>
      </c>
      <c r="C86" s="30">
        <v>6</v>
      </c>
      <c r="D86" s="31">
        <f t="shared" ref="D86:D149" si="7">G85</f>
        <v>54993.036479687318</v>
      </c>
      <c r="E86" s="31">
        <f t="shared" si="5"/>
        <v>600</v>
      </c>
      <c r="F86" s="40">
        <f t="shared" si="6"/>
        <v>8.9237257287477778E-3</v>
      </c>
      <c r="G86" s="31">
        <f>(Tabela2[[#This Row],[VALOR INICIAL R$]]+Tabela2[[#This Row],[APORTE MENSAL R$]])*(1+$D$13)</f>
        <v>56089.133489660315</v>
      </c>
      <c r="H86" s="31">
        <f>Tabela2[[#This Row],[VALOR FINAL R$]]-Tabela2[[#This Row],[VALOR INICIAL R$]]-Tabela2[[#This Row],[APORTE MENSAL R$]]</f>
        <v>496.0970099729966</v>
      </c>
      <c r="I86" s="39">
        <f>Tabela2[[#This Row],[VALOR FINAL R$]]/$D$11</f>
        <v>5.8426180718396159</v>
      </c>
    </row>
    <row r="87" spans="2:9" x14ac:dyDescent="0.3">
      <c r="B87" s="30">
        <v>68</v>
      </c>
      <c r="C87" s="30">
        <v>6</v>
      </c>
      <c r="D87" s="31">
        <f t="shared" si="7"/>
        <v>56089.133489660315</v>
      </c>
      <c r="E87" s="31">
        <f t="shared" si="5"/>
        <v>600</v>
      </c>
      <c r="F87" s="40">
        <f t="shared" si="6"/>
        <v>8.9237257287477778E-3</v>
      </c>
      <c r="G87" s="31">
        <f>(Tabela2[[#This Row],[VALOR INICIAL R$]]+Tabela2[[#This Row],[APORTE MENSAL R$]])*(1+$D$13)</f>
        <v>57195.011768722412</v>
      </c>
      <c r="H87" s="31">
        <f>Tabela2[[#This Row],[VALOR FINAL R$]]-Tabela2[[#This Row],[VALOR INICIAL R$]]-Tabela2[[#This Row],[APORTE MENSAL R$]]</f>
        <v>505.87827906209714</v>
      </c>
      <c r="I87" s="39">
        <f>Tabela2[[#This Row],[VALOR FINAL R$]]/$D$11</f>
        <v>5.9578137259085846</v>
      </c>
    </row>
    <row r="88" spans="2:9" x14ac:dyDescent="0.3">
      <c r="B88" s="30">
        <v>69</v>
      </c>
      <c r="C88" s="30">
        <v>6</v>
      </c>
      <c r="D88" s="31">
        <f t="shared" si="7"/>
        <v>57195.011768722412</v>
      </c>
      <c r="E88" s="31">
        <f t="shared" si="5"/>
        <v>600</v>
      </c>
      <c r="F88" s="40">
        <f t="shared" si="6"/>
        <v>8.9237257287477778E-3</v>
      </c>
      <c r="G88" s="31">
        <f>(Tabela2[[#This Row],[VALOR INICIAL R$]]+Tabela2[[#This Row],[APORTE MENSAL R$]])*(1+$D$13)</f>
        <v>58310.758602236237</v>
      </c>
      <c r="H88" s="31">
        <f>Tabela2[[#This Row],[VALOR FINAL R$]]-Tabela2[[#This Row],[VALOR INICIAL R$]]-Tabela2[[#This Row],[APORTE MENSAL R$]]</f>
        <v>515.74683351382555</v>
      </c>
      <c r="I88" s="39">
        <f>Tabela2[[#This Row],[VALOR FINAL R$]]/$D$11</f>
        <v>6.074037354399608</v>
      </c>
    </row>
    <row r="89" spans="2:9" x14ac:dyDescent="0.3">
      <c r="B89" s="30">
        <v>70</v>
      </c>
      <c r="C89" s="30">
        <v>6</v>
      </c>
      <c r="D89" s="31">
        <f t="shared" si="7"/>
        <v>58310.758602236237</v>
      </c>
      <c r="E89" s="31">
        <f t="shared" si="5"/>
        <v>600</v>
      </c>
      <c r="F89" s="40">
        <f t="shared" si="6"/>
        <v>8.9237257287477778E-3</v>
      </c>
      <c r="G89" s="31">
        <f>(Tabela2[[#This Row],[VALOR INICIAL R$]]+Tabela2[[#This Row],[APORTE MENSAL R$]])*(1+$D$13)</f>
        <v>59436.462054475065</v>
      </c>
      <c r="H89" s="31">
        <f>Tabela2[[#This Row],[VALOR FINAL R$]]-Tabela2[[#This Row],[VALOR INICIAL R$]]-Tabela2[[#This Row],[APORTE MENSAL R$]]</f>
        <v>525.70345223882759</v>
      </c>
      <c r="I89" s="39">
        <f>Tabela2[[#This Row],[VALOR FINAL R$]]/$D$11</f>
        <v>6.1912981306744861</v>
      </c>
    </row>
    <row r="90" spans="2:9" x14ac:dyDescent="0.3">
      <c r="B90" s="30">
        <v>71</v>
      </c>
      <c r="C90" s="30">
        <v>6</v>
      </c>
      <c r="D90" s="31">
        <f t="shared" si="7"/>
        <v>59436.462054475065</v>
      </c>
      <c r="E90" s="31">
        <f t="shared" si="5"/>
        <v>600</v>
      </c>
      <c r="F90" s="40">
        <f t="shared" si="6"/>
        <v>8.9237257287477778E-3</v>
      </c>
      <c r="G90" s="31">
        <f>(Tabela2[[#This Row],[VALOR INICIAL R$]]+Tabela2[[#This Row],[APORTE MENSAL R$]])*(1+$D$13)</f>
        <v>60572.210975573573</v>
      </c>
      <c r="H90" s="31">
        <f>Tabela2[[#This Row],[VALOR FINAL R$]]-Tabela2[[#This Row],[VALOR INICIAL R$]]-Tabela2[[#This Row],[APORTE MENSAL R$]]</f>
        <v>535.74892109850771</v>
      </c>
      <c r="I90" s="39">
        <f>Tabela2[[#This Row],[VALOR FINAL R$]]/$D$11</f>
        <v>6.3096053099555807</v>
      </c>
    </row>
    <row r="91" spans="2:9" x14ac:dyDescent="0.3">
      <c r="B91" s="30">
        <v>72</v>
      </c>
      <c r="C91" s="30">
        <v>6</v>
      </c>
      <c r="D91" s="31">
        <f t="shared" si="7"/>
        <v>60572.210975573573</v>
      </c>
      <c r="E91" s="31">
        <f t="shared" si="5"/>
        <v>600</v>
      </c>
      <c r="F91" s="40">
        <f t="shared" si="6"/>
        <v>8.9237257287477778E-3</v>
      </c>
      <c r="G91" s="31">
        <f>(Tabela2[[#This Row],[VALOR INICIAL R$]]+Tabela2[[#This Row],[APORTE MENSAL R$]])*(1+$D$13)</f>
        <v>61718.095008540688</v>
      </c>
      <c r="H91" s="31">
        <f>Tabela2[[#This Row],[VALOR FINAL R$]]-Tabela2[[#This Row],[VALOR INICIAL R$]]-Tabela2[[#This Row],[APORTE MENSAL R$]]</f>
        <v>545.88403296711476</v>
      </c>
      <c r="I91" s="39">
        <f>Tabela2[[#This Row],[VALOR FINAL R$]]/$D$11</f>
        <v>6.4289682300563218</v>
      </c>
    </row>
    <row r="92" spans="2:9" x14ac:dyDescent="0.3">
      <c r="B92" s="30">
        <v>73</v>
      </c>
      <c r="C92" s="30">
        <v>7</v>
      </c>
      <c r="D92" s="31">
        <f t="shared" si="7"/>
        <v>61718.095008540688</v>
      </c>
      <c r="E92" s="31">
        <f t="shared" si="5"/>
        <v>600</v>
      </c>
      <c r="F92" s="40">
        <f t="shared" si="6"/>
        <v>8.9237257287477778E-3</v>
      </c>
      <c r="G92" s="31">
        <f>(Tabela2[[#This Row],[VALOR INICIAL R$]]+Tabela2[[#This Row],[APORTE MENSAL R$]])*(1+$D$13)</f>
        <v>62874.204596334952</v>
      </c>
      <c r="H92" s="31">
        <f>Tabela2[[#This Row],[VALOR FINAL R$]]-Tabela2[[#This Row],[VALOR INICIAL R$]]-Tabela2[[#This Row],[APORTE MENSAL R$]]</f>
        <v>556.10958779426437</v>
      </c>
      <c r="I92" s="39">
        <f>Tabela2[[#This Row],[VALOR FINAL R$]]/$D$11</f>
        <v>6.5493963121182244</v>
      </c>
    </row>
    <row r="93" spans="2:9" x14ac:dyDescent="0.3">
      <c r="B93" s="30">
        <v>74</v>
      </c>
      <c r="C93" s="30">
        <v>7</v>
      </c>
      <c r="D93" s="31">
        <f t="shared" si="7"/>
        <v>62874.204596334952</v>
      </c>
      <c r="E93" s="31">
        <f t="shared" si="5"/>
        <v>600</v>
      </c>
      <c r="F93" s="40">
        <f t="shared" si="6"/>
        <v>8.9237257287477778E-3</v>
      </c>
      <c r="G93" s="31">
        <f>(Tabela2[[#This Row],[VALOR INICIAL R$]]+Tabela2[[#This Row],[APORTE MENSAL R$]])*(1+$D$13)</f>
        <v>64040.630989003068</v>
      </c>
      <c r="H93" s="31">
        <f>Tabela2[[#This Row],[VALOR FINAL R$]]-Tabela2[[#This Row],[VALOR INICIAL R$]]-Tabela2[[#This Row],[APORTE MENSAL R$]]</f>
        <v>566.42639266811602</v>
      </c>
      <c r="I93" s="39">
        <f>Tabela2[[#This Row],[VALOR FINAL R$]]/$D$11</f>
        <v>6.6708990613544863</v>
      </c>
    </row>
    <row r="94" spans="2:9" x14ac:dyDescent="0.3">
      <c r="B94" s="30">
        <v>75</v>
      </c>
      <c r="C94" s="30">
        <v>7</v>
      </c>
      <c r="D94" s="31">
        <f t="shared" si="7"/>
        <v>64040.630989003068</v>
      </c>
      <c r="E94" s="31">
        <f t="shared" si="5"/>
        <v>600</v>
      </c>
      <c r="F94" s="40">
        <f t="shared" si="6"/>
        <v>8.9237257287477778E-3</v>
      </c>
      <c r="G94" s="31">
        <f>(Tabela2[[#This Row],[VALOR INICIAL R$]]+Tabela2[[#This Row],[APORTE MENSAL R$]])*(1+$D$13)</f>
        <v>65217.466250882127</v>
      </c>
      <c r="H94" s="31">
        <f>Tabela2[[#This Row],[VALOR FINAL R$]]-Tabela2[[#This Row],[VALOR INICIAL R$]]-Tabela2[[#This Row],[APORTE MENSAL R$]]</f>
        <v>576.83526187905954</v>
      </c>
      <c r="I94" s="39">
        <f>Tabela2[[#This Row],[VALOR FINAL R$]]/$D$11</f>
        <v>6.793486067800222</v>
      </c>
    </row>
    <row r="95" spans="2:9" x14ac:dyDescent="0.3">
      <c r="B95" s="30">
        <v>76</v>
      </c>
      <c r="C95" s="30">
        <v>7</v>
      </c>
      <c r="D95" s="31">
        <f t="shared" si="7"/>
        <v>65217.466250882127</v>
      </c>
      <c r="E95" s="31">
        <f t="shared" si="5"/>
        <v>600</v>
      </c>
      <c r="F95" s="40">
        <f t="shared" si="6"/>
        <v>8.9237257287477778E-3</v>
      </c>
      <c r="G95" s="31">
        <f>(Tabela2[[#This Row],[VALOR INICIAL R$]]+Tabela2[[#This Row],[APORTE MENSAL R$]])*(1+$D$13)</f>
        <v>66404.803267866126</v>
      </c>
      <c r="H95" s="31">
        <f>Tabela2[[#This Row],[VALOR FINAL R$]]-Tabela2[[#This Row],[VALOR INICIAL R$]]-Tabela2[[#This Row],[APORTE MENSAL R$]]</f>
        <v>587.33701698399818</v>
      </c>
      <c r="I95" s="39">
        <f>Tabela2[[#This Row],[VALOR FINAL R$]]/$D$11</f>
        <v>6.9171670070693878</v>
      </c>
    </row>
    <row r="96" spans="2:9" x14ac:dyDescent="0.3">
      <c r="B96" s="30">
        <v>77</v>
      </c>
      <c r="C96" s="30">
        <v>7</v>
      </c>
      <c r="D96" s="31">
        <f t="shared" si="7"/>
        <v>66404.803267866126</v>
      </c>
      <c r="E96" s="31">
        <f t="shared" si="5"/>
        <v>600</v>
      </c>
      <c r="F96" s="40">
        <f t="shared" si="6"/>
        <v>8.9237257287477778E-3</v>
      </c>
      <c r="G96" s="31">
        <f>(Tabela2[[#This Row],[VALOR INICIAL R$]]+Tabela2[[#This Row],[APORTE MENSAL R$]])*(1+$D$13)</f>
        <v>67602.735754737267</v>
      </c>
      <c r="H96" s="31">
        <f>Tabela2[[#This Row],[VALOR FINAL R$]]-Tabela2[[#This Row],[VALOR INICIAL R$]]-Tabela2[[#This Row],[APORTE MENSAL R$]]</f>
        <v>597.93248687114101</v>
      </c>
      <c r="I96" s="39">
        <f>Tabela2[[#This Row],[VALOR FINAL R$]]/$D$11</f>
        <v>7.0419516411184651</v>
      </c>
    </row>
    <row r="97" spans="2:9" x14ac:dyDescent="0.3">
      <c r="B97" s="30">
        <v>78</v>
      </c>
      <c r="C97" s="30">
        <v>7</v>
      </c>
      <c r="D97" s="31">
        <f t="shared" si="7"/>
        <v>67602.735754737267</v>
      </c>
      <c r="E97" s="31">
        <f t="shared" si="5"/>
        <v>600</v>
      </c>
      <c r="F97" s="40">
        <f t="shared" si="6"/>
        <v>8.9237257287477778E-3</v>
      </c>
      <c r="G97" s="31">
        <f>(Tabela2[[#This Row],[VALOR INICIAL R$]]+Tabela2[[#This Row],[APORTE MENSAL R$]])*(1+$D$13)</f>
        <v>68811.358262562804</v>
      </c>
      <c r="H97" s="31">
        <f>Tabela2[[#This Row],[VALOR FINAL R$]]-Tabela2[[#This Row],[VALOR INICIAL R$]]-Tabela2[[#This Row],[APORTE MENSAL R$]]</f>
        <v>608.62250782553747</v>
      </c>
      <c r="I97" s="39">
        <f>Tabela2[[#This Row],[VALOR FINAL R$]]/$D$11</f>
        <v>7.1678498190169586</v>
      </c>
    </row>
    <row r="98" spans="2:9" x14ac:dyDescent="0.3">
      <c r="B98" s="30">
        <v>79</v>
      </c>
      <c r="C98" s="30">
        <v>7</v>
      </c>
      <c r="D98" s="31">
        <f t="shared" si="7"/>
        <v>68811.358262562804</v>
      </c>
      <c r="E98" s="31">
        <f t="shared" si="5"/>
        <v>600</v>
      </c>
      <c r="F98" s="40">
        <f t="shared" si="6"/>
        <v>8.9237257287477778E-3</v>
      </c>
      <c r="G98" s="31">
        <f>(Tabela2[[#This Row],[VALOR INICIAL R$]]+Tabela2[[#This Row],[APORTE MENSAL R$]])*(1+$D$13)</f>
        <v>70030.766186157765</v>
      </c>
      <c r="H98" s="31">
        <f>Tabela2[[#This Row],[VALOR FINAL R$]]-Tabela2[[#This Row],[VALOR INICIAL R$]]-Tabela2[[#This Row],[APORTE MENSAL R$]]</f>
        <v>619.40792359496118</v>
      </c>
      <c r="I98" s="39">
        <f>Tabela2[[#This Row],[VALOR FINAL R$]]/$D$11</f>
        <v>7.294871477724767</v>
      </c>
    </row>
    <row r="99" spans="2:9" x14ac:dyDescent="0.3">
      <c r="B99" s="30">
        <v>80</v>
      </c>
      <c r="C99" s="30">
        <v>7</v>
      </c>
      <c r="D99" s="31">
        <f t="shared" si="7"/>
        <v>70030.766186157765</v>
      </c>
      <c r="E99" s="31">
        <f t="shared" si="5"/>
        <v>600</v>
      </c>
      <c r="F99" s="40">
        <f t="shared" si="6"/>
        <v>8.9237257287477778E-3</v>
      </c>
      <c r="G99" s="31">
        <f>(Tabela2[[#This Row],[VALOR INICIAL R$]]+Tabela2[[#This Row],[APORTE MENSAL R$]])*(1+$D$13)</f>
        <v>71261.055771614352</v>
      </c>
      <c r="H99" s="31">
        <f>Tabela2[[#This Row],[VALOR FINAL R$]]-Tabela2[[#This Row],[VALOR INICIAL R$]]-Tabela2[[#This Row],[APORTE MENSAL R$]]</f>
        <v>630.28958545658679</v>
      </c>
      <c r="I99" s="39">
        <f>Tabela2[[#This Row],[VALOR FINAL R$]]/$D$11</f>
        <v>7.4230266428764953</v>
      </c>
    </row>
    <row r="100" spans="2:9" x14ac:dyDescent="0.3">
      <c r="B100" s="30">
        <v>81</v>
      </c>
      <c r="C100" s="30">
        <v>7</v>
      </c>
      <c r="D100" s="31">
        <f t="shared" si="7"/>
        <v>71261.055771614352</v>
      </c>
      <c r="E100" s="31">
        <f t="shared" si="5"/>
        <v>600</v>
      </c>
      <c r="F100" s="40">
        <f t="shared" si="6"/>
        <v>8.9237257287477778E-3</v>
      </c>
      <c r="G100" s="31">
        <f>(Tabela2[[#This Row],[VALOR INICIAL R$]]+Tabela2[[#This Row],[APORTE MENSAL R$]])*(1+$D$13)</f>
        <v>72502.324123898492</v>
      </c>
      <c r="H100" s="31">
        <f>Tabela2[[#This Row],[VALOR FINAL R$]]-Tabela2[[#This Row],[VALOR INICIAL R$]]-Tabela2[[#This Row],[APORTE MENSAL R$]]</f>
        <v>641.26835228413984</v>
      </c>
      <c r="I100" s="39">
        <f>Tabela2[[#This Row],[VALOR FINAL R$]]/$D$11</f>
        <v>7.5523254295727593</v>
      </c>
    </row>
    <row r="101" spans="2:9" x14ac:dyDescent="0.3">
      <c r="B101" s="30">
        <v>82</v>
      </c>
      <c r="C101" s="30">
        <v>7</v>
      </c>
      <c r="D101" s="31">
        <f t="shared" si="7"/>
        <v>72502.324123898492</v>
      </c>
      <c r="E101" s="31">
        <f t="shared" si="5"/>
        <v>600</v>
      </c>
      <c r="F101" s="40">
        <f t="shared" si="6"/>
        <v>8.9237257287477778E-3</v>
      </c>
      <c r="G101" s="31">
        <f>(Tabela2[[#This Row],[VALOR INICIAL R$]]+Tabela2[[#This Row],[APORTE MENSAL R$]])*(1+$D$13)</f>
        <v>73754.669214514186</v>
      </c>
      <c r="H101" s="31">
        <f>Tabela2[[#This Row],[VALOR FINAL R$]]-Tabela2[[#This Row],[VALOR INICIAL R$]]-Tabela2[[#This Row],[APORTE MENSAL R$]]</f>
        <v>652.34509061569406</v>
      </c>
      <c r="I101" s="39">
        <f>Tabela2[[#This Row],[VALOR FINAL R$]]/$D$11</f>
        <v>7.6827780431785611</v>
      </c>
    </row>
    <row r="102" spans="2:9" x14ac:dyDescent="0.3">
      <c r="B102" s="30">
        <v>83</v>
      </c>
      <c r="C102" s="30">
        <v>7</v>
      </c>
      <c r="D102" s="31">
        <f t="shared" si="7"/>
        <v>73754.669214514186</v>
      </c>
      <c r="E102" s="31">
        <f t="shared" si="5"/>
        <v>600</v>
      </c>
      <c r="F102" s="40">
        <f t="shared" si="6"/>
        <v>8.9237257287477778E-3</v>
      </c>
      <c r="G102" s="31">
        <f>(Tabela2[[#This Row],[VALOR INICIAL R$]]+Tabela2[[#This Row],[APORTE MENSAL R$]])*(1+$D$13)</f>
        <v>75018.189889236281</v>
      </c>
      <c r="H102" s="31">
        <f>Tabela2[[#This Row],[VALOR FINAL R$]]-Tabela2[[#This Row],[VALOR INICIAL R$]]-Tabela2[[#This Row],[APORTE MENSAL R$]]</f>
        <v>663.52067472209455</v>
      </c>
      <c r="I102" s="39">
        <f>Tabela2[[#This Row],[VALOR FINAL R$]]/$D$11</f>
        <v>7.8143947801287794</v>
      </c>
    </row>
    <row r="103" spans="2:9" x14ac:dyDescent="0.3">
      <c r="B103" s="30">
        <v>84</v>
      </c>
      <c r="C103" s="30">
        <v>7</v>
      </c>
      <c r="D103" s="31">
        <f t="shared" si="7"/>
        <v>75018.189889236281</v>
      </c>
      <c r="E103" s="31">
        <f t="shared" si="5"/>
        <v>600</v>
      </c>
      <c r="F103" s="40">
        <f t="shared" si="6"/>
        <v>8.9237257287477778E-3</v>
      </c>
      <c r="G103" s="31">
        <f>(Tabela2[[#This Row],[VALOR INICIAL R$]]+Tabela2[[#This Row],[APORTE MENSAL R$]])*(1+$D$13)</f>
        <v>76292.9858759122</v>
      </c>
      <c r="H103" s="31">
        <f>Tabela2[[#This Row],[VALOR FINAL R$]]-Tabela2[[#This Row],[VALOR INICIAL R$]]-Tabela2[[#This Row],[APORTE MENSAL R$]]</f>
        <v>674.79598667591927</v>
      </c>
      <c r="I103" s="39">
        <f>Tabela2[[#This Row],[VALOR FINAL R$]]/$D$11</f>
        <v>7.9471860287408544</v>
      </c>
    </row>
    <row r="104" spans="2:9" x14ac:dyDescent="0.3">
      <c r="B104" s="30">
        <v>85</v>
      </c>
      <c r="C104" s="30">
        <v>8</v>
      </c>
      <c r="D104" s="31">
        <f t="shared" si="7"/>
        <v>76292.9858759122</v>
      </c>
      <c r="E104" s="31">
        <f t="shared" si="5"/>
        <v>600</v>
      </c>
      <c r="F104" s="40">
        <f t="shared" si="6"/>
        <v>8.9237257287477778E-3</v>
      </c>
      <c r="G104" s="31">
        <f>(Tabela2[[#This Row],[VALOR INICIAL R$]]+Tabela2[[#This Row],[APORTE MENSAL R$]])*(1+$D$13)</f>
        <v>77579.15779233331</v>
      </c>
      <c r="H104" s="31">
        <f>Tabela2[[#This Row],[VALOR FINAL R$]]-Tabela2[[#This Row],[VALOR INICIAL R$]]-Tabela2[[#This Row],[APORTE MENSAL R$]]</f>
        <v>686.17191642110993</v>
      </c>
      <c r="I104" s="39">
        <f>Tabela2[[#This Row],[VALOR FINAL R$]]/$D$11</f>
        <v>8.081162270034719</v>
      </c>
    </row>
    <row r="105" spans="2:9" x14ac:dyDescent="0.3">
      <c r="B105" s="30">
        <v>86</v>
      </c>
      <c r="C105" s="30">
        <v>8</v>
      </c>
      <c r="D105" s="31">
        <f t="shared" si="7"/>
        <v>77579.15779233331</v>
      </c>
      <c r="E105" s="31">
        <f t="shared" si="5"/>
        <v>600</v>
      </c>
      <c r="F105" s="40">
        <f t="shared" si="6"/>
        <v>8.9237257287477778E-3</v>
      </c>
      <c r="G105" s="31">
        <f>(Tabela2[[#This Row],[VALOR INICIAL R$]]+Tabela2[[#This Row],[APORTE MENSAL R$]])*(1+$D$13)</f>
        <v>78876.807154176582</v>
      </c>
      <c r="H105" s="31">
        <f>Tabela2[[#This Row],[VALOR FINAL R$]]-Tabela2[[#This Row],[VALOR INICIAL R$]]-Tabela2[[#This Row],[APORTE MENSAL R$]]</f>
        <v>697.64936184327235</v>
      </c>
      <c r="I105" s="39">
        <f>Tabela2[[#This Row],[VALOR FINAL R$]]/$D$11</f>
        <v>8.2163340785600614</v>
      </c>
    </row>
    <row r="106" spans="2:9" x14ac:dyDescent="0.3">
      <c r="B106" s="30">
        <v>87</v>
      </c>
      <c r="C106" s="30">
        <v>8</v>
      </c>
      <c r="D106" s="31">
        <f t="shared" si="7"/>
        <v>78876.807154176582</v>
      </c>
      <c r="E106" s="31">
        <f t="shared" si="5"/>
        <v>600</v>
      </c>
      <c r="F106" s="40">
        <f t="shared" si="6"/>
        <v>8.9237257287477778E-3</v>
      </c>
      <c r="G106" s="31">
        <f>(Tabela2[[#This Row],[VALOR INICIAL R$]]+Tabela2[[#This Row],[APORTE MENSAL R$]])*(1+$D$13)</f>
        <v>80186.036383017039</v>
      </c>
      <c r="H106" s="31">
        <f>Tabela2[[#This Row],[VALOR FINAL R$]]-Tabela2[[#This Row],[VALOR INICIAL R$]]-Tabela2[[#This Row],[APORTE MENSAL R$]]</f>
        <v>709.22922884045693</v>
      </c>
      <c r="I106" s="39">
        <f>Tabela2[[#This Row],[VALOR FINAL R$]]/$D$11</f>
        <v>8.3527121232309423</v>
      </c>
    </row>
    <row r="107" spans="2:9" x14ac:dyDescent="0.3">
      <c r="B107" s="30">
        <v>88</v>
      </c>
      <c r="C107" s="30">
        <v>8</v>
      </c>
      <c r="D107" s="31">
        <f t="shared" si="7"/>
        <v>80186.036383017039</v>
      </c>
      <c r="E107" s="31">
        <f t="shared" si="5"/>
        <v>600</v>
      </c>
      <c r="F107" s="40">
        <f t="shared" si="6"/>
        <v>8.9237257287477778E-3</v>
      </c>
      <c r="G107" s="31">
        <f>(Tabela2[[#This Row],[VALOR INICIAL R$]]+Tabela2[[#This Row],[APORTE MENSAL R$]])*(1+$D$13)</f>
        <v>81506.94881441172</v>
      </c>
      <c r="H107" s="31">
        <f>Tabela2[[#This Row],[VALOR FINAL R$]]-Tabela2[[#This Row],[VALOR INICIAL R$]]-Tabela2[[#This Row],[APORTE MENSAL R$]]</f>
        <v>720.91243139468133</v>
      </c>
      <c r="I107" s="39">
        <f>Tabela2[[#This Row],[VALOR FINAL R$]]/$D$11</f>
        <v>8.4903071681678881</v>
      </c>
    </row>
    <row r="108" spans="2:9" x14ac:dyDescent="0.3">
      <c r="B108" s="30">
        <v>89</v>
      </c>
      <c r="C108" s="30">
        <v>8</v>
      </c>
      <c r="D108" s="31">
        <f t="shared" si="7"/>
        <v>81506.94881441172</v>
      </c>
      <c r="E108" s="31">
        <f t="shared" si="5"/>
        <v>600</v>
      </c>
      <c r="F108" s="40">
        <f t="shared" si="6"/>
        <v>8.9237257287477778E-3</v>
      </c>
      <c r="G108" s="31">
        <f>(Tabela2[[#This Row],[VALOR INICIAL R$]]+Tabela2[[#This Row],[APORTE MENSAL R$]])*(1+$D$13)</f>
        <v>82839.648706055857</v>
      </c>
      <c r="H108" s="31">
        <f>Tabela2[[#This Row],[VALOR FINAL R$]]-Tabela2[[#This Row],[VALOR INICIAL R$]]-Tabela2[[#This Row],[APORTE MENSAL R$]]</f>
        <v>732.6998916441371</v>
      </c>
      <c r="I108" s="39">
        <f>Tabela2[[#This Row],[VALOR FINAL R$]]/$D$11</f>
        <v>8.6291300735474845</v>
      </c>
    </row>
    <row r="109" spans="2:9" x14ac:dyDescent="0.3">
      <c r="B109" s="30">
        <v>90</v>
      </c>
      <c r="C109" s="30">
        <v>8</v>
      </c>
      <c r="D109" s="31">
        <f t="shared" si="7"/>
        <v>82839.648706055857</v>
      </c>
      <c r="E109" s="31">
        <f t="shared" si="5"/>
        <v>600</v>
      </c>
      <c r="F109" s="40">
        <f t="shared" si="6"/>
        <v>8.9237257287477778E-3</v>
      </c>
      <c r="G109" s="31">
        <f>(Tabela2[[#This Row],[VALOR INICIAL R$]]+Tabela2[[#This Row],[APORTE MENSAL R$]])*(1+$D$13)</f>
        <v>84184.241246011763</v>
      </c>
      <c r="H109" s="31">
        <f>Tabela2[[#This Row],[VALOR FINAL R$]]-Tabela2[[#This Row],[VALOR INICIAL R$]]-Tabela2[[#This Row],[APORTE MENSAL R$]]</f>
        <v>744.59253995590552</v>
      </c>
      <c r="I109" s="39">
        <f>Tabela2[[#This Row],[VALOR FINAL R$]]/$D$11</f>
        <v>8.7691917964595589</v>
      </c>
    </row>
    <row r="110" spans="2:9" x14ac:dyDescent="0.3">
      <c r="B110" s="30">
        <v>91</v>
      </c>
      <c r="C110" s="30">
        <v>8</v>
      </c>
      <c r="D110" s="31">
        <f t="shared" si="7"/>
        <v>84184.241246011763</v>
      </c>
      <c r="E110" s="31">
        <f t="shared" si="5"/>
        <v>600</v>
      </c>
      <c r="F110" s="40">
        <f t="shared" si="6"/>
        <v>8.9237257287477778E-3</v>
      </c>
      <c r="G110" s="31">
        <f>(Tabela2[[#This Row],[VALOR INICIAL R$]]+Tabela2[[#This Row],[APORTE MENSAL R$]])*(1+$D$13)</f>
        <v>85540.83256101115</v>
      </c>
      <c r="H110" s="31">
        <f>Tabela2[[#This Row],[VALOR FINAL R$]]-Tabela2[[#This Row],[VALOR INICIAL R$]]-Tabela2[[#This Row],[APORTE MENSAL R$]]</f>
        <v>756.59131499938667</v>
      </c>
      <c r="I110" s="39">
        <f>Tabela2[[#This Row],[VALOR FINAL R$]]/$D$11</f>
        <v>8.9105033917719947</v>
      </c>
    </row>
    <row r="111" spans="2:9" x14ac:dyDescent="0.3">
      <c r="B111" s="30">
        <v>92</v>
      </c>
      <c r="C111" s="30">
        <v>8</v>
      </c>
      <c r="D111" s="31">
        <f t="shared" si="7"/>
        <v>85540.83256101115</v>
      </c>
      <c r="E111" s="31">
        <f t="shared" si="5"/>
        <v>600</v>
      </c>
      <c r="F111" s="40">
        <f t="shared" si="6"/>
        <v>8.9237257287477778E-3</v>
      </c>
      <c r="G111" s="31">
        <f>(Tabela2[[#This Row],[VALOR INICIAL R$]]+Tabela2[[#This Row],[APORTE MENSAL R$]])*(1+$D$13)</f>
        <v>86909.529724831606</v>
      </c>
      <c r="H111" s="31">
        <f>Tabela2[[#This Row],[VALOR FINAL R$]]-Tabela2[[#This Row],[VALOR INICIAL R$]]-Tabela2[[#This Row],[APORTE MENSAL R$]]</f>
        <v>768.6971638204559</v>
      </c>
      <c r="I111" s="39">
        <f>Tabela2[[#This Row],[VALOR FINAL R$]]/$D$11</f>
        <v>9.0530760130032917</v>
      </c>
    </row>
    <row r="112" spans="2:9" x14ac:dyDescent="0.3">
      <c r="B112" s="30">
        <v>93</v>
      </c>
      <c r="C112" s="30">
        <v>8</v>
      </c>
      <c r="D112" s="31">
        <f t="shared" si="7"/>
        <v>86909.529724831606</v>
      </c>
      <c r="E112" s="31">
        <f t="shared" si="5"/>
        <v>600</v>
      </c>
      <c r="F112" s="40">
        <f t="shared" si="6"/>
        <v>8.9237257287477778E-3</v>
      </c>
      <c r="G112" s="31">
        <f>(Tabela2[[#This Row],[VALOR INICIAL R$]]+Tabela2[[#This Row],[APORTE MENSAL R$]])*(1+$D$13)</f>
        <v>88290.440766747706</v>
      </c>
      <c r="H112" s="31">
        <f>Tabela2[[#This Row],[VALOR FINAL R$]]-Tabela2[[#This Row],[VALOR INICIAL R$]]-Tabela2[[#This Row],[APORTE MENSAL R$]]</f>
        <v>780.91104191610066</v>
      </c>
      <c r="I112" s="39">
        <f>Tabela2[[#This Row],[VALOR FINAL R$]]/$D$11</f>
        <v>9.1969209132028862</v>
      </c>
    </row>
    <row r="113" spans="2:9" x14ac:dyDescent="0.3">
      <c r="B113" s="30">
        <v>94</v>
      </c>
      <c r="C113" s="30">
        <v>8</v>
      </c>
      <c r="D113" s="31">
        <f t="shared" si="7"/>
        <v>88290.440766747706</v>
      </c>
      <c r="E113" s="31">
        <f t="shared" si="5"/>
        <v>600</v>
      </c>
      <c r="F113" s="40">
        <f t="shared" si="6"/>
        <v>8.9237257287477778E-3</v>
      </c>
      <c r="G113" s="31">
        <f>(Tabela2[[#This Row],[VALOR INICIAL R$]]+Tabela2[[#This Row],[APORTE MENSAL R$]])*(1+$D$13)</f>
        <v>89683.674680057666</v>
      </c>
      <c r="H113" s="31">
        <f>Tabela2[[#This Row],[VALOR FINAL R$]]-Tabela2[[#This Row],[VALOR INICIAL R$]]-Tabela2[[#This Row],[APORTE MENSAL R$]]</f>
        <v>793.23391330995946</v>
      </c>
      <c r="I113" s="39">
        <f>Tabela2[[#This Row],[VALOR FINAL R$]]/$D$11</f>
        <v>9.3420494458393399</v>
      </c>
    </row>
    <row r="114" spans="2:9" x14ac:dyDescent="0.3">
      <c r="B114" s="30">
        <v>95</v>
      </c>
      <c r="C114" s="30">
        <v>8</v>
      </c>
      <c r="D114" s="31">
        <f t="shared" si="7"/>
        <v>89683.674680057666</v>
      </c>
      <c r="E114" s="31">
        <f t="shared" si="5"/>
        <v>600</v>
      </c>
      <c r="F114" s="40">
        <f t="shared" si="6"/>
        <v>8.9237257287477778E-3</v>
      </c>
      <c r="G114" s="31">
        <f>(Tabela2[[#This Row],[VALOR INICIAL R$]]+Tabela2[[#This Row],[APORTE MENSAL R$]])*(1+$D$13)</f>
        <v>91089.341430685992</v>
      </c>
      <c r="H114" s="31">
        <f>Tabela2[[#This Row],[VALOR FINAL R$]]-Tabela2[[#This Row],[VALOR INICIAL R$]]-Tabela2[[#This Row],[APORTE MENSAL R$]]</f>
        <v>805.66675062832655</v>
      </c>
      <c r="I114" s="39">
        <f>Tabela2[[#This Row],[VALOR FINAL R$]]/$D$11</f>
        <v>9.4884730656964571</v>
      </c>
    </row>
    <row r="115" spans="2:9" x14ac:dyDescent="0.3">
      <c r="B115" s="30">
        <v>96</v>
      </c>
      <c r="C115" s="30">
        <v>8</v>
      </c>
      <c r="D115" s="31">
        <f t="shared" si="7"/>
        <v>91089.341430685992</v>
      </c>
      <c r="E115" s="31">
        <f t="shared" si="5"/>
        <v>600</v>
      </c>
      <c r="F115" s="40">
        <f t="shared" si="6"/>
        <v>8.9237257287477778E-3</v>
      </c>
      <c r="G115" s="31">
        <f>(Tabela2[[#This Row],[VALOR INICIAL R$]]+Tabela2[[#This Row],[APORTE MENSAL R$]])*(1+$D$13)</f>
        <v>92507.551965862949</v>
      </c>
      <c r="H115" s="31">
        <f>Tabela2[[#This Row],[VALOR FINAL R$]]-Tabela2[[#This Row],[VALOR INICIAL R$]]-Tabela2[[#This Row],[APORTE MENSAL R$]]</f>
        <v>818.21053517695691</v>
      </c>
      <c r="I115" s="39">
        <f>Tabela2[[#This Row],[VALOR FINAL R$]]/$D$11</f>
        <v>9.6362033297773912</v>
      </c>
    </row>
    <row r="116" spans="2:9" x14ac:dyDescent="0.3">
      <c r="B116" s="30">
        <v>97</v>
      </c>
      <c r="C116" s="30">
        <v>9</v>
      </c>
      <c r="D116" s="31">
        <f t="shared" si="7"/>
        <v>92507.551965862949</v>
      </c>
      <c r="E116" s="31">
        <f t="shared" ref="E116:E147" si="8">$D$7</f>
        <v>600</v>
      </c>
      <c r="F116" s="40">
        <f t="shared" ref="F116:F147" si="9">$D$13</f>
        <v>8.9237257287477778E-3</v>
      </c>
      <c r="G116" s="31">
        <f>(Tabela2[[#This Row],[VALOR INICIAL R$]]+Tabela2[[#This Row],[APORTE MENSAL R$]])*(1+$D$13)</f>
        <v>93938.418222881446</v>
      </c>
      <c r="H116" s="31">
        <f>Tabela2[[#This Row],[VALOR FINAL R$]]-Tabela2[[#This Row],[VALOR INICIAL R$]]-Tabela2[[#This Row],[APORTE MENSAL R$]]</f>
        <v>830.86625701849698</v>
      </c>
      <c r="I116" s="39">
        <f>Tabela2[[#This Row],[VALOR FINAL R$]]/$D$11</f>
        <v>9.7852518982168171</v>
      </c>
    </row>
    <row r="117" spans="2:9" x14ac:dyDescent="0.3">
      <c r="B117" s="30">
        <v>98</v>
      </c>
      <c r="C117" s="30">
        <v>9</v>
      </c>
      <c r="D117" s="31">
        <f t="shared" si="7"/>
        <v>93938.418222881446</v>
      </c>
      <c r="E117" s="31">
        <f t="shared" si="8"/>
        <v>600</v>
      </c>
      <c r="F117" s="40">
        <f t="shared" si="9"/>
        <v>8.9237257287477778E-3</v>
      </c>
      <c r="G117" s="31">
        <f>(Tabela2[[#This Row],[VALOR INICIAL R$]]+Tabela2[[#This Row],[APORTE MENSAL R$]])*(1+$D$13)</f>
        <v>95382.053137932089</v>
      </c>
      <c r="H117" s="31">
        <f>Tabela2[[#This Row],[VALOR FINAL R$]]-Tabela2[[#This Row],[VALOR INICIAL R$]]-Tabela2[[#This Row],[APORTE MENSAL R$]]</f>
        <v>843.63491505064303</v>
      </c>
      <c r="I117" s="39">
        <f>Tabela2[[#This Row],[VALOR FINAL R$]]/$D$11</f>
        <v>9.9356305352012591</v>
      </c>
    </row>
    <row r="118" spans="2:9" x14ac:dyDescent="0.3">
      <c r="B118" s="30">
        <v>99</v>
      </c>
      <c r="C118" s="30">
        <v>9</v>
      </c>
      <c r="D118" s="31">
        <f t="shared" si="7"/>
        <v>95382.053137932089</v>
      </c>
      <c r="E118" s="31">
        <f t="shared" si="8"/>
        <v>600</v>
      </c>
      <c r="F118" s="40">
        <f t="shared" si="9"/>
        <v>8.9237257287477778E-3</v>
      </c>
      <c r="G118" s="31">
        <f>(Tabela2[[#This Row],[VALOR INICIAL R$]]+Tabela2[[#This Row],[APORTE MENSAL R$]])*(1+$D$13)</f>
        <v>96838.570655017087</v>
      </c>
      <c r="H118" s="31">
        <f>Tabela2[[#This Row],[VALOR FINAL R$]]-Tabela2[[#This Row],[VALOR INICIAL R$]]-Tabela2[[#This Row],[APORTE MENSAL R$]]</f>
        <v>856.51751708499796</v>
      </c>
      <c r="I118" s="39">
        <f>Tabela2[[#This Row],[VALOR FINAL R$]]/$D$11</f>
        <v>10.087351109897613</v>
      </c>
    </row>
    <row r="119" spans="2:9" x14ac:dyDescent="0.3">
      <c r="B119" s="30">
        <v>100</v>
      </c>
      <c r="C119" s="30">
        <v>9</v>
      </c>
      <c r="D119" s="31">
        <f t="shared" si="7"/>
        <v>96838.570655017087</v>
      </c>
      <c r="E119" s="31">
        <f t="shared" si="8"/>
        <v>600</v>
      </c>
      <c r="F119" s="40">
        <f t="shared" si="9"/>
        <v>8.9237257287477778E-3</v>
      </c>
      <c r="G119" s="31">
        <f>(Tabela2[[#This Row],[VALOR INICIAL R$]]+Tabela2[[#This Row],[APORTE MENSAL R$]])*(1+$D$13)</f>
        <v>98308.08573494367</v>
      </c>
      <c r="H119" s="31">
        <f>Tabela2[[#This Row],[VALOR FINAL R$]]-Tabela2[[#This Row],[VALOR INICIAL R$]]-Tabela2[[#This Row],[APORTE MENSAL R$]]</f>
        <v>869.51507992658298</v>
      </c>
      <c r="I119" s="39">
        <f>Tabela2[[#This Row],[VALOR FINAL R$]]/$D$11</f>
        <v>10.240425597389965</v>
      </c>
    </row>
    <row r="120" spans="2:9" x14ac:dyDescent="0.3">
      <c r="B120" s="30">
        <f>B119+1</f>
        <v>101</v>
      </c>
      <c r="C120" s="30">
        <v>9</v>
      </c>
      <c r="D120" s="31">
        <f t="shared" si="7"/>
        <v>98308.08573494367</v>
      </c>
      <c r="E120" s="31">
        <f t="shared" si="8"/>
        <v>600</v>
      </c>
      <c r="F120" s="40">
        <f t="shared" si="9"/>
        <v>8.9237257287477778E-3</v>
      </c>
      <c r="G120" s="31">
        <f>(Tabela2[[#This Row],[VALOR INICIAL R$]]+Tabela2[[#This Row],[APORTE MENSAL R$]])*(1+$D$13)</f>
        <v>99790.714364397776</v>
      </c>
      <c r="H120" s="31">
        <f>Tabela2[[#This Row],[VALOR FINAL R$]]-Tabela2[[#This Row],[VALOR INICIAL R$]]-Tabela2[[#This Row],[APORTE MENSAL R$]]</f>
        <v>882.62862945410598</v>
      </c>
      <c r="I120" s="39">
        <f>Tabela2[[#This Row],[VALOR FINAL R$]]/$D$11</f>
        <v>10.394866079624768</v>
      </c>
    </row>
    <row r="121" spans="2:9" x14ac:dyDescent="0.3">
      <c r="B121" s="30">
        <f t="shared" ref="B121:B138" si="10">B120+1</f>
        <v>102</v>
      </c>
      <c r="C121" s="30">
        <v>9</v>
      </c>
      <c r="D121" s="31">
        <f t="shared" si="7"/>
        <v>99790.714364397776</v>
      </c>
      <c r="E121" s="31">
        <f t="shared" si="8"/>
        <v>600</v>
      </c>
      <c r="F121" s="40">
        <f t="shared" si="9"/>
        <v>8.9237257287477778E-3</v>
      </c>
      <c r="G121" s="31">
        <f>(Tabela2[[#This Row],[VALOR INICIAL R$]]+Tabela2[[#This Row],[APORTE MENSAL R$]])*(1+$D$13)</f>
        <v>101286.57356509872</v>
      </c>
      <c r="H121" s="31">
        <f>Tabela2[[#This Row],[VALOR FINAL R$]]-Tabela2[[#This Row],[VALOR INICIAL R$]]-Tabela2[[#This Row],[APORTE MENSAL R$]]</f>
        <v>895.85920070094289</v>
      </c>
      <c r="I121" s="39">
        <f>Tabela2[[#This Row],[VALOR FINAL R$]]/$D$11</f>
        <v>10.55068474636445</v>
      </c>
    </row>
    <row r="122" spans="2:9" x14ac:dyDescent="0.3">
      <c r="B122" s="30">
        <f t="shared" si="10"/>
        <v>103</v>
      </c>
      <c r="C122" s="30">
        <v>9</v>
      </c>
      <c r="D122" s="31">
        <f t="shared" si="7"/>
        <v>101286.57356509872</v>
      </c>
      <c r="E122" s="31">
        <f t="shared" si="8"/>
        <v>600</v>
      </c>
      <c r="F122" s="40">
        <f t="shared" si="9"/>
        <v>8.9237257287477778E-3</v>
      </c>
      <c r="G122" s="31">
        <f>(Tabela2[[#This Row],[VALOR INICIAL R$]]+Tabela2[[#This Row],[APORTE MENSAL R$]])*(1+$D$13)</f>
        <v>102795.78140303554</v>
      </c>
      <c r="H122" s="31">
        <f>Tabela2[[#This Row],[VALOR FINAL R$]]-Tabela2[[#This Row],[VALOR INICIAL R$]]-Tabela2[[#This Row],[APORTE MENSAL R$]]</f>
        <v>909.20783793681767</v>
      </c>
      <c r="I122" s="39">
        <f>Tabela2[[#This Row],[VALOR FINAL R$]]/$D$11</f>
        <v>10.707893896149535</v>
      </c>
    </row>
    <row r="123" spans="2:9" x14ac:dyDescent="0.3">
      <c r="B123" s="30">
        <f t="shared" si="10"/>
        <v>104</v>
      </c>
      <c r="C123" s="30">
        <v>9</v>
      </c>
      <c r="D123" s="31">
        <f t="shared" si="7"/>
        <v>102795.78140303554</v>
      </c>
      <c r="E123" s="31">
        <f t="shared" si="8"/>
        <v>600</v>
      </c>
      <c r="F123" s="40">
        <f t="shared" si="9"/>
        <v>8.9237257287477778E-3</v>
      </c>
      <c r="G123" s="31">
        <f>(Tabela2[[#This Row],[VALOR INICIAL R$]]+Tabela2[[#This Row],[APORTE MENSAL R$]])*(1+$D$13)</f>
        <v>104318.45699778579</v>
      </c>
      <c r="H123" s="31">
        <f>Tabela2[[#This Row],[VALOR FINAL R$]]-Tabela2[[#This Row],[VALOR INICIAL R$]]-Tabela2[[#This Row],[APORTE MENSAL R$]]</f>
        <v>922.67559475025337</v>
      </c>
      <c r="I123" s="39">
        <f>Tabela2[[#This Row],[VALOR FINAL R$]]/$D$11</f>
        <v>10.866505937269354</v>
      </c>
    </row>
    <row r="124" spans="2:9" x14ac:dyDescent="0.3">
      <c r="B124" s="30">
        <f t="shared" si="10"/>
        <v>105</v>
      </c>
      <c r="C124" s="30">
        <v>9</v>
      </c>
      <c r="D124" s="31">
        <f t="shared" si="7"/>
        <v>104318.45699778579</v>
      </c>
      <c r="E124" s="31">
        <f t="shared" si="8"/>
        <v>600</v>
      </c>
      <c r="F124" s="40">
        <f t="shared" si="9"/>
        <v>8.9237257287477778E-3</v>
      </c>
      <c r="G124" s="31">
        <f>(Tabela2[[#This Row],[VALOR INICIAL R$]]+Tabela2[[#This Row],[APORTE MENSAL R$]])*(1+$D$13)</f>
        <v>105854.72053191745</v>
      </c>
      <c r="H124" s="31">
        <f>Tabela2[[#This Row],[VALOR FINAL R$]]-Tabela2[[#This Row],[VALOR INICIAL R$]]-Tabela2[[#This Row],[APORTE MENSAL R$]]</f>
        <v>936.26353413166362</v>
      </c>
      <c r="I124" s="39">
        <f>Tabela2[[#This Row],[VALOR FINAL R$]]/$D$11</f>
        <v>11.026533388741401</v>
      </c>
    </row>
    <row r="125" spans="2:9" x14ac:dyDescent="0.3">
      <c r="B125" s="30">
        <f t="shared" si="10"/>
        <v>106</v>
      </c>
      <c r="C125" s="30">
        <v>9</v>
      </c>
      <c r="D125" s="31">
        <f t="shared" si="7"/>
        <v>105854.72053191745</v>
      </c>
      <c r="E125" s="31">
        <f t="shared" si="8"/>
        <v>600</v>
      </c>
      <c r="F125" s="40">
        <f t="shared" si="9"/>
        <v>8.9237257287477778E-3</v>
      </c>
      <c r="G125" s="31">
        <f>(Tabela2[[#This Row],[VALOR INICIAL R$]]+Tabela2[[#This Row],[APORTE MENSAL R$]])*(1+$D$13)</f>
        <v>107404.69326047479</v>
      </c>
      <c r="H125" s="31">
        <f>Tabela2[[#This Row],[VALOR FINAL R$]]-Tabela2[[#This Row],[VALOR INICIAL R$]]-Tabela2[[#This Row],[APORTE MENSAL R$]]</f>
        <v>949.97272855733172</v>
      </c>
      <c r="I125" s="39">
        <f>Tabela2[[#This Row],[VALOR FINAL R$]]/$D$11</f>
        <v>11.187988881299457</v>
      </c>
    </row>
    <row r="126" spans="2:9" x14ac:dyDescent="0.3">
      <c r="B126" s="30">
        <f t="shared" si="10"/>
        <v>107</v>
      </c>
      <c r="C126" s="30">
        <v>9</v>
      </c>
      <c r="D126" s="31">
        <f t="shared" si="7"/>
        <v>107404.69326047479</v>
      </c>
      <c r="E126" s="31">
        <f t="shared" si="8"/>
        <v>600</v>
      </c>
      <c r="F126" s="40">
        <f t="shared" si="9"/>
        <v>8.9237257287477778E-3</v>
      </c>
      <c r="G126" s="31">
        <f>(Tabela2[[#This Row],[VALOR INICIAL R$]]+Tabela2[[#This Row],[APORTE MENSAL R$]])*(1+$D$13)</f>
        <v>108968.4975205488</v>
      </c>
      <c r="H126" s="31">
        <f>Tabela2[[#This Row],[VALOR FINAL R$]]-Tabela2[[#This Row],[VALOR INICIAL R$]]-Tabela2[[#This Row],[APORTE MENSAL R$]]</f>
        <v>963.80426007401547</v>
      </c>
      <c r="I126" s="39">
        <f>Tabela2[[#This Row],[VALOR FINAL R$]]/$D$11</f>
        <v>11.350885158390501</v>
      </c>
    </row>
    <row r="127" spans="2:9" x14ac:dyDescent="0.3">
      <c r="B127" s="30">
        <f t="shared" si="10"/>
        <v>108</v>
      </c>
      <c r="C127" s="30">
        <v>9</v>
      </c>
      <c r="D127" s="31">
        <f t="shared" si="7"/>
        <v>108968.4975205488</v>
      </c>
      <c r="E127" s="31">
        <f t="shared" si="8"/>
        <v>600</v>
      </c>
      <c r="F127" s="40">
        <f t="shared" si="9"/>
        <v>8.9237257287477778E-3</v>
      </c>
      <c r="G127" s="31">
        <f>(Tabela2[[#This Row],[VALOR INICIAL R$]]+Tabela2[[#This Row],[APORTE MENSAL R$]])*(1+$D$13)</f>
        <v>110546.25674093315</v>
      </c>
      <c r="H127" s="31">
        <f>Tabela2[[#This Row],[VALOR FINAL R$]]-Tabela2[[#This Row],[VALOR INICIAL R$]]-Tabela2[[#This Row],[APORTE MENSAL R$]]</f>
        <v>977.75922038435237</v>
      </c>
      <c r="I127" s="39">
        <f>Tabela2[[#This Row],[VALOR FINAL R$]]/$D$11</f>
        <v>11.515235077180536</v>
      </c>
    </row>
    <row r="128" spans="2:9" x14ac:dyDescent="0.3">
      <c r="B128" s="30">
        <f t="shared" si="10"/>
        <v>109</v>
      </c>
      <c r="C128" s="30">
        <v>10</v>
      </c>
      <c r="D128" s="31">
        <f t="shared" si="7"/>
        <v>110546.25674093315</v>
      </c>
      <c r="E128" s="31">
        <f t="shared" si="8"/>
        <v>600</v>
      </c>
      <c r="F128" s="40">
        <f t="shared" si="9"/>
        <v>8.9237257287477778E-3</v>
      </c>
      <c r="G128" s="31">
        <f>(Tabela2[[#This Row],[VALOR INICIAL R$]]+Tabela2[[#This Row],[APORTE MENSAL R$]])*(1+$D$13)</f>
        <v>112138.09545186622</v>
      </c>
      <c r="H128" s="31">
        <f>Tabela2[[#This Row],[VALOR FINAL R$]]-Tabela2[[#This Row],[VALOR INICIAL R$]]-Tabela2[[#This Row],[APORTE MENSAL R$]]</f>
        <v>991.83871093306516</v>
      </c>
      <c r="I128" s="39">
        <f>Tabela2[[#This Row],[VALOR FINAL R$]]/$D$11</f>
        <v>11.681051609569398</v>
      </c>
    </row>
    <row r="129" spans="2:9" x14ac:dyDescent="0.3">
      <c r="B129" s="30">
        <f t="shared" si="10"/>
        <v>110</v>
      </c>
      <c r="C129" s="30">
        <v>10</v>
      </c>
      <c r="D129" s="31">
        <f t="shared" si="7"/>
        <v>112138.09545186622</v>
      </c>
      <c r="E129" s="31">
        <f t="shared" si="8"/>
        <v>600</v>
      </c>
      <c r="F129" s="40">
        <f t="shared" si="9"/>
        <v>8.9237257287477778E-3</v>
      </c>
      <c r="G129" s="31">
        <f>(Tabela2[[#This Row],[VALOR INICIAL R$]]+Tabela2[[#This Row],[APORTE MENSAL R$]])*(1+$D$13)</f>
        <v>113744.13929486006</v>
      </c>
      <c r="H129" s="31">
        <f>Tabela2[[#This Row],[VALOR FINAL R$]]-Tabela2[[#This Row],[VALOR INICIAL R$]]-Tabela2[[#This Row],[APORTE MENSAL R$]]</f>
        <v>1006.0438429938367</v>
      </c>
      <c r="I129" s="39">
        <f>Tabela2[[#This Row],[VALOR FINAL R$]]/$D$11</f>
        <v>11.848347843214588</v>
      </c>
    </row>
    <row r="130" spans="2:9" x14ac:dyDescent="0.3">
      <c r="B130" s="30">
        <f t="shared" si="10"/>
        <v>111</v>
      </c>
      <c r="C130" s="30">
        <v>10</v>
      </c>
      <c r="D130" s="31">
        <f t="shared" si="7"/>
        <v>113744.13929486006</v>
      </c>
      <c r="E130" s="31">
        <f t="shared" si="8"/>
        <v>600</v>
      </c>
      <c r="F130" s="40">
        <f t="shared" si="9"/>
        <v>8.9237257287477778E-3</v>
      </c>
      <c r="G130" s="31">
        <f>(Tabela2[[#This Row],[VALOR INICIAL R$]]+Tabela2[[#This Row],[APORTE MENSAL R$]])*(1+$D$13)</f>
        <v>115364.51503261711</v>
      </c>
      <c r="H130" s="31">
        <f>Tabela2[[#This Row],[VALOR FINAL R$]]-Tabela2[[#This Row],[VALOR INICIAL R$]]-Tabela2[[#This Row],[APORTE MENSAL R$]]</f>
        <v>1020.3757377570582</v>
      </c>
      <c r="I130" s="39">
        <f>Tabela2[[#This Row],[VALOR FINAL R$]]/$D$11</f>
        <v>12.017136982564283</v>
      </c>
    </row>
    <row r="131" spans="2:9" x14ac:dyDescent="0.3">
      <c r="B131" s="30">
        <f t="shared" si="10"/>
        <v>112</v>
      </c>
      <c r="C131" s="30">
        <v>10</v>
      </c>
      <c r="D131" s="31">
        <f t="shared" si="7"/>
        <v>115364.51503261711</v>
      </c>
      <c r="E131" s="31">
        <f t="shared" si="8"/>
        <v>600</v>
      </c>
      <c r="F131" s="40">
        <f t="shared" si="9"/>
        <v>8.9237257287477778E-3</v>
      </c>
      <c r="G131" s="31">
        <f>(Tabela2[[#This Row],[VALOR INICIAL R$]]+Tabela2[[#This Row],[APORTE MENSAL R$]])*(1+$D$13)</f>
        <v>116999.35055903543</v>
      </c>
      <c r="H131" s="31">
        <f>Tabela2[[#This Row],[VALOR FINAL R$]]-Tabela2[[#This Row],[VALOR INICIAL R$]]-Tabela2[[#This Row],[APORTE MENSAL R$]]</f>
        <v>1034.8355264183192</v>
      </c>
      <c r="I131" s="39">
        <f>Tabela2[[#This Row],[VALOR FINAL R$]]/$D$11</f>
        <v>12.187432349899524</v>
      </c>
    </row>
    <row r="132" spans="2:9" x14ac:dyDescent="0.3">
      <c r="B132" s="30">
        <f t="shared" si="10"/>
        <v>113</v>
      </c>
      <c r="C132" s="30">
        <v>10</v>
      </c>
      <c r="D132" s="31">
        <f t="shared" si="7"/>
        <v>116999.35055903543</v>
      </c>
      <c r="E132" s="31">
        <f t="shared" si="8"/>
        <v>600</v>
      </c>
      <c r="F132" s="40">
        <f t="shared" si="9"/>
        <v>8.9237257287477778E-3</v>
      </c>
      <c r="G132" s="31">
        <f>(Tabela2[[#This Row],[VALOR INICIAL R$]]+Tabela2[[#This Row],[APORTE MENSAL R$]])*(1+$D$13)</f>
        <v>118648.77490930313</v>
      </c>
      <c r="H132" s="31">
        <f>Tabela2[[#This Row],[VALOR FINAL R$]]-Tabela2[[#This Row],[VALOR INICIAL R$]]-Tabela2[[#This Row],[APORTE MENSAL R$]]</f>
        <v>1049.4243502676982</v>
      </c>
      <c r="I132" s="39">
        <f>Tabela2[[#This Row],[VALOR FINAL R$]]/$D$11</f>
        <v>12.359247386385743</v>
      </c>
    </row>
    <row r="133" spans="2:9" x14ac:dyDescent="0.3">
      <c r="B133" s="30">
        <f t="shared" si="10"/>
        <v>114</v>
      </c>
      <c r="C133" s="30">
        <v>10</v>
      </c>
      <c r="D133" s="31">
        <f t="shared" si="7"/>
        <v>118648.77490930313</v>
      </c>
      <c r="E133" s="31">
        <f t="shared" si="8"/>
        <v>600</v>
      </c>
      <c r="F133" s="40">
        <f t="shared" si="9"/>
        <v>8.9237257287477778E-3</v>
      </c>
      <c r="G133" s="31">
        <f>(Tabela2[[#This Row],[VALOR INICIAL R$]]+Tabela2[[#This Row],[APORTE MENSAL R$]])*(1+$D$13)</f>
        <v>120312.91827008293</v>
      </c>
      <c r="H133" s="31">
        <f>Tabela2[[#This Row],[VALOR FINAL R$]]-Tabela2[[#This Row],[VALOR INICIAL R$]]-Tabela2[[#This Row],[APORTE MENSAL R$]]</f>
        <v>1064.1433607797953</v>
      </c>
      <c r="I133" s="39">
        <f>Tabela2[[#This Row],[VALOR FINAL R$]]/$D$11</f>
        <v>12.532595653133638</v>
      </c>
    </row>
    <row r="134" spans="2:9" x14ac:dyDescent="0.3">
      <c r="B134" s="30">
        <f t="shared" si="10"/>
        <v>115</v>
      </c>
      <c r="C134" s="30">
        <v>10</v>
      </c>
      <c r="D134" s="31">
        <f t="shared" si="7"/>
        <v>120312.91827008293</v>
      </c>
      <c r="E134" s="31">
        <f t="shared" si="8"/>
        <v>600</v>
      </c>
      <c r="F134" s="40">
        <f t="shared" si="9"/>
        <v>8.9237257287477778E-3</v>
      </c>
      <c r="G134" s="31">
        <f>(Tabela2[[#This Row],[VALOR INICIAL R$]]+Tabela2[[#This Row],[APORTE MENSAL R$]])*(1+$D$13)</f>
        <v>121991.91198978764</v>
      </c>
      <c r="H134" s="31">
        <f>Tabela2[[#This Row],[VALOR FINAL R$]]-Tabela2[[#This Row],[VALOR INICIAL R$]]-Tabela2[[#This Row],[APORTE MENSAL R$]]</f>
        <v>1078.9937197047111</v>
      </c>
      <c r="I134" s="39">
        <f>Tabela2[[#This Row],[VALOR FINAL R$]]/$D$11</f>
        <v>12.707490832269546</v>
      </c>
    </row>
    <row r="135" spans="2:9" x14ac:dyDescent="0.3">
      <c r="B135" s="30">
        <f t="shared" si="10"/>
        <v>116</v>
      </c>
      <c r="C135" s="30">
        <v>10</v>
      </c>
      <c r="D135" s="31">
        <f t="shared" si="7"/>
        <v>121991.91198978764</v>
      </c>
      <c r="E135" s="31">
        <f t="shared" si="8"/>
        <v>600</v>
      </c>
      <c r="F135" s="40">
        <f t="shared" si="9"/>
        <v>8.9237257287477778E-3</v>
      </c>
      <c r="G135" s="31">
        <f>(Tabela2[[#This Row],[VALOR INICIAL R$]]+Tabela2[[#This Row],[APORTE MENSAL R$]])*(1+$D$13)</f>
        <v>123685.88858894729</v>
      </c>
      <c r="H135" s="31">
        <f>Tabela2[[#This Row],[VALOR FINAL R$]]-Tabela2[[#This Row],[VALOR INICIAL R$]]-Tabela2[[#This Row],[APORTE MENSAL R$]]</f>
        <v>1093.9765991596505</v>
      </c>
      <c r="I135" s="39">
        <f>Tabela2[[#This Row],[VALOR FINAL R$]]/$D$11</f>
        <v>12.883946728015342</v>
      </c>
    </row>
    <row r="136" spans="2:9" x14ac:dyDescent="0.3">
      <c r="B136" s="30">
        <f t="shared" si="10"/>
        <v>117</v>
      </c>
      <c r="C136" s="30">
        <v>10</v>
      </c>
      <c r="D136" s="31">
        <f t="shared" si="7"/>
        <v>123685.88858894729</v>
      </c>
      <c r="E136" s="31">
        <f t="shared" si="8"/>
        <v>600</v>
      </c>
      <c r="F136" s="40">
        <f t="shared" si="9"/>
        <v>8.9237257287477778E-3</v>
      </c>
      <c r="G136" s="31">
        <f>(Tabela2[[#This Row],[VALOR INICIAL R$]]+Tabela2[[#This Row],[APORTE MENSAL R$]])*(1+$D$13)</f>
        <v>125394.98177066876</v>
      </c>
      <c r="H136" s="31">
        <f>Tabela2[[#This Row],[VALOR FINAL R$]]-Tabela2[[#This Row],[VALOR INICIAL R$]]-Tabela2[[#This Row],[APORTE MENSAL R$]]</f>
        <v>1109.0931817214732</v>
      </c>
      <c r="I136" s="39">
        <f>Tabela2[[#This Row],[VALOR FINAL R$]]/$D$11</f>
        <v>13.061977267777996</v>
      </c>
    </row>
    <row r="137" spans="2:9" x14ac:dyDescent="0.3">
      <c r="B137" s="30">
        <f t="shared" si="10"/>
        <v>118</v>
      </c>
      <c r="C137" s="30">
        <v>10</v>
      </c>
      <c r="D137" s="31">
        <f t="shared" si="7"/>
        <v>125394.98177066876</v>
      </c>
      <c r="E137" s="31">
        <f t="shared" si="8"/>
        <v>600</v>
      </c>
      <c r="F137" s="40">
        <f t="shared" si="9"/>
        <v>8.9237257287477778E-3</v>
      </c>
      <c r="G137" s="31">
        <f>(Tabela2[[#This Row],[VALOR INICIAL R$]]+Tabela2[[#This Row],[APORTE MENSAL R$]])*(1+$D$13)</f>
        <v>127119.32643118879</v>
      </c>
      <c r="H137" s="31">
        <f>Tabela2[[#This Row],[VALOR FINAL R$]]-Tabela2[[#This Row],[VALOR INICIAL R$]]-Tabela2[[#This Row],[APORTE MENSAL R$]]</f>
        <v>1124.3446605200297</v>
      </c>
      <c r="I137" s="39">
        <f>Tabela2[[#This Row],[VALOR FINAL R$]]/$D$11</f>
        <v>13.241596503248832</v>
      </c>
    </row>
    <row r="138" spans="2:9" x14ac:dyDescent="0.3">
      <c r="B138" s="30">
        <f t="shared" si="10"/>
        <v>119</v>
      </c>
      <c r="C138" s="30">
        <v>10</v>
      </c>
      <c r="D138" s="31">
        <f t="shared" si="7"/>
        <v>127119.32643118879</v>
      </c>
      <c r="E138" s="31">
        <f t="shared" si="8"/>
        <v>600</v>
      </c>
      <c r="F138" s="40">
        <f t="shared" si="9"/>
        <v>8.9237257287477778E-3</v>
      </c>
      <c r="G138" s="31">
        <f>(Tabela2[[#This Row],[VALOR INICIAL R$]]+Tabela2[[#This Row],[APORTE MENSAL R$]])*(1+$D$13)</f>
        <v>128859.05867052113</v>
      </c>
      <c r="H138" s="31">
        <f>Tabela2[[#This Row],[VALOR FINAL R$]]-Tabela2[[#This Row],[VALOR INICIAL R$]]-Tabela2[[#This Row],[APORTE MENSAL R$]]</f>
        <v>1139.7322393323411</v>
      </c>
      <c r="I138" s="39">
        <f>Tabela2[[#This Row],[VALOR FINAL R$]]/$D$11</f>
        <v>13.422818611512618</v>
      </c>
    </row>
    <row r="139" spans="2:9" x14ac:dyDescent="0.3">
      <c r="B139" s="30">
        <f t="shared" ref="B139:B149" si="11">B138+1</f>
        <v>120</v>
      </c>
      <c r="C139" s="30">
        <v>10</v>
      </c>
      <c r="D139" s="31">
        <f t="shared" si="7"/>
        <v>128859.05867052113</v>
      </c>
      <c r="E139" s="31">
        <f t="shared" si="8"/>
        <v>600</v>
      </c>
      <c r="F139" s="40">
        <f t="shared" si="9"/>
        <v>8.9237257287477778E-3</v>
      </c>
      <c r="G139" s="31">
        <f>(Tabela2[[#This Row],[VALOR INICIAL R$]]+Tabela2[[#This Row],[APORTE MENSAL R$]])*(1+$D$13)</f>
        <v>130614.31580319873</v>
      </c>
      <c r="H139" s="31">
        <f>Tabela2[[#This Row],[VALOR FINAL R$]]-Tabela2[[#This Row],[VALOR INICIAL R$]]-Tabela2[[#This Row],[APORTE MENSAL R$]]</f>
        <v>1155.2571326775942</v>
      </c>
      <c r="I139" s="39">
        <f>Tabela2[[#This Row],[VALOR FINAL R$]]/$D$11</f>
        <v>13.605657896166534</v>
      </c>
    </row>
    <row r="140" spans="2:9" x14ac:dyDescent="0.3">
      <c r="B140" s="30">
        <f t="shared" si="11"/>
        <v>121</v>
      </c>
      <c r="C140" s="30">
        <v>11</v>
      </c>
      <c r="D140" s="31">
        <f t="shared" si="7"/>
        <v>130614.31580319873</v>
      </c>
      <c r="E140" s="31">
        <f t="shared" si="8"/>
        <v>600</v>
      </c>
      <c r="F140" s="40">
        <f t="shared" si="9"/>
        <v>8.9237257287477778E-3</v>
      </c>
      <c r="G140" s="31">
        <f>(Tabela2[[#This Row],[VALOR INICIAL R$]]+Tabela2[[#This Row],[APORTE MENSAL R$]])*(1+$D$13)</f>
        <v>132385.23636911178</v>
      </c>
      <c r="H140" s="31">
        <f>Tabela2[[#This Row],[VALOR FINAL R$]]-Tabela2[[#This Row],[VALOR INICIAL R$]]-Tabela2[[#This Row],[APORTE MENSAL R$]]</f>
        <v>1170.920565913053</v>
      </c>
      <c r="I140" s="39">
        <f>Tabela2[[#This Row],[VALOR FINAL R$]]/$D$11</f>
        <v>13.790128788449143</v>
      </c>
    </row>
    <row r="141" spans="2:9" x14ac:dyDescent="0.3">
      <c r="B141" s="30">
        <f t="shared" si="11"/>
        <v>122</v>
      </c>
      <c r="C141" s="30">
        <v>11</v>
      </c>
      <c r="D141" s="31">
        <f t="shared" si="7"/>
        <v>132385.23636911178</v>
      </c>
      <c r="E141" s="31">
        <f t="shared" si="8"/>
        <v>600</v>
      </c>
      <c r="F141" s="40">
        <f t="shared" si="9"/>
        <v>8.9237257287477778E-3</v>
      </c>
      <c r="G141" s="31">
        <f>(Tabela2[[#This Row],[VALOR INICIAL R$]]+Tabela2[[#This Row],[APORTE MENSAL R$]])*(1+$D$13)</f>
        <v>134171.96014444242</v>
      </c>
      <c r="H141" s="31">
        <f>Tabela2[[#This Row],[VALOR FINAL R$]]-Tabela2[[#This Row],[VALOR INICIAL R$]]-Tabela2[[#This Row],[APORTE MENSAL R$]]</f>
        <v>1186.7237753306399</v>
      </c>
      <c r="I141" s="39">
        <f>Tabela2[[#This Row],[VALOR FINAL R$]]/$D$11</f>
        <v>13.976245848379419</v>
      </c>
    </row>
    <row r="142" spans="2:9" x14ac:dyDescent="0.3">
      <c r="B142" s="30">
        <f t="shared" si="11"/>
        <v>123</v>
      </c>
      <c r="C142" s="30">
        <v>11</v>
      </c>
      <c r="D142" s="31">
        <f t="shared" si="7"/>
        <v>134171.96014444242</v>
      </c>
      <c r="E142" s="31">
        <f t="shared" si="8"/>
        <v>600</v>
      </c>
      <c r="F142" s="40">
        <f t="shared" si="9"/>
        <v>8.9237257287477778E-3</v>
      </c>
      <c r="G142" s="31">
        <f>(Tabela2[[#This Row],[VALOR INICIAL R$]]+Tabela2[[#This Row],[APORTE MENSAL R$]])*(1+$D$13)</f>
        <v>135974.62815269714</v>
      </c>
      <c r="H142" s="31">
        <f>Tabela2[[#This Row],[VALOR FINAL R$]]-Tabela2[[#This Row],[VALOR INICIAL R$]]-Tabela2[[#This Row],[APORTE MENSAL R$]]</f>
        <v>1202.6680082547246</v>
      </c>
      <c r="I142" s="39">
        <f>Tabela2[[#This Row],[VALOR FINAL R$]]/$D$11</f>
        <v>14.164023765905952</v>
      </c>
    </row>
    <row r="143" spans="2:9" x14ac:dyDescent="0.3">
      <c r="B143" s="30">
        <f t="shared" si="11"/>
        <v>124</v>
      </c>
      <c r="C143" s="30">
        <v>11</v>
      </c>
      <c r="D143" s="31">
        <f t="shared" si="7"/>
        <v>135974.62815269714</v>
      </c>
      <c r="E143" s="31">
        <f t="shared" si="8"/>
        <v>600</v>
      </c>
      <c r="F143" s="40">
        <f t="shared" si="9"/>
        <v>8.9237257287477778E-3</v>
      </c>
      <c r="G143" s="31">
        <f>(Tabela2[[#This Row],[VALOR INICIAL R$]]+Tabela2[[#This Row],[APORTE MENSAL R$]])*(1+$D$13)</f>
        <v>137793.38267583752</v>
      </c>
      <c r="H143" s="31">
        <f>Tabela2[[#This Row],[VALOR FINAL R$]]-Tabela2[[#This Row],[VALOR INICIAL R$]]-Tabela2[[#This Row],[APORTE MENSAL R$]]</f>
        <v>1218.7545231403783</v>
      </c>
      <c r="I143" s="39">
        <f>Tabela2[[#This Row],[VALOR FINAL R$]]/$D$11</f>
        <v>14.353477362066409</v>
      </c>
    </row>
    <row r="144" spans="2:9" x14ac:dyDescent="0.3">
      <c r="B144" s="30">
        <f t="shared" si="11"/>
        <v>125</v>
      </c>
      <c r="C144" s="30">
        <v>11</v>
      </c>
      <c r="D144" s="31">
        <f t="shared" si="7"/>
        <v>137793.38267583752</v>
      </c>
      <c r="E144" s="31">
        <f t="shared" si="8"/>
        <v>600</v>
      </c>
      <c r="F144" s="40">
        <f t="shared" si="9"/>
        <v>8.9237257287477778E-3</v>
      </c>
      <c r="G144" s="31">
        <f>(Tabela2[[#This Row],[VALOR INICIAL R$]]+Tabela2[[#This Row],[APORTE MENSAL R$]])*(1+$D$13)</f>
        <v>139628.36726551034</v>
      </c>
      <c r="H144" s="31">
        <f>Tabela2[[#This Row],[VALOR FINAL R$]]-Tabela2[[#This Row],[VALOR INICIAL R$]]-Tabela2[[#This Row],[APORTE MENSAL R$]]</f>
        <v>1234.984589672822</v>
      </c>
      <c r="I144" s="39">
        <f>Tabela2[[#This Row],[VALOR FINAL R$]]/$D$11</f>
        <v>14.544621590157327</v>
      </c>
    </row>
    <row r="145" spans="2:9" x14ac:dyDescent="0.3">
      <c r="B145" s="30">
        <f t="shared" si="11"/>
        <v>126</v>
      </c>
      <c r="C145" s="30">
        <v>11</v>
      </c>
      <c r="D145" s="31">
        <f t="shared" si="7"/>
        <v>139628.36726551034</v>
      </c>
      <c r="E145" s="31">
        <f t="shared" si="8"/>
        <v>600</v>
      </c>
      <c r="F145" s="40">
        <f t="shared" si="9"/>
        <v>8.9237257287477778E-3</v>
      </c>
      <c r="G145" s="31">
        <f>(Tabela2[[#This Row],[VALOR INICIAL R$]]+Tabela2[[#This Row],[APORTE MENSAL R$]])*(1+$D$13)</f>
        <v>141479.72675437786</v>
      </c>
      <c r="H145" s="31">
        <f>Tabela2[[#This Row],[VALOR FINAL R$]]-Tabela2[[#This Row],[VALOR INICIAL R$]]-Tabela2[[#This Row],[APORTE MENSAL R$]]</f>
        <v>1251.3594888675143</v>
      </c>
      <c r="I145" s="39">
        <f>Tabela2[[#This Row],[VALOR FINAL R$]]/$D$11</f>
        <v>14.737471536914359</v>
      </c>
    </row>
    <row r="146" spans="2:9" x14ac:dyDescent="0.3">
      <c r="B146" s="30">
        <f t="shared" si="11"/>
        <v>127</v>
      </c>
      <c r="C146" s="30">
        <v>11</v>
      </c>
      <c r="D146" s="31">
        <f t="shared" si="7"/>
        <v>141479.72675437786</v>
      </c>
      <c r="E146" s="31">
        <f t="shared" si="8"/>
        <v>600</v>
      </c>
      <c r="F146" s="40">
        <f t="shared" si="9"/>
        <v>8.9237257287477778E-3</v>
      </c>
      <c r="G146" s="31">
        <f>(Tabela2[[#This Row],[VALOR INICIAL R$]]+Tabela2[[#This Row],[APORTE MENSAL R$]])*(1+$D$13)</f>
        <v>143347.60726754935</v>
      </c>
      <c r="H146" s="31">
        <f>Tabela2[[#This Row],[VALOR FINAL R$]]-Tabela2[[#This Row],[VALOR INICIAL R$]]-Tabela2[[#This Row],[APORTE MENSAL R$]]</f>
        <v>1267.8805131714907</v>
      </c>
      <c r="I146" s="39">
        <f>Tabela2[[#This Row],[VALOR FINAL R$]]/$D$11</f>
        <v>14.932042423703058</v>
      </c>
    </row>
    <row r="147" spans="2:9" x14ac:dyDescent="0.3">
      <c r="B147" s="30">
        <f t="shared" si="11"/>
        <v>128</v>
      </c>
      <c r="C147" s="30">
        <v>11</v>
      </c>
      <c r="D147" s="31">
        <f t="shared" si="7"/>
        <v>143347.60726754935</v>
      </c>
      <c r="E147" s="31">
        <f t="shared" si="8"/>
        <v>600</v>
      </c>
      <c r="F147" s="40">
        <f t="shared" si="9"/>
        <v>8.9237257287477778E-3</v>
      </c>
      <c r="G147" s="31">
        <f>(Tabela2[[#This Row],[VALOR INICIAL R$]]+Tabela2[[#This Row],[APORTE MENSAL R$]])*(1+$D$13)</f>
        <v>145232.15623411446</v>
      </c>
      <c r="H147" s="31">
        <f>Tabela2[[#This Row],[VALOR FINAL R$]]-Tabela2[[#This Row],[VALOR INICIAL R$]]-Tabela2[[#This Row],[APORTE MENSAL R$]]</f>
        <v>1284.5489665651112</v>
      </c>
      <c r="I147" s="39">
        <f>Tabela2[[#This Row],[VALOR FINAL R$]]/$D$11</f>
        <v>15.128349607720256</v>
      </c>
    </row>
    <row r="148" spans="2:9" x14ac:dyDescent="0.3">
      <c r="B148" s="30">
        <f t="shared" si="11"/>
        <v>129</v>
      </c>
      <c r="C148" s="30">
        <v>11</v>
      </c>
      <c r="D148" s="31">
        <f t="shared" si="7"/>
        <v>145232.15623411446</v>
      </c>
      <c r="E148" s="31">
        <f t="shared" ref="E148:E179" si="12">$D$7</f>
        <v>600</v>
      </c>
      <c r="F148" s="40">
        <f t="shared" ref="F148:F179" si="13">$D$13</f>
        <v>8.9237257287477778E-3</v>
      </c>
      <c r="G148" s="31">
        <f>(Tabela2[[#This Row],[VALOR INICIAL R$]]+Tabela2[[#This Row],[APORTE MENSAL R$]])*(1+$D$13)</f>
        <v>147133.52239877961</v>
      </c>
      <c r="H148" s="31">
        <f>Tabela2[[#This Row],[VALOR FINAL R$]]-Tabela2[[#This Row],[VALOR INICIAL R$]]-Tabela2[[#This Row],[APORTE MENSAL R$]]</f>
        <v>1301.3661646651453</v>
      </c>
      <c r="I148" s="39">
        <f>Tabela2[[#This Row],[VALOR FINAL R$]]/$D$11</f>
        <v>15.326408583206209</v>
      </c>
    </row>
    <row r="149" spans="2:9" x14ac:dyDescent="0.3">
      <c r="B149" s="30">
        <f t="shared" si="11"/>
        <v>130</v>
      </c>
      <c r="C149" s="30">
        <v>11</v>
      </c>
      <c r="D149" s="31">
        <f t="shared" si="7"/>
        <v>147133.52239877961</v>
      </c>
      <c r="E149" s="31">
        <f t="shared" si="12"/>
        <v>600</v>
      </c>
      <c r="F149" s="40">
        <f t="shared" si="13"/>
        <v>8.9237257287477778E-3</v>
      </c>
      <c r="G149" s="31">
        <f>(Tabela2[[#This Row],[VALOR INICIAL R$]]+Tabela2[[#This Row],[APORTE MENSAL R$]])*(1+$D$13)</f>
        <v>149051.85583360813</v>
      </c>
      <c r="H149" s="31">
        <f>Tabela2[[#This Row],[VALOR FINAL R$]]-Tabela2[[#This Row],[VALOR INICIAL R$]]-Tabela2[[#This Row],[APORTE MENSAL R$]]</f>
        <v>1318.333434828528</v>
      </c>
      <c r="I149" s="39">
        <f>Tabela2[[#This Row],[VALOR FINAL R$]]/$D$11</f>
        <v>15.526234982667514</v>
      </c>
    </row>
    <row r="150" spans="2:9" x14ac:dyDescent="0.3">
      <c r="B150" s="30">
        <f t="shared" ref="B150:B193" si="14">B149+1</f>
        <v>131</v>
      </c>
      <c r="C150" s="30">
        <v>11</v>
      </c>
      <c r="D150" s="31">
        <f t="shared" ref="D150:D199" si="15">G149</f>
        <v>149051.85583360813</v>
      </c>
      <c r="E150" s="31">
        <f t="shared" si="12"/>
        <v>600</v>
      </c>
      <c r="F150" s="40">
        <f t="shared" si="13"/>
        <v>8.9237257287477778E-3</v>
      </c>
      <c r="G150" s="31">
        <f>(Tabela2[[#This Row],[VALOR INICIAL R$]]+Tabela2[[#This Row],[APORTE MENSAL R$]])*(1+$D$13)</f>
        <v>150987.30794986535</v>
      </c>
      <c r="H150" s="31">
        <f>Tabela2[[#This Row],[VALOR FINAL R$]]-Tabela2[[#This Row],[VALOR INICIAL R$]]-Tabela2[[#This Row],[APORTE MENSAL R$]]</f>
        <v>1335.45211625722</v>
      </c>
      <c r="I150" s="39">
        <f>Tabela2[[#This Row],[VALOR FINAL R$]]/$D$11</f>
        <v>15.727844578110973</v>
      </c>
    </row>
    <row r="151" spans="2:9" x14ac:dyDescent="0.3">
      <c r="B151" s="30">
        <f t="shared" si="14"/>
        <v>132</v>
      </c>
      <c r="C151" s="30">
        <v>11</v>
      </c>
      <c r="D151" s="31">
        <f t="shared" si="15"/>
        <v>150987.30794986535</v>
      </c>
      <c r="E151" s="31">
        <f t="shared" si="12"/>
        <v>600</v>
      </c>
      <c r="F151" s="40">
        <f t="shared" si="13"/>
        <v>8.9237257287477778E-3</v>
      </c>
      <c r="G151" s="31">
        <f>(Tabela2[[#This Row],[VALOR INICIAL R$]]+Tabela2[[#This Row],[APORTE MENSAL R$]])*(1+$D$13)</f>
        <v>152940.03150996918</v>
      </c>
      <c r="H151" s="31">
        <f>Tabela2[[#This Row],[VALOR FINAL R$]]-Tabela2[[#This Row],[VALOR INICIAL R$]]-Tabela2[[#This Row],[APORTE MENSAL R$]]</f>
        <v>1352.7235601038265</v>
      </c>
      <c r="I151" s="39">
        <f>Tabela2[[#This Row],[VALOR FINAL R$]]/$D$11</f>
        <v>15.931253282288456</v>
      </c>
    </row>
    <row r="152" spans="2:9" x14ac:dyDescent="0.3">
      <c r="B152" s="30">
        <f t="shared" si="14"/>
        <v>133</v>
      </c>
      <c r="C152" s="30">
        <v>12</v>
      </c>
      <c r="D152" s="31">
        <f t="shared" si="15"/>
        <v>152940.03150996918</v>
      </c>
      <c r="E152" s="31">
        <f t="shared" si="12"/>
        <v>600</v>
      </c>
      <c r="F152" s="40">
        <f t="shared" si="13"/>
        <v>8.9237257287477778E-3</v>
      </c>
      <c r="G152" s="31">
        <f>(Tabela2[[#This Row],[VALOR INICIAL R$]]+Tabela2[[#This Row],[APORTE MENSAL R$]])*(1+$D$13)</f>
        <v>154910.18063954744</v>
      </c>
      <c r="H152" s="31">
        <f>Tabela2[[#This Row],[VALOR FINAL R$]]-Tabela2[[#This Row],[VALOR INICIAL R$]]-Tabela2[[#This Row],[APORTE MENSAL R$]]</f>
        <v>1370.1491295782616</v>
      </c>
      <c r="I152" s="39">
        <f>Tabela2[[#This Row],[VALOR FINAL R$]]/$D$11</f>
        <v>16.13647714995286</v>
      </c>
    </row>
    <row r="153" spans="2:9" x14ac:dyDescent="0.3">
      <c r="B153" s="30">
        <f t="shared" si="14"/>
        <v>134</v>
      </c>
      <c r="C153" s="30">
        <v>12</v>
      </c>
      <c r="D153" s="31">
        <f t="shared" si="15"/>
        <v>154910.18063954744</v>
      </c>
      <c r="E153" s="31">
        <f t="shared" si="12"/>
        <v>600</v>
      </c>
      <c r="F153" s="40">
        <f t="shared" si="13"/>
        <v>8.9237257287477778E-3</v>
      </c>
      <c r="G153" s="31">
        <f>(Tabela2[[#This Row],[VALOR INICIAL R$]]+Tabela2[[#This Row],[APORTE MENSAL R$]])*(1+$D$13)</f>
        <v>156897.91083960279</v>
      </c>
      <c r="H153" s="31">
        <f>Tabela2[[#This Row],[VALOR FINAL R$]]-Tabela2[[#This Row],[VALOR INICIAL R$]]-Tabela2[[#This Row],[APORTE MENSAL R$]]</f>
        <v>1387.7302000553464</v>
      </c>
      <c r="I153" s="39">
        <f>Tabela2[[#This Row],[VALOR FINAL R$]]/$D$11</f>
        <v>16.343532379125289</v>
      </c>
    </row>
    <row r="154" spans="2:9" x14ac:dyDescent="0.3">
      <c r="B154" s="30">
        <f t="shared" si="14"/>
        <v>135</v>
      </c>
      <c r="C154" s="30">
        <v>12</v>
      </c>
      <c r="D154" s="31">
        <f t="shared" si="15"/>
        <v>156897.91083960279</v>
      </c>
      <c r="E154" s="31">
        <f t="shared" si="12"/>
        <v>600</v>
      </c>
      <c r="F154" s="40">
        <f t="shared" si="13"/>
        <v>8.9237257287477778E-3</v>
      </c>
      <c r="G154" s="31">
        <f>(Tabela2[[#This Row],[VALOR INICIAL R$]]+Tabela2[[#This Row],[APORTE MENSAL R$]])*(1+$D$13)</f>
        <v>158903.37899878618</v>
      </c>
      <c r="H154" s="31">
        <f>Tabela2[[#This Row],[VALOR FINAL R$]]-Tabela2[[#This Row],[VALOR INICIAL R$]]-Tabela2[[#This Row],[APORTE MENSAL R$]]</f>
        <v>1405.4681591833942</v>
      </c>
      <c r="I154" s="39">
        <f>Tabela2[[#This Row],[VALOR FINAL R$]]/$D$11</f>
        <v>16.552435312373561</v>
      </c>
    </row>
    <row r="155" spans="2:9" x14ac:dyDescent="0.3">
      <c r="B155" s="30">
        <f t="shared" si="14"/>
        <v>136</v>
      </c>
      <c r="C155" s="30">
        <v>12</v>
      </c>
      <c r="D155" s="31">
        <f t="shared" si="15"/>
        <v>158903.37899878618</v>
      </c>
      <c r="E155" s="31">
        <f t="shared" si="12"/>
        <v>600</v>
      </c>
      <c r="F155" s="40">
        <f t="shared" si="13"/>
        <v>8.9237257287477778E-3</v>
      </c>
      <c r="G155" s="31">
        <f>(Tabela2[[#This Row],[VALOR INICIAL R$]]+Tabela2[[#This Row],[APORTE MENSAL R$]])*(1+$D$13)</f>
        <v>160926.74340577985</v>
      </c>
      <c r="H155" s="31">
        <f>Tabela2[[#This Row],[VALOR FINAL R$]]-Tabela2[[#This Row],[VALOR INICIAL R$]]-Tabela2[[#This Row],[APORTE MENSAL R$]]</f>
        <v>1423.3644069936709</v>
      </c>
      <c r="I155" s="39">
        <f>Tabela2[[#This Row],[VALOR FINAL R$]]/$D$11</f>
        <v>16.763202438102066</v>
      </c>
    </row>
    <row r="156" spans="2:9" x14ac:dyDescent="0.3">
      <c r="B156" s="30">
        <f t="shared" si="14"/>
        <v>137</v>
      </c>
      <c r="C156" s="30">
        <v>12</v>
      </c>
      <c r="D156" s="31">
        <f t="shared" si="15"/>
        <v>160926.74340577985</v>
      </c>
      <c r="E156" s="31">
        <f t="shared" si="12"/>
        <v>600</v>
      </c>
      <c r="F156" s="40">
        <f t="shared" si="13"/>
        <v>8.9237257287477778E-3</v>
      </c>
      <c r="G156" s="31">
        <f>(Tabela2[[#This Row],[VALOR INICIAL R$]]+Tabela2[[#This Row],[APORTE MENSAL R$]])*(1+$D$13)</f>
        <v>162968.16376179084</v>
      </c>
      <c r="H156" s="31">
        <f>Tabela2[[#This Row],[VALOR FINAL R$]]-Tabela2[[#This Row],[VALOR INICIAL R$]]-Tabela2[[#This Row],[APORTE MENSAL R$]]</f>
        <v>1441.4203560109891</v>
      </c>
      <c r="I156" s="39">
        <f>Tabela2[[#This Row],[VALOR FINAL R$]]/$D$11</f>
        <v>16.975850391853214</v>
      </c>
    </row>
    <row r="157" spans="2:9" x14ac:dyDescent="0.3">
      <c r="B157" s="30">
        <f t="shared" si="14"/>
        <v>138</v>
      </c>
      <c r="C157" s="30">
        <v>12</v>
      </c>
      <c r="D157" s="31">
        <f t="shared" si="15"/>
        <v>162968.16376179084</v>
      </c>
      <c r="E157" s="31">
        <f t="shared" si="12"/>
        <v>600</v>
      </c>
      <c r="F157" s="40">
        <f t="shared" si="13"/>
        <v>8.9237257287477778E-3</v>
      </c>
      <c r="G157" s="31">
        <f>(Tabela2[[#This Row],[VALOR INICIAL R$]]+Tabela2[[#This Row],[APORTE MENSAL R$]])*(1+$D$13)</f>
        <v>165027.80119315596</v>
      </c>
      <c r="H157" s="31">
        <f>Tabela2[[#This Row],[VALOR FINAL R$]]-Tabela2[[#This Row],[VALOR INICIAL R$]]-Tabela2[[#This Row],[APORTE MENSAL R$]]</f>
        <v>1459.6374313651177</v>
      </c>
      <c r="I157" s="39">
        <f>Tabela2[[#This Row],[VALOR FINAL R$]]/$D$11</f>
        <v>17.190395957620414</v>
      </c>
    </row>
    <row r="158" spans="2:9" x14ac:dyDescent="0.3">
      <c r="B158" s="30">
        <f t="shared" si="14"/>
        <v>139</v>
      </c>
      <c r="C158" s="30">
        <v>12</v>
      </c>
      <c r="D158" s="31">
        <f t="shared" si="15"/>
        <v>165027.80119315596</v>
      </c>
      <c r="E158" s="31">
        <f t="shared" si="12"/>
        <v>600</v>
      </c>
      <c r="F158" s="40">
        <f t="shared" si="13"/>
        <v>8.9237257287477778E-3</v>
      </c>
      <c r="G158" s="31">
        <f>(Tabela2[[#This Row],[VALOR INICIAL R$]]+Tabela2[[#This Row],[APORTE MENSAL R$]])*(1+$D$13)</f>
        <v>167105.81826405926</v>
      </c>
      <c r="H158" s="31">
        <f>Tabela2[[#This Row],[VALOR FINAL R$]]-Tabela2[[#This Row],[VALOR INICIAL R$]]-Tabela2[[#This Row],[APORTE MENSAL R$]]</f>
        <v>1478.0170709032973</v>
      </c>
      <c r="I158" s="39">
        <f>Tabela2[[#This Row],[VALOR FINAL R$]]/$D$11</f>
        <v>17.406856069172839</v>
      </c>
    </row>
    <row r="159" spans="2:9" x14ac:dyDescent="0.3">
      <c r="B159" s="30">
        <f t="shared" si="14"/>
        <v>140</v>
      </c>
      <c r="C159" s="30">
        <v>12</v>
      </c>
      <c r="D159" s="31">
        <f t="shared" si="15"/>
        <v>167105.81826405926</v>
      </c>
      <c r="E159" s="31">
        <f t="shared" si="12"/>
        <v>600</v>
      </c>
      <c r="F159" s="40">
        <f t="shared" si="13"/>
        <v>8.9237257287477778E-3</v>
      </c>
      <c r="G159" s="31">
        <f>(Tabela2[[#This Row],[VALOR INICIAL R$]]+Tabela2[[#This Row],[APORTE MENSAL R$]])*(1+$D$13)</f>
        <v>169202.37898936294</v>
      </c>
      <c r="H159" s="31">
        <f>Tabela2[[#This Row],[VALOR FINAL R$]]-Tabela2[[#This Row],[VALOR INICIAL R$]]-Tabela2[[#This Row],[APORTE MENSAL R$]]</f>
        <v>1496.5607253036869</v>
      </c>
      <c r="I159" s="39">
        <f>Tabela2[[#This Row],[VALOR FINAL R$]]/$D$11</f>
        <v>17.625247811391972</v>
      </c>
    </row>
    <row r="160" spans="2:9" x14ac:dyDescent="0.3">
      <c r="B160" s="30">
        <f t="shared" si="14"/>
        <v>141</v>
      </c>
      <c r="C160" s="30">
        <v>12</v>
      </c>
      <c r="D160" s="31">
        <f t="shared" si="15"/>
        <v>169202.37898936294</v>
      </c>
      <c r="E160" s="31">
        <f t="shared" si="12"/>
        <v>600</v>
      </c>
      <c r="F160" s="40">
        <f t="shared" si="13"/>
        <v>8.9237257287477778E-3</v>
      </c>
      <c r="G160" s="31">
        <f>(Tabela2[[#This Row],[VALOR INICIAL R$]]+Tabela2[[#This Row],[APORTE MENSAL R$]])*(1+$D$13)</f>
        <v>171317.64884755289</v>
      </c>
      <c r="H160" s="31">
        <f>Tabela2[[#This Row],[VALOR FINAL R$]]-Tabela2[[#This Row],[VALOR INICIAL R$]]-Tabela2[[#This Row],[APORTE MENSAL R$]]</f>
        <v>1515.2698581899458</v>
      </c>
      <c r="I160" s="39">
        <f>Tabela2[[#This Row],[VALOR FINAL R$]]/$D$11</f>
        <v>17.845588421620093</v>
      </c>
    </row>
    <row r="161" spans="2:9" x14ac:dyDescent="0.3">
      <c r="B161" s="30">
        <f t="shared" si="14"/>
        <v>142</v>
      </c>
      <c r="C161" s="30">
        <v>12</v>
      </c>
      <c r="D161" s="31">
        <f t="shared" si="15"/>
        <v>171317.64884755289</v>
      </c>
      <c r="E161" s="31">
        <f t="shared" si="12"/>
        <v>600</v>
      </c>
      <c r="F161" s="40">
        <f t="shared" si="13"/>
        <v>8.9237257287477778E-3</v>
      </c>
      <c r="G161" s="31">
        <f>(Tabela2[[#This Row],[VALOR INICIAL R$]]+Tabela2[[#This Row],[APORTE MENSAL R$]])*(1+$D$13)</f>
        <v>173451.79479379964</v>
      </c>
      <c r="H161" s="31">
        <f>Tabela2[[#This Row],[VALOR FINAL R$]]-Tabela2[[#This Row],[VALOR INICIAL R$]]-Tabela2[[#This Row],[APORTE MENSAL R$]]</f>
        <v>1534.1459462467465</v>
      </c>
      <c r="I161" s="39">
        <f>Tabela2[[#This Row],[VALOR FINAL R$]]/$D$11</f>
        <v>18.067895291020797</v>
      </c>
    </row>
    <row r="162" spans="2:9" x14ac:dyDescent="0.3">
      <c r="B162" s="30">
        <f t="shared" si="14"/>
        <v>143</v>
      </c>
      <c r="C162" s="30">
        <v>12</v>
      </c>
      <c r="D162" s="31">
        <f t="shared" si="15"/>
        <v>173451.79479379964</v>
      </c>
      <c r="E162" s="31">
        <f t="shared" si="12"/>
        <v>600</v>
      </c>
      <c r="F162" s="40">
        <f t="shared" si="13"/>
        <v>8.9237257287477778E-3</v>
      </c>
      <c r="G162" s="31">
        <f>(Tabela2[[#This Row],[VALOR INICIAL R$]]+Tabela2[[#This Row],[APORTE MENSAL R$]])*(1+$D$13)</f>
        <v>175604.9852731358</v>
      </c>
      <c r="H162" s="31">
        <f>Tabela2[[#This Row],[VALOR FINAL R$]]-Tabela2[[#This Row],[VALOR INICIAL R$]]-Tabela2[[#This Row],[APORTE MENSAL R$]]</f>
        <v>1553.1904793361609</v>
      </c>
      <c r="I162" s="39">
        <f>Tabela2[[#This Row],[VALOR FINAL R$]]/$D$11</f>
        <v>18.292185965951646</v>
      </c>
    </row>
    <row r="163" spans="2:9" x14ac:dyDescent="0.3">
      <c r="B163" s="30">
        <f t="shared" si="14"/>
        <v>144</v>
      </c>
      <c r="C163" s="30">
        <v>12</v>
      </c>
      <c r="D163" s="31">
        <f t="shared" si="15"/>
        <v>175604.9852731358</v>
      </c>
      <c r="E163" s="31">
        <f t="shared" si="12"/>
        <v>600</v>
      </c>
      <c r="F163" s="40">
        <f t="shared" si="13"/>
        <v>8.9237257287477778E-3</v>
      </c>
      <c r="G163" s="31">
        <f>(Tabela2[[#This Row],[VALOR INICIAL R$]]+Tabela2[[#This Row],[APORTE MENSAL R$]])*(1+$D$13)</f>
        <v>177777.3902337513</v>
      </c>
      <c r="H163" s="31">
        <f>Tabela2[[#This Row],[VALOR FINAL R$]]-Tabela2[[#This Row],[VALOR INICIAL R$]]-Tabela2[[#This Row],[APORTE MENSAL R$]]</f>
        <v>1572.4049606155022</v>
      </c>
      <c r="I163" s="39">
        <f>Tabela2[[#This Row],[VALOR FINAL R$]]/$D$11</f>
        <v>18.518478149349093</v>
      </c>
    </row>
    <row r="164" spans="2:9" x14ac:dyDescent="0.3">
      <c r="B164" s="30">
        <f t="shared" si="14"/>
        <v>145</v>
      </c>
      <c r="C164" s="30">
        <v>13</v>
      </c>
      <c r="D164" s="31">
        <f t="shared" si="15"/>
        <v>177777.3902337513</v>
      </c>
      <c r="E164" s="31">
        <f t="shared" si="12"/>
        <v>600</v>
      </c>
      <c r="F164" s="40">
        <f t="shared" si="13"/>
        <v>8.9237257287477778E-3</v>
      </c>
      <c r="G164" s="31">
        <f>(Tabela2[[#This Row],[VALOR INICIAL R$]]+Tabela2[[#This Row],[APORTE MENSAL R$]])*(1+$D$13)</f>
        <v>179969.1811404071</v>
      </c>
      <c r="H164" s="31">
        <f>Tabela2[[#This Row],[VALOR FINAL R$]]-Tabela2[[#This Row],[VALOR INICIAL R$]]-Tabela2[[#This Row],[APORTE MENSAL R$]]</f>
        <v>1591.7909066558059</v>
      </c>
      <c r="I164" s="39">
        <f>Tabela2[[#This Row],[VALOR FINAL R$]]/$D$11</f>
        <v>18.746789702125739</v>
      </c>
    </row>
    <row r="165" spans="2:9" x14ac:dyDescent="0.3">
      <c r="B165" s="30">
        <f t="shared" si="14"/>
        <v>146</v>
      </c>
      <c r="C165" s="30">
        <v>13</v>
      </c>
      <c r="D165" s="31">
        <f t="shared" si="15"/>
        <v>179969.1811404071</v>
      </c>
      <c r="E165" s="31">
        <f t="shared" si="12"/>
        <v>600</v>
      </c>
      <c r="F165" s="40">
        <f t="shared" si="13"/>
        <v>8.9237257287477778E-3</v>
      </c>
      <c r="G165" s="31">
        <f>(Tabela2[[#This Row],[VALOR INICIAL R$]]+Tabela2[[#This Row],[APORTE MENSAL R$]])*(1+$D$13)</f>
        <v>182180.53098796867</v>
      </c>
      <c r="H165" s="31">
        <f>Tabela2[[#This Row],[VALOR FINAL R$]]-Tabela2[[#This Row],[VALOR INICIAL R$]]-Tabela2[[#This Row],[APORTE MENSAL R$]]</f>
        <v>1611.3498475615634</v>
      </c>
      <c r="I165" s="39">
        <f>Tabela2[[#This Row],[VALOR FINAL R$]]/$D$11</f>
        <v>18.977138644580069</v>
      </c>
    </row>
    <row r="166" spans="2:9" x14ac:dyDescent="0.3">
      <c r="B166" s="30">
        <f t="shared" si="14"/>
        <v>147</v>
      </c>
      <c r="C166" s="30">
        <v>13</v>
      </c>
      <c r="D166" s="31">
        <f t="shared" si="15"/>
        <v>182180.53098796867</v>
      </c>
      <c r="E166" s="31">
        <f t="shared" si="12"/>
        <v>600</v>
      </c>
      <c r="F166" s="40">
        <f t="shared" si="13"/>
        <v>8.9237257287477778E-3</v>
      </c>
      <c r="G166" s="31">
        <f>(Tabela2[[#This Row],[VALOR INICIAL R$]]+Tabela2[[#This Row],[APORTE MENSAL R$]])*(1+$D$13)</f>
        <v>184411.61431506017</v>
      </c>
      <c r="H166" s="31">
        <f>Tabela2[[#This Row],[VALOR FINAL R$]]-Tabela2[[#This Row],[VALOR INICIAL R$]]-Tabela2[[#This Row],[APORTE MENSAL R$]]</f>
        <v>1631.0833270915027</v>
      </c>
      <c r="I166" s="39">
        <f>Tabela2[[#This Row],[VALOR FINAL R$]]/$D$11</f>
        <v>19.209543157818768</v>
      </c>
    </row>
    <row r="167" spans="2:9" x14ac:dyDescent="0.3">
      <c r="B167" s="30">
        <f t="shared" si="14"/>
        <v>148</v>
      </c>
      <c r="C167" s="30">
        <v>13</v>
      </c>
      <c r="D167" s="31">
        <f t="shared" si="15"/>
        <v>184411.61431506017</v>
      </c>
      <c r="E167" s="31">
        <f t="shared" si="12"/>
        <v>600</v>
      </c>
      <c r="F167" s="40">
        <f t="shared" si="13"/>
        <v>8.9237257287477778E-3</v>
      </c>
      <c r="G167" s="31">
        <f>(Tabela2[[#This Row],[VALOR INICIAL R$]]+Tabela2[[#This Row],[APORTE MENSAL R$]])*(1+$D$13)</f>
        <v>186662.60721784065</v>
      </c>
      <c r="H167" s="31">
        <f>Tabela2[[#This Row],[VALOR FINAL R$]]-Tabela2[[#This Row],[VALOR INICIAL R$]]-Tabela2[[#This Row],[APORTE MENSAL R$]]</f>
        <v>1650.9929027804756</v>
      </c>
      <c r="I167" s="39">
        <f>Tabela2[[#This Row],[VALOR FINAL R$]]/$D$11</f>
        <v>19.444021585191734</v>
      </c>
    </row>
    <row r="168" spans="2:9" x14ac:dyDescent="0.3">
      <c r="B168" s="30">
        <f t="shared" si="14"/>
        <v>149</v>
      </c>
      <c r="C168" s="30">
        <v>13</v>
      </c>
      <c r="D168" s="31">
        <f t="shared" si="15"/>
        <v>186662.60721784065</v>
      </c>
      <c r="E168" s="31">
        <f t="shared" si="12"/>
        <v>600</v>
      </c>
      <c r="F168" s="40">
        <f t="shared" si="13"/>
        <v>8.9237257287477778E-3</v>
      </c>
      <c r="G168" s="31">
        <f>(Tabela2[[#This Row],[VALOR INICIAL R$]]+Tabela2[[#This Row],[APORTE MENSAL R$]])*(1+$D$13)</f>
        <v>188933.68736390289</v>
      </c>
      <c r="H168" s="31">
        <f>Tabela2[[#This Row],[VALOR FINAL R$]]-Tabela2[[#This Row],[VALOR INICIAL R$]]-Tabela2[[#This Row],[APORTE MENSAL R$]]</f>
        <v>1671.0801460622461</v>
      </c>
      <c r="I168" s="39">
        <f>Tabela2[[#This Row],[VALOR FINAL R$]]/$D$11</f>
        <v>19.680592433739886</v>
      </c>
    </row>
    <row r="169" spans="2:9" x14ac:dyDescent="0.3">
      <c r="B169" s="30">
        <f t="shared" si="14"/>
        <v>150</v>
      </c>
      <c r="C169" s="30">
        <v>13</v>
      </c>
      <c r="D169" s="31">
        <f t="shared" si="15"/>
        <v>188933.68736390289</v>
      </c>
      <c r="E169" s="31">
        <f t="shared" si="12"/>
        <v>600</v>
      </c>
      <c r="F169" s="40">
        <f t="shared" si="13"/>
        <v>8.9237257287477778E-3</v>
      </c>
      <c r="G169" s="31">
        <f>(Tabela2[[#This Row],[VALOR INICIAL R$]]+Tabela2[[#This Row],[APORTE MENSAL R$]])*(1+$D$13)</f>
        <v>191225.0340062966</v>
      </c>
      <c r="H169" s="31">
        <f>Tabela2[[#This Row],[VALOR FINAL R$]]-Tabela2[[#This Row],[VALOR INICIAL R$]]-Tabela2[[#This Row],[APORTE MENSAL R$]]</f>
        <v>1691.3466423937061</v>
      </c>
      <c r="I169" s="39">
        <f>Tabela2[[#This Row],[VALOR FINAL R$]]/$D$11</f>
        <v>19.919274375655895</v>
      </c>
    </row>
    <row r="170" spans="2:9" x14ac:dyDescent="0.3">
      <c r="B170" s="30">
        <f t="shared" si="14"/>
        <v>151</v>
      </c>
      <c r="C170" s="30">
        <v>13</v>
      </c>
      <c r="D170" s="31">
        <f t="shared" si="15"/>
        <v>191225.0340062966</v>
      </c>
      <c r="E170" s="31">
        <f t="shared" si="12"/>
        <v>600</v>
      </c>
      <c r="F170" s="40">
        <f t="shared" si="13"/>
        <v>8.9237257287477778E-3</v>
      </c>
      <c r="G170" s="31">
        <f>(Tabela2[[#This Row],[VALOR INICIAL R$]]+Tabela2[[#This Row],[APORTE MENSAL R$]])*(1+$D$13)</f>
        <v>193536.8279976765</v>
      </c>
      <c r="H170" s="31">
        <f>Tabela2[[#This Row],[VALOR FINAL R$]]-Tabela2[[#This Row],[VALOR INICIAL R$]]-Tabela2[[#This Row],[APORTE MENSAL R$]]</f>
        <v>1711.7939913799055</v>
      </c>
      <c r="I170" s="39">
        <f>Tabela2[[#This Row],[VALOR FINAL R$]]/$D$11</f>
        <v>20.16008624975797</v>
      </c>
    </row>
    <row r="171" spans="2:9" x14ac:dyDescent="0.3">
      <c r="B171" s="30">
        <f t="shared" si="14"/>
        <v>152</v>
      </c>
      <c r="C171" s="30">
        <v>13</v>
      </c>
      <c r="D171" s="31">
        <f t="shared" si="15"/>
        <v>193536.8279976765</v>
      </c>
      <c r="E171" s="31">
        <f t="shared" si="12"/>
        <v>600</v>
      </c>
      <c r="F171" s="40">
        <f t="shared" si="13"/>
        <v>8.9237257287477778E-3</v>
      </c>
      <c r="G171" s="31">
        <f>(Tabela2[[#This Row],[VALOR INICIAL R$]]+Tabela2[[#This Row],[APORTE MENSAL R$]])*(1+$D$13)</f>
        <v>195869.25180457687</v>
      </c>
      <c r="H171" s="31">
        <f>Tabela2[[#This Row],[VALOR FINAL R$]]-Tabela2[[#This Row],[VALOR INICIAL R$]]-Tabela2[[#This Row],[APORTE MENSAL R$]]</f>
        <v>1732.4238069003623</v>
      </c>
      <c r="I171" s="39">
        <f>Tabela2[[#This Row],[VALOR FINAL R$]]/$D$11</f>
        <v>20.403047062976757</v>
      </c>
    </row>
    <row r="172" spans="2:9" x14ac:dyDescent="0.3">
      <c r="B172" s="30">
        <f t="shared" si="14"/>
        <v>153</v>
      </c>
      <c r="C172" s="30">
        <v>13</v>
      </c>
      <c r="D172" s="31">
        <f t="shared" si="15"/>
        <v>195869.25180457687</v>
      </c>
      <c r="E172" s="31">
        <f t="shared" si="12"/>
        <v>600</v>
      </c>
      <c r="F172" s="40">
        <f t="shared" si="13"/>
        <v>8.9237257287477778E-3</v>
      </c>
      <c r="G172" s="31">
        <f>(Tabela2[[#This Row],[VALOR INICIAL R$]]+Tabela2[[#This Row],[APORTE MENSAL R$]])*(1+$D$13)</f>
        <v>198222.4895218132</v>
      </c>
      <c r="H172" s="31">
        <f>Tabela2[[#This Row],[VALOR FINAL R$]]-Tabela2[[#This Row],[VALOR INICIAL R$]]-Tabela2[[#This Row],[APORTE MENSAL R$]]</f>
        <v>1753.237717236334</v>
      </c>
      <c r="I172" s="39">
        <f>Tabela2[[#This Row],[VALOR FINAL R$]]/$D$11</f>
        <v>20.648175991855542</v>
      </c>
    </row>
    <row r="173" spans="2:9" x14ac:dyDescent="0.3">
      <c r="B173" s="30">
        <f t="shared" si="14"/>
        <v>154</v>
      </c>
      <c r="C173" s="30">
        <v>13</v>
      </c>
      <c r="D173" s="31">
        <f t="shared" si="15"/>
        <v>198222.4895218132</v>
      </c>
      <c r="E173" s="31">
        <f t="shared" si="12"/>
        <v>600</v>
      </c>
      <c r="F173" s="40">
        <f t="shared" si="13"/>
        <v>8.9237257287477778E-3</v>
      </c>
      <c r="G173" s="31">
        <f>(Tabela2[[#This Row],[VALOR INICIAL R$]]+Tabela2[[#This Row],[APORTE MENSAL R$]])*(1+$D$13)</f>
        <v>200596.72688701269</v>
      </c>
      <c r="H173" s="31">
        <f>Tabela2[[#This Row],[VALOR FINAL R$]]-Tabela2[[#This Row],[VALOR INICIAL R$]]-Tabela2[[#This Row],[APORTE MENSAL R$]]</f>
        <v>1774.2373651994858</v>
      </c>
      <c r="I173" s="39">
        <f>Tabela2[[#This Row],[VALOR FINAL R$]]/$D$11</f>
        <v>20.895492384063822</v>
      </c>
    </row>
    <row r="174" spans="2:9" x14ac:dyDescent="0.3">
      <c r="B174" s="30">
        <f t="shared" si="14"/>
        <v>155</v>
      </c>
      <c r="C174" s="30">
        <v>13</v>
      </c>
      <c r="D174" s="31">
        <f t="shared" si="15"/>
        <v>200596.72688701269</v>
      </c>
      <c r="E174" s="31">
        <f t="shared" si="12"/>
        <v>600</v>
      </c>
      <c r="F174" s="40">
        <f t="shared" si="13"/>
        <v>8.9237257287477778E-3</v>
      </c>
      <c r="G174" s="31">
        <f>(Tabela2[[#This Row],[VALOR INICIAL R$]]+Tabela2[[#This Row],[APORTE MENSAL R$]])*(1+$D$13)</f>
        <v>202992.15129527415</v>
      </c>
      <c r="H174" s="31">
        <f>Tabela2[[#This Row],[VALOR FINAL R$]]-Tabela2[[#This Row],[VALOR INICIAL R$]]-Tabela2[[#This Row],[APORTE MENSAL R$]]</f>
        <v>1795.4244082614605</v>
      </c>
      <c r="I174" s="39">
        <f>Tabela2[[#This Row],[VALOR FINAL R$]]/$D$11</f>
        <v>21.145015759924391</v>
      </c>
    </row>
    <row r="175" spans="2:9" x14ac:dyDescent="0.3">
      <c r="B175" s="30">
        <f t="shared" si="14"/>
        <v>156</v>
      </c>
      <c r="C175" s="30">
        <v>13</v>
      </c>
      <c r="D175" s="31">
        <f t="shared" si="15"/>
        <v>202992.15129527415</v>
      </c>
      <c r="E175" s="31">
        <f t="shared" si="12"/>
        <v>600</v>
      </c>
      <c r="F175" s="40">
        <f t="shared" si="13"/>
        <v>8.9237257287477778E-3</v>
      </c>
      <c r="G175" s="31">
        <f>(Tabela2[[#This Row],[VALOR INICIAL R$]]+Tabela2[[#This Row],[APORTE MENSAL R$]])*(1+$D$13)</f>
        <v>205408.95181395891</v>
      </c>
      <c r="H175" s="31">
        <f>Tabela2[[#This Row],[VALOR FINAL R$]]-Tabela2[[#This Row],[VALOR INICIAL R$]]-Tabela2[[#This Row],[APORTE MENSAL R$]]</f>
        <v>1816.8005186847586</v>
      </c>
      <c r="I175" s="39">
        <f>Tabela2[[#This Row],[VALOR FINAL R$]]/$D$11</f>
        <v>21.396765813954051</v>
      </c>
    </row>
    <row r="176" spans="2:9" x14ac:dyDescent="0.3">
      <c r="B176" s="30">
        <f t="shared" si="14"/>
        <v>157</v>
      </c>
      <c r="C176" s="30">
        <v>14</v>
      </c>
      <c r="D176" s="31">
        <f t="shared" si="15"/>
        <v>205408.95181395891</v>
      </c>
      <c r="E176" s="31">
        <f t="shared" si="12"/>
        <v>600</v>
      </c>
      <c r="F176" s="40">
        <f t="shared" si="13"/>
        <v>8.9237257287477778E-3</v>
      </c>
      <c r="G176" s="31">
        <f>(Tabela2[[#This Row],[VALOR INICIAL R$]]+Tabela2[[#This Row],[APORTE MENSAL R$]])*(1+$D$13)</f>
        <v>207847.31919761348</v>
      </c>
      <c r="H176" s="31">
        <f>Tabela2[[#This Row],[VALOR FINAL R$]]-Tabela2[[#This Row],[VALOR INICIAL R$]]-Tabela2[[#This Row],[APORTE MENSAL R$]]</f>
        <v>1838.3673836545786</v>
      </c>
      <c r="I176" s="39">
        <f>Tabela2[[#This Row],[VALOR FINAL R$]]/$D$11</f>
        <v>21.650762416418072</v>
      </c>
    </row>
    <row r="177" spans="2:9" x14ac:dyDescent="0.3">
      <c r="B177" s="30">
        <f t="shared" si="14"/>
        <v>158</v>
      </c>
      <c r="C177" s="30">
        <v>14</v>
      </c>
      <c r="D177" s="31">
        <f t="shared" si="15"/>
        <v>207847.31919761348</v>
      </c>
      <c r="E177" s="31">
        <f t="shared" si="12"/>
        <v>600</v>
      </c>
      <c r="F177" s="40">
        <f t="shared" si="13"/>
        <v>8.9237257287477778E-3</v>
      </c>
      <c r="G177" s="31">
        <f>(Tabela2[[#This Row],[VALOR INICIAL R$]]+Tabela2[[#This Row],[APORTE MENSAL R$]])*(1+$D$13)</f>
        <v>210307.44590302574</v>
      </c>
      <c r="H177" s="31">
        <f>Tabela2[[#This Row],[VALOR FINAL R$]]-Tabela2[[#This Row],[VALOR INICIAL R$]]-Tabela2[[#This Row],[APORTE MENSAL R$]]</f>
        <v>1860.1267054122582</v>
      </c>
      <c r="I177" s="39">
        <f>Tabela2[[#This Row],[VALOR FINAL R$]]/$D$11</f>
        <v>21.907025614898515</v>
      </c>
    </row>
    <row r="178" spans="2:9" x14ac:dyDescent="0.3">
      <c r="B178" s="30">
        <f t="shared" si="14"/>
        <v>159</v>
      </c>
      <c r="C178" s="30">
        <v>14</v>
      </c>
      <c r="D178" s="31">
        <f t="shared" si="15"/>
        <v>210307.44590302574</v>
      </c>
      <c r="E178" s="31">
        <f t="shared" si="12"/>
        <v>600</v>
      </c>
      <c r="F178" s="40">
        <f t="shared" si="13"/>
        <v>8.9237257287477778E-3</v>
      </c>
      <c r="G178" s="31">
        <f>(Tabela2[[#This Row],[VALOR INICIAL R$]]+Tabela2[[#This Row],[APORTE MENSAL R$]])*(1+$D$13)</f>
        <v>212789.52610441504</v>
      </c>
      <c r="H178" s="31">
        <f>Tabela2[[#This Row],[VALOR FINAL R$]]-Tabela2[[#This Row],[VALOR INICIAL R$]]-Tabela2[[#This Row],[APORTE MENSAL R$]]</f>
        <v>1882.0802013892971</v>
      </c>
      <c r="I178" s="39">
        <f>Tabela2[[#This Row],[VALOR FINAL R$]]/$D$11</f>
        <v>22.165575635876568</v>
      </c>
    </row>
    <row r="179" spans="2:9" x14ac:dyDescent="0.3">
      <c r="B179" s="30">
        <f t="shared" si="14"/>
        <v>160</v>
      </c>
      <c r="C179" s="30">
        <v>14</v>
      </c>
      <c r="D179" s="31">
        <f t="shared" si="15"/>
        <v>212789.52610441504</v>
      </c>
      <c r="E179" s="31">
        <f t="shared" si="12"/>
        <v>600</v>
      </c>
      <c r="F179" s="40">
        <f t="shared" si="13"/>
        <v>8.9237257287477778E-3</v>
      </c>
      <c r="G179" s="31">
        <f>(Tabela2[[#This Row],[VALOR INICIAL R$]]+Tabela2[[#This Row],[APORTE MENSAL R$]])*(1+$D$13)</f>
        <v>215293.75570875831</v>
      </c>
      <c r="H179" s="31">
        <f>Tabela2[[#This Row],[VALOR FINAL R$]]-Tabela2[[#This Row],[VALOR INICIAL R$]]-Tabela2[[#This Row],[APORTE MENSAL R$]]</f>
        <v>1904.2296043432725</v>
      </c>
      <c r="I179" s="39">
        <f>Tabela2[[#This Row],[VALOR FINAL R$]]/$D$11</f>
        <v>22.426432886328993</v>
      </c>
    </row>
    <row r="180" spans="2:9" x14ac:dyDescent="0.3">
      <c r="B180" s="30">
        <f t="shared" si="14"/>
        <v>161</v>
      </c>
      <c r="C180" s="30">
        <v>14</v>
      </c>
      <c r="D180" s="31">
        <f t="shared" si="15"/>
        <v>215293.75570875831</v>
      </c>
      <c r="E180" s="31">
        <f t="shared" ref="E180:E199" si="16">$D$7</f>
        <v>600</v>
      </c>
      <c r="F180" s="40">
        <f t="shared" ref="F180:F199" si="17">$D$13</f>
        <v>8.9237257287477778E-3</v>
      </c>
      <c r="G180" s="31">
        <f>(Tabela2[[#This Row],[VALOR INICIAL R$]]+Tabela2[[#This Row],[APORTE MENSAL R$]])*(1+$D$13)</f>
        <v>217820.33237125256</v>
      </c>
      <c r="H180" s="31">
        <f>Tabela2[[#This Row],[VALOR FINAL R$]]-Tabela2[[#This Row],[VALOR INICIAL R$]]-Tabela2[[#This Row],[APORTE MENSAL R$]]</f>
        <v>1926.576662494248</v>
      </c>
      <c r="I180" s="39">
        <f>Tabela2[[#This Row],[VALOR FINAL R$]]/$D$11</f>
        <v>22.689617955338807</v>
      </c>
    </row>
    <row r="181" spans="2:9" x14ac:dyDescent="0.3">
      <c r="B181" s="30">
        <f t="shared" si="14"/>
        <v>162</v>
      </c>
      <c r="C181" s="30">
        <v>14</v>
      </c>
      <c r="D181" s="31">
        <f t="shared" si="15"/>
        <v>217820.33237125256</v>
      </c>
      <c r="E181" s="31">
        <f t="shared" si="16"/>
        <v>600</v>
      </c>
      <c r="F181" s="40">
        <f t="shared" si="17"/>
        <v>8.9237257287477778E-3</v>
      </c>
      <c r="G181" s="31">
        <f>(Tabela2[[#This Row],[VALOR INICIAL R$]]+Tabela2[[#This Row],[APORTE MENSAL R$]])*(1+$D$13)</f>
        <v>220369.45551091555</v>
      </c>
      <c r="H181" s="31">
        <f>Tabela2[[#This Row],[VALOR FINAL R$]]-Tabela2[[#This Row],[VALOR INICIAL R$]]-Tabela2[[#This Row],[APORTE MENSAL R$]]</f>
        <v>1949.1231396629883</v>
      </c>
      <c r="I181" s="39">
        <f>Tabela2[[#This Row],[VALOR FINAL R$]]/$D$11</f>
        <v>22.955151615720368</v>
      </c>
    </row>
    <row r="182" spans="2:9" x14ac:dyDescent="0.3">
      <c r="B182" s="30">
        <f t="shared" si="14"/>
        <v>163</v>
      </c>
      <c r="C182" s="30">
        <v>14</v>
      </c>
      <c r="D182" s="31">
        <f t="shared" si="15"/>
        <v>220369.45551091555</v>
      </c>
      <c r="E182" s="31">
        <f t="shared" si="16"/>
        <v>600</v>
      </c>
      <c r="F182" s="40">
        <f t="shared" si="17"/>
        <v>8.9237257287477778E-3</v>
      </c>
      <c r="G182" s="31">
        <f>(Tabela2[[#This Row],[VALOR INICIAL R$]]+Tabela2[[#This Row],[APORTE MENSAL R$]])*(1+$D$13)</f>
        <v>222941.32632632568</v>
      </c>
      <c r="H182" s="31">
        <f>Tabela2[[#This Row],[VALOR FINAL R$]]-Tabela2[[#This Row],[VALOR INICIAL R$]]-Tabela2[[#This Row],[APORTE MENSAL R$]]</f>
        <v>1971.8708154101332</v>
      </c>
      <c r="I182" s="39">
        <f>Tabela2[[#This Row],[VALOR FINAL R$]]/$D$11</f>
        <v>23.223054825658924</v>
      </c>
    </row>
    <row r="183" spans="2:9" x14ac:dyDescent="0.3">
      <c r="B183" s="30">
        <f t="shared" si="14"/>
        <v>164</v>
      </c>
      <c r="C183" s="30">
        <v>14</v>
      </c>
      <c r="D183" s="31">
        <f t="shared" si="15"/>
        <v>222941.32632632568</v>
      </c>
      <c r="E183" s="31">
        <f t="shared" si="16"/>
        <v>600</v>
      </c>
      <c r="F183" s="40">
        <f t="shared" si="17"/>
        <v>8.9237257287477778E-3</v>
      </c>
      <c r="G183" s="31">
        <f>(Tabela2[[#This Row],[VALOR INICIAL R$]]+Tabela2[[#This Row],[APORTE MENSAL R$]])*(1+$D$13)</f>
        <v>225536.14781150231</v>
      </c>
      <c r="H183" s="31">
        <f>Tabela2[[#This Row],[VALOR FINAL R$]]-Tabela2[[#This Row],[VALOR INICIAL R$]]-Tabela2[[#This Row],[APORTE MENSAL R$]]</f>
        <v>1994.8214851766243</v>
      </c>
      <c r="I183" s="39">
        <f>Tabela2[[#This Row],[VALOR FINAL R$]]/$D$11</f>
        <v>23.493348730364822</v>
      </c>
    </row>
    <row r="184" spans="2:9" x14ac:dyDescent="0.3">
      <c r="B184" s="30">
        <f t="shared" si="14"/>
        <v>165</v>
      </c>
      <c r="C184" s="30">
        <v>14</v>
      </c>
      <c r="D184" s="31">
        <f t="shared" si="15"/>
        <v>225536.14781150231</v>
      </c>
      <c r="E184" s="31">
        <f t="shared" si="16"/>
        <v>600</v>
      </c>
      <c r="F184" s="40">
        <f t="shared" si="17"/>
        <v>8.9237257287477778E-3</v>
      </c>
      <c r="G184" s="31">
        <f>(Tabela2[[#This Row],[VALOR INICIAL R$]]+Tabela2[[#This Row],[APORTE MENSAL R$]])*(1+$D$13)</f>
        <v>228154.12477192772</v>
      </c>
      <c r="H184" s="31">
        <f>Tabela2[[#This Row],[VALOR FINAL R$]]-Tabela2[[#This Row],[VALOR INICIAL R$]]-Tabela2[[#This Row],[APORTE MENSAL R$]]</f>
        <v>2017.9769604254107</v>
      </c>
      <c r="I184" s="39">
        <f>Tabela2[[#This Row],[VALOR FINAL R$]]/$D$11</f>
        <v>23.766054663742469</v>
      </c>
    </row>
    <row r="185" spans="2:9" x14ac:dyDescent="0.3">
      <c r="B185" s="30">
        <f t="shared" si="14"/>
        <v>166</v>
      </c>
      <c r="C185" s="30">
        <v>14</v>
      </c>
      <c r="D185" s="31">
        <f t="shared" si="15"/>
        <v>228154.12477192772</v>
      </c>
      <c r="E185" s="31">
        <f t="shared" si="16"/>
        <v>600</v>
      </c>
      <c r="F185" s="40">
        <f t="shared" si="17"/>
        <v>8.9237257287477778E-3</v>
      </c>
      <c r="G185" s="31">
        <f>(Tabela2[[#This Row],[VALOR INICIAL R$]]+Tabela2[[#This Row],[APORTE MENSAL R$]])*(1+$D$13)</f>
        <v>230795.46384071215</v>
      </c>
      <c r="H185" s="31">
        <f>Tabela2[[#This Row],[VALOR FINAL R$]]-Tabela2[[#This Row],[VALOR INICIAL R$]]-Tabela2[[#This Row],[APORTE MENSAL R$]]</f>
        <v>2041.3390687844367</v>
      </c>
      <c r="I185" s="39">
        <f>Tabela2[[#This Row],[VALOR FINAL R$]]/$D$11</f>
        <v>24.041194150074183</v>
      </c>
    </row>
    <row r="186" spans="2:9" x14ac:dyDescent="0.3">
      <c r="B186" s="30">
        <f t="shared" si="14"/>
        <v>167</v>
      </c>
      <c r="C186" s="30">
        <v>14</v>
      </c>
      <c r="D186" s="31">
        <f t="shared" si="15"/>
        <v>230795.46384071215</v>
      </c>
      <c r="E186" s="31">
        <f t="shared" si="16"/>
        <v>600</v>
      </c>
      <c r="F186" s="40">
        <f t="shared" si="17"/>
        <v>8.9237257287477778E-3</v>
      </c>
      <c r="G186" s="31">
        <f>(Tabela2[[#This Row],[VALOR INICIAL R$]]+Tabela2[[#This Row],[APORTE MENSAL R$]])*(1+$D$13)</f>
        <v>233460.37349490303</v>
      </c>
      <c r="H186" s="31">
        <f>Tabela2[[#This Row],[VALOR FINAL R$]]-Tabela2[[#This Row],[VALOR INICIAL R$]]-Tabela2[[#This Row],[APORTE MENSAL R$]]</f>
        <v>2064.9096541908802</v>
      </c>
      <c r="I186" s="39">
        <f>Tabela2[[#This Row],[VALOR FINAL R$]]/$D$11</f>
        <v>24.318788905719067</v>
      </c>
    </row>
    <row r="187" spans="2:9" x14ac:dyDescent="0.3">
      <c r="B187" s="30">
        <f t="shared" si="14"/>
        <v>168</v>
      </c>
      <c r="C187" s="30">
        <v>14</v>
      </c>
      <c r="D187" s="31">
        <f t="shared" si="15"/>
        <v>233460.37349490303</v>
      </c>
      <c r="E187" s="31">
        <f t="shared" si="16"/>
        <v>600</v>
      </c>
      <c r="F187" s="40">
        <f t="shared" si="17"/>
        <v>8.9237257287477778E-3</v>
      </c>
      <c r="G187" s="31">
        <f>(Tabela2[[#This Row],[VALOR INICIAL R$]]+Tabela2[[#This Row],[APORTE MENSAL R$]])*(1+$D$13)</f>
        <v>236149.06407193982</v>
      </c>
      <c r="H187" s="31">
        <f>Tabela2[[#This Row],[VALOR FINAL R$]]-Tabela2[[#This Row],[VALOR INICIAL R$]]-Tabela2[[#This Row],[APORTE MENSAL R$]]</f>
        <v>2088.6905770367885</v>
      </c>
      <c r="I187" s="39">
        <f>Tabela2[[#This Row],[VALOR FINAL R$]]/$D$11</f>
        <v>24.598860840827065</v>
      </c>
    </row>
    <row r="188" spans="2:9" x14ac:dyDescent="0.3">
      <c r="B188" s="30">
        <f t="shared" si="14"/>
        <v>169</v>
      </c>
      <c r="C188" s="30">
        <v>15</v>
      </c>
      <c r="D188" s="31">
        <f t="shared" si="15"/>
        <v>236149.06407193982</v>
      </c>
      <c r="E188" s="31">
        <f t="shared" si="16"/>
        <v>600</v>
      </c>
      <c r="F188" s="40">
        <f t="shared" si="17"/>
        <v>8.9237257287477778E-3</v>
      </c>
      <c r="G188" s="31">
        <f>(Tabela2[[#This Row],[VALOR INICIAL R$]]+Tabela2[[#This Row],[APORTE MENSAL R$]])*(1+$D$13)</f>
        <v>238861.74778625555</v>
      </c>
      <c r="H188" s="31">
        <f>Tabela2[[#This Row],[VALOR FINAL R$]]-Tabela2[[#This Row],[VALOR INICIAL R$]]-Tabela2[[#This Row],[APORTE MENSAL R$]]</f>
        <v>2112.6837143157318</v>
      </c>
      <c r="I188" s="39">
        <f>Tabela2[[#This Row],[VALOR FINAL R$]]/$D$11</f>
        <v>24.881432061068288</v>
      </c>
    </row>
    <row r="189" spans="2:9" x14ac:dyDescent="0.3">
      <c r="B189" s="30">
        <f t="shared" si="14"/>
        <v>170</v>
      </c>
      <c r="C189" s="30">
        <v>15</v>
      </c>
      <c r="D189" s="31">
        <f t="shared" si="15"/>
        <v>238861.74778625555</v>
      </c>
      <c r="E189" s="31">
        <f t="shared" si="16"/>
        <v>600</v>
      </c>
      <c r="F189" s="40">
        <f t="shared" si="17"/>
        <v>8.9237257287477778E-3</v>
      </c>
      <c r="G189" s="31">
        <f>(Tabela2[[#This Row],[VALOR INICIAL R$]]+Tabela2[[#This Row],[APORTE MENSAL R$]])*(1+$D$13)</f>
        <v>241598.63874602667</v>
      </c>
      <c r="H189" s="31">
        <f>Tabela2[[#This Row],[VALOR FINAL R$]]-Tabela2[[#This Row],[VALOR INICIAL R$]]-Tabela2[[#This Row],[APORTE MENSAL R$]]</f>
        <v>2136.8909597711172</v>
      </c>
      <c r="I189" s="39">
        <f>Tabela2[[#This Row],[VALOR FINAL R$]]/$D$11</f>
        <v>25.166524869377778</v>
      </c>
    </row>
    <row r="190" spans="2:9" x14ac:dyDescent="0.3">
      <c r="B190" s="30">
        <f t="shared" si="14"/>
        <v>171</v>
      </c>
      <c r="C190" s="30">
        <v>15</v>
      </c>
      <c r="D190" s="31">
        <f t="shared" si="15"/>
        <v>241598.63874602667</v>
      </c>
      <c r="E190" s="31">
        <f t="shared" si="16"/>
        <v>600</v>
      </c>
      <c r="F190" s="40">
        <f t="shared" si="17"/>
        <v>8.9237257287477778E-3</v>
      </c>
      <c r="G190" s="31">
        <f>(Tabela2[[#This Row],[VALOR INICIAL R$]]+Tabela2[[#This Row],[APORTE MENSAL R$]])*(1+$D$13)</f>
        <v>244359.95297007228</v>
      </c>
      <c r="H190" s="31">
        <f>Tabela2[[#This Row],[VALOR FINAL R$]]-Tabela2[[#This Row],[VALOR INICIAL R$]]-Tabela2[[#This Row],[APORTE MENSAL R$]]</f>
        <v>2161.3142240456073</v>
      </c>
      <c r="I190" s="39">
        <f>Tabela2[[#This Row],[VALOR FINAL R$]]/$D$11</f>
        <v>25.454161767715863</v>
      </c>
    </row>
    <row r="191" spans="2:9" x14ac:dyDescent="0.3">
      <c r="B191" s="30">
        <f t="shared" si="14"/>
        <v>172</v>
      </c>
      <c r="C191" s="30">
        <v>15</v>
      </c>
      <c r="D191" s="31">
        <f t="shared" si="15"/>
        <v>244359.95297007228</v>
      </c>
      <c r="E191" s="31">
        <f t="shared" si="16"/>
        <v>600</v>
      </c>
      <c r="F191" s="40">
        <f t="shared" si="17"/>
        <v>8.9237257287477778E-3</v>
      </c>
      <c r="G191" s="31">
        <f>(Tabela2[[#This Row],[VALOR INICIAL R$]]+Tabela2[[#This Row],[APORTE MENSAL R$]])*(1+$D$13)</f>
        <v>247145.90840490416</v>
      </c>
      <c r="H191" s="31">
        <f>Tabela2[[#This Row],[VALOR FINAL R$]]-Tabela2[[#This Row],[VALOR INICIAL R$]]-Tabela2[[#This Row],[APORTE MENSAL R$]]</f>
        <v>2185.9554348318779</v>
      </c>
      <c r="I191" s="39">
        <f>Tabela2[[#This Row],[VALOR FINAL R$]]/$D$11</f>
        <v>25.744365458844182</v>
      </c>
    </row>
    <row r="192" spans="2:9" x14ac:dyDescent="0.3">
      <c r="B192" s="30">
        <f t="shared" si="14"/>
        <v>173</v>
      </c>
      <c r="C192" s="30">
        <v>15</v>
      </c>
      <c r="D192" s="31">
        <f t="shared" si="15"/>
        <v>247145.90840490416</v>
      </c>
      <c r="E192" s="31">
        <f t="shared" si="16"/>
        <v>600</v>
      </c>
      <c r="F192" s="40">
        <f t="shared" si="17"/>
        <v>8.9237257287477778E-3</v>
      </c>
      <c r="G192" s="31">
        <f>(Tabela2[[#This Row],[VALOR INICIAL R$]]+Tabela2[[#This Row],[APORTE MENSAL R$]])*(1+$D$13)</f>
        <v>249956.72494192899</v>
      </c>
      <c r="H192" s="31">
        <f>Tabela2[[#This Row],[VALOR FINAL R$]]-Tabela2[[#This Row],[VALOR INICIAL R$]]-Tabela2[[#This Row],[APORTE MENSAL R$]]</f>
        <v>2210.8165370248316</v>
      </c>
      <c r="I192" s="39">
        <f>Tabela2[[#This Row],[VALOR FINAL R$]]/$D$11</f>
        <v>26.037158848117603</v>
      </c>
    </row>
    <row r="193" spans="2:9" x14ac:dyDescent="0.3">
      <c r="B193" s="30">
        <f t="shared" si="14"/>
        <v>174</v>
      </c>
      <c r="C193" s="30">
        <v>15</v>
      </c>
      <c r="D193" s="31">
        <f t="shared" si="15"/>
        <v>249956.72494192899</v>
      </c>
      <c r="E193" s="31">
        <f t="shared" si="16"/>
        <v>600</v>
      </c>
      <c r="F193" s="40">
        <f t="shared" si="17"/>
        <v>8.9237257287477778E-3</v>
      </c>
      <c r="G193" s="31">
        <f>(Tabela2[[#This Row],[VALOR INICIAL R$]]+Tabela2[[#This Row],[APORTE MENSAL R$]])*(1+$D$13)</f>
        <v>252792.62443480405</v>
      </c>
      <c r="H193" s="31">
        <f>Tabela2[[#This Row],[VALOR FINAL R$]]-Tabela2[[#This Row],[VALOR INICIAL R$]]-Tabela2[[#This Row],[APORTE MENSAL R$]]</f>
        <v>2235.8994928750617</v>
      </c>
      <c r="I193" s="39">
        <f>Tabela2[[#This Row],[VALOR FINAL R$]]/$D$11</f>
        <v>26.332565045292089</v>
      </c>
    </row>
    <row r="194" spans="2:9" x14ac:dyDescent="0.3">
      <c r="B194" s="30">
        <f t="shared" ref="B194:B199" si="18">B193+1</f>
        <v>175</v>
      </c>
      <c r="C194" s="30">
        <v>15</v>
      </c>
      <c r="D194" s="31">
        <f t="shared" si="15"/>
        <v>252792.62443480405</v>
      </c>
      <c r="E194" s="31">
        <f t="shared" si="16"/>
        <v>600</v>
      </c>
      <c r="F194" s="40">
        <f t="shared" si="17"/>
        <v>8.9237257287477778E-3</v>
      </c>
      <c r="G194" s="31">
        <f>(Tabela2[[#This Row],[VALOR INICIAL R$]]+Tabela2[[#This Row],[APORTE MENSAL R$]])*(1+$D$13)</f>
        <v>255653.83071694782</v>
      </c>
      <c r="H194" s="31">
        <f>Tabela2[[#This Row],[VALOR FINAL R$]]-Tabela2[[#This Row],[VALOR INICIAL R$]]-Tabela2[[#This Row],[APORTE MENSAL R$]]</f>
        <v>2261.2062821437721</v>
      </c>
      <c r="I194" s="39">
        <f>Tabela2[[#This Row],[VALOR FINAL R$]]/$D$11</f>
        <v>26.63060736634873</v>
      </c>
    </row>
    <row r="195" spans="2:9" x14ac:dyDescent="0.3">
      <c r="B195" s="30">
        <f t="shared" si="18"/>
        <v>176</v>
      </c>
      <c r="C195" s="30">
        <v>15</v>
      </c>
      <c r="D195" s="31">
        <f t="shared" si="15"/>
        <v>255653.83071694782</v>
      </c>
      <c r="E195" s="31">
        <f t="shared" si="16"/>
        <v>600</v>
      </c>
      <c r="F195" s="40">
        <f t="shared" si="17"/>
        <v>8.9237257287477778E-3</v>
      </c>
      <c r="G195" s="31">
        <f>(Tabela2[[#This Row],[VALOR INICIAL R$]]+Tabela2[[#This Row],[APORTE MENSAL R$]])*(1+$D$13)</f>
        <v>258540.56961920683</v>
      </c>
      <c r="H195" s="31">
        <f>Tabela2[[#This Row],[VALOR FINAL R$]]-Tabela2[[#This Row],[VALOR INICIAL R$]]-Tabela2[[#This Row],[APORTE MENSAL R$]]</f>
        <v>2286.7389022590069</v>
      </c>
      <c r="I195" s="39">
        <f>Tabela2[[#This Row],[VALOR FINAL R$]]/$D$11</f>
        <v>26.931309335334046</v>
      </c>
    </row>
    <row r="196" spans="2:9" x14ac:dyDescent="0.3">
      <c r="B196" s="30">
        <f t="shared" si="18"/>
        <v>177</v>
      </c>
      <c r="C196" s="30">
        <v>15</v>
      </c>
      <c r="D196" s="31">
        <f t="shared" si="15"/>
        <v>258540.56961920683</v>
      </c>
      <c r="E196" s="31">
        <f t="shared" si="16"/>
        <v>600</v>
      </c>
      <c r="F196" s="40">
        <f t="shared" si="17"/>
        <v>8.9237257287477778E-3</v>
      </c>
      <c r="G196" s="31">
        <f>(Tabela2[[#This Row],[VALOR INICIAL R$]]+Tabela2[[#This Row],[APORTE MENSAL R$]])*(1+$D$13)</f>
        <v>261453.0689876801</v>
      </c>
      <c r="H196" s="31">
        <f>Tabela2[[#This Row],[VALOR FINAL R$]]-Tabela2[[#This Row],[VALOR INICIAL R$]]-Tabela2[[#This Row],[APORTE MENSAL R$]]</f>
        <v>2312.4993684732763</v>
      </c>
      <c r="I196" s="39">
        <f>Tabela2[[#This Row],[VALOR FINAL R$]]/$D$11</f>
        <v>27.234694686216677</v>
      </c>
    </row>
    <row r="197" spans="2:9" x14ac:dyDescent="0.3">
      <c r="B197" s="30">
        <f t="shared" si="18"/>
        <v>178</v>
      </c>
      <c r="C197" s="30">
        <v>15</v>
      </c>
      <c r="D197" s="31">
        <f t="shared" si="15"/>
        <v>261453.0689876801</v>
      </c>
      <c r="E197" s="31">
        <f t="shared" si="16"/>
        <v>600</v>
      </c>
      <c r="F197" s="40">
        <f t="shared" si="17"/>
        <v>8.9237257287477778E-3</v>
      </c>
      <c r="G197" s="31">
        <f>(Tabela2[[#This Row],[VALOR INICIAL R$]]+Tabela2[[#This Row],[APORTE MENSAL R$]])*(1+$D$13)</f>
        <v>264391.5587017028</v>
      </c>
      <c r="H197" s="31">
        <f>Tabela2[[#This Row],[VALOR FINAL R$]]-Tabela2[[#This Row],[VALOR INICIAL R$]]-Tabela2[[#This Row],[APORTE MENSAL R$]]</f>
        <v>2338.4897140226967</v>
      </c>
      <c r="I197" s="39">
        <f>Tabela2[[#This Row],[VALOR FINAL R$]]/$D$11</f>
        <v>27.540787364760707</v>
      </c>
    </row>
    <row r="198" spans="2:9" x14ac:dyDescent="0.3">
      <c r="B198" s="30">
        <f t="shared" si="18"/>
        <v>179</v>
      </c>
      <c r="C198" s="30">
        <v>15</v>
      </c>
      <c r="D198" s="31">
        <f t="shared" si="15"/>
        <v>264391.5587017028</v>
      </c>
      <c r="E198" s="31">
        <f t="shared" si="16"/>
        <v>600</v>
      </c>
      <c r="F198" s="40">
        <f t="shared" si="17"/>
        <v>8.9237257287477778E-3</v>
      </c>
      <c r="G198" s="31">
        <f>(Tabela2[[#This Row],[VALOR INICIAL R$]]+Tabela2[[#This Row],[APORTE MENSAL R$]])*(1+$D$13)</f>
        <v>267356.27069199015</v>
      </c>
      <c r="H198" s="31">
        <f>Tabela2[[#This Row],[VALOR FINAL R$]]-Tabela2[[#This Row],[VALOR INICIAL R$]]-Tabela2[[#This Row],[APORTE MENSAL R$]]</f>
        <v>2364.7119902873528</v>
      </c>
      <c r="I198" s="39">
        <f>Tabela2[[#This Row],[VALOR FINAL R$]]/$D$11</f>
        <v>27.84961153041564</v>
      </c>
    </row>
    <row r="199" spans="2:9" x14ac:dyDescent="0.3">
      <c r="B199" s="30">
        <f t="shared" si="18"/>
        <v>180</v>
      </c>
      <c r="C199" s="30">
        <v>15</v>
      </c>
      <c r="D199" s="31">
        <f t="shared" si="15"/>
        <v>267356.27069199015</v>
      </c>
      <c r="E199" s="31">
        <f t="shared" si="16"/>
        <v>600</v>
      </c>
      <c r="F199" s="40">
        <f t="shared" si="17"/>
        <v>8.9237257287477778E-3</v>
      </c>
      <c r="G199" s="31">
        <f>(Tabela2[[#This Row],[VALOR INICIAL R$]]+Tabela2[[#This Row],[APORTE MENSAL R$]])*(1+$D$13)</f>
        <v>270347.43895894359</v>
      </c>
      <c r="H199" s="31">
        <f>Tabela2[[#This Row],[VALOR FINAL R$]]-Tabela2[[#This Row],[VALOR INICIAL R$]]-Tabela2[[#This Row],[APORTE MENSAL R$]]</f>
        <v>2391.1682669534348</v>
      </c>
      <c r="I199" s="39">
        <f>Tabela2[[#This Row],[VALOR FINAL R$]]/$D$11</f>
        <v>28.16119155822329</v>
      </c>
    </row>
  </sheetData>
  <mergeCells count="12">
    <mergeCell ref="B1:I3"/>
    <mergeCell ref="F6:I6"/>
    <mergeCell ref="B10:C10"/>
    <mergeCell ref="B11:C11"/>
    <mergeCell ref="B13:C13"/>
    <mergeCell ref="B18:I18"/>
    <mergeCell ref="C16:E16"/>
    <mergeCell ref="F16:H16"/>
    <mergeCell ref="B5:C5"/>
    <mergeCell ref="B6:C6"/>
    <mergeCell ref="B8:C8"/>
    <mergeCell ref="B14:C14"/>
  </mergeCells>
  <phoneticPr fontId="9" type="noConversion"/>
  <conditionalFormatting sqref="I20:I199">
    <cfRule type="cellIs" dxfId="16" priority="5" operator="between">
      <formula>0.5</formula>
      <formula>1</formula>
    </cfRule>
    <cfRule type="cellIs" dxfId="15" priority="6" operator="between">
      <formula>0.25</formula>
      <formula>0.5</formula>
    </cfRule>
    <cfRule type="cellIs" dxfId="14" priority="7" operator="between">
      <formula>0</formula>
      <formula>0.25</formula>
    </cfRule>
    <cfRule type="cellIs" dxfId="13" priority="8" operator="greaterThanOrEqual">
      <formula>1</formula>
    </cfRule>
  </conditionalFormatting>
  <conditionalFormatting sqref="D8">
    <cfRule type="cellIs" dxfId="12" priority="1" operator="between">
      <formula>0.71</formula>
      <formula>2</formula>
    </cfRule>
    <cfRule type="cellIs" dxfId="11" priority="2" operator="between">
      <formula>0.41</formula>
      <formula>0.7</formula>
    </cfRule>
    <cfRule type="cellIs" dxfId="10" priority="3" operator="between">
      <formula>0.1</formula>
      <formula>0.4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D21:D199" calculatedColumn="1"/>
  </ignoredErrors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A18969AF6C2E46B7FD734E9ED9DCAB" ma:contentTypeVersion="15" ma:contentTypeDescription="Crie um novo documento." ma:contentTypeScope="" ma:versionID="eacbb0692502f98a7769e3ed99ff6b17">
  <xsd:schema xmlns:xsd="http://www.w3.org/2001/XMLSchema" xmlns:xs="http://www.w3.org/2001/XMLSchema" xmlns:p="http://schemas.microsoft.com/office/2006/metadata/properties" xmlns:ns2="cf870a7a-5f56-4e0b-aac1-6c44e4161f45" xmlns:ns3="6e04eee9-383a-4b8c-bf02-1b17214a4c7a" targetNamespace="http://schemas.microsoft.com/office/2006/metadata/properties" ma:root="true" ma:fieldsID="5e3dacf546da21259db2a19135e47822" ns2:_="" ns3:_="">
    <xsd:import namespace="cf870a7a-5f56-4e0b-aac1-6c44e4161f45"/>
    <xsd:import namespace="6e04eee9-383a-4b8c-bf02-1b17214a4c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70a7a-5f56-4e0b-aac1-6c44e4161f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e0f821ba-9ef2-4ce0-ab91-3295ab383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4eee9-383a-4b8c-bf02-1b17214a4c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84cfb5e-241e-485a-9712-33d0a1396f43}" ma:internalName="TaxCatchAll" ma:showField="CatchAllData" ma:web="6e04eee9-383a-4b8c-bf02-1b17214a4c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04eee9-383a-4b8c-bf02-1b17214a4c7a" xsi:nil="true"/>
    <lcf76f155ced4ddcb4097134ff3c332f xmlns="cf870a7a-5f56-4e0b-aac1-6c44e4161f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3A9CAD-9A36-4A85-B1BF-646AC8E007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70a7a-5f56-4e0b-aac1-6c44e4161f45"/>
    <ds:schemaRef ds:uri="6e04eee9-383a-4b8c-bf02-1b17214a4c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279C3B-CC5A-4EA8-8673-BA35063E8B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F0978B-1425-4972-9E9B-30B74BECCF5C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6e04eee9-383a-4b8c-bf02-1b17214a4c7a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cf870a7a-5f56-4e0b-aac1-6c44e4161f45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 gerais</vt:lpstr>
      <vt:lpstr>Controle de despesas</vt:lpstr>
      <vt:lpstr>Reserva de emergência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Hugo</dc:creator>
  <cp:lastModifiedBy>SILVA, VINICIUS (154)</cp:lastModifiedBy>
  <dcterms:created xsi:type="dcterms:W3CDTF">2021-09-09T02:43:09Z</dcterms:created>
  <dcterms:modified xsi:type="dcterms:W3CDTF">2024-11-30T18:49:02Z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0x01010079A18969AF6C2E46B7FD734E9ED9DCAB</vt:lpwstr>
  </property>
  <property fmtid="{D5CDD505-2E9C-101B-9397-08002B2CF9AE}" pid="3" name="Order">
    <vt:r8>47900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