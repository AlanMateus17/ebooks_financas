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ilipe.colus\Downloads\"/>
    </mc:Choice>
  </mc:AlternateContent>
  <xr:revisionPtr revIDLastSave="0" documentId="13_ncr:1_{F4805E73-1D36-4CBC-8678-3130589140BB}" xr6:coauthVersionLast="47" xr6:coauthVersionMax="47" xr10:uidLastSave="{00000000-0000-0000-0000-000000000000}"/>
  <bookViews>
    <workbookView xWindow="-110" yWindow="-110" windowWidth="19420" windowHeight="10560" xr2:uid="{00000000-000D-0000-FFFF-FFFF00000000}"/>
  </bookViews>
  <sheets>
    <sheet name="Curva de juros" sheetId="4" r:id="rId1"/>
    <sheet name="Curva Kart" sheetId="3" r:id="rId2"/>
  </sheets>
  <definedNames>
    <definedName name="Anbim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0" i="4" l="1"/>
  <c r="H28" i="4"/>
  <c r="G28" i="4"/>
  <c r="F31" i="4" l="1"/>
  <c r="F30" i="4"/>
  <c r="F29" i="4"/>
  <c r="F28" i="4"/>
  <c r="F27" i="4"/>
  <c r="F26" i="4"/>
  <c r="F25" i="4"/>
  <c r="F24" i="4"/>
  <c r="E31" i="4"/>
  <c r="E30" i="4"/>
  <c r="E29" i="4"/>
  <c r="E28" i="4"/>
  <c r="E27" i="4"/>
  <c r="E26" i="4"/>
  <c r="E11" i="3"/>
  <c r="G25" i="4"/>
  <c r="G26" i="4"/>
  <c r="G27" i="4"/>
  <c r="G29" i="4"/>
  <c r="G30" i="4"/>
  <c r="G31" i="4"/>
  <c r="G24" i="4"/>
  <c r="E24" i="4"/>
  <c r="E25" i="4" s="1"/>
  <c r="E5" i="4"/>
  <c r="E6" i="4"/>
  <c r="E7" i="4"/>
  <c r="E8" i="4"/>
  <c r="E9" i="4"/>
  <c r="E11" i="4"/>
  <c r="E4" i="4"/>
  <c r="D6" i="4"/>
  <c r="D7" i="4" s="1"/>
  <c r="D5" i="4"/>
  <c r="D4" i="4"/>
  <c r="D5" i="3"/>
  <c r="E4" i="3"/>
  <c r="H26" i="4" l="1"/>
  <c r="H24" i="4"/>
  <c r="H25" i="4"/>
  <c r="D8" i="4"/>
  <c r="E5" i="3"/>
  <c r="E6" i="3"/>
  <c r="H27" i="4" l="1"/>
  <c r="D9" i="4"/>
  <c r="E7" i="3"/>
  <c r="H29" i="4" l="1"/>
  <c r="D10" i="4"/>
  <c r="E8" i="3"/>
  <c r="H31" i="4" l="1"/>
  <c r="H30" i="4"/>
  <c r="D11" i="4"/>
  <c r="E9" i="3"/>
  <c r="E10" i="3" l="1"/>
</calcChain>
</file>

<file path=xl/sharedStrings.xml><?xml version="1.0" encoding="utf-8"?>
<sst xmlns="http://schemas.openxmlformats.org/spreadsheetml/2006/main" count="36" uniqueCount="28">
  <si>
    <t>Volta 1</t>
  </si>
  <si>
    <t>Volta 2</t>
  </si>
  <si>
    <t>Volta 3</t>
  </si>
  <si>
    <t>Volta 4</t>
  </si>
  <si>
    <t>Volta 5</t>
  </si>
  <si>
    <t>Volta 6</t>
  </si>
  <si>
    <t>Volta 7</t>
  </si>
  <si>
    <t>Volta 8</t>
  </si>
  <si>
    <t>Tempo</t>
  </si>
  <si>
    <t>Tempo acumulado</t>
  </si>
  <si>
    <t>Tempo médio por volta</t>
  </si>
  <si>
    <t>Juros</t>
  </si>
  <si>
    <t>Ano 1</t>
  </si>
  <si>
    <t>Ano 2</t>
  </si>
  <si>
    <t>Ano 3</t>
  </si>
  <si>
    <t>Ano 4</t>
  </si>
  <si>
    <t>Ano 5</t>
  </si>
  <si>
    <t>Ano 6</t>
  </si>
  <si>
    <t>Ano 7</t>
  </si>
  <si>
    <t>Ano 8</t>
  </si>
  <si>
    <t>Seu cenário de juros</t>
  </si>
  <si>
    <t>Juros acumulados (mercado)</t>
  </si>
  <si>
    <t>Juros acumulados (seu cenário)</t>
  </si>
  <si>
    <t>Curva de juros (mercado)</t>
  </si>
  <si>
    <t>Curva de juros (seu cenário)</t>
  </si>
  <si>
    <t>Cenário (mercado)</t>
  </si>
  <si>
    <t>Juros acumulados</t>
  </si>
  <si>
    <t>Juros – Média 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</si>
</sst>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13" fillId="33" borderId="10" xfId="0" applyFont="1" applyFill="1" applyBorder="1" applyAlignment="1">
      <alignment horizontal="center"/>
    </xf>
    <xf numFmtId="20" fontId="16" fillId="0" borderId="10" xfId="0" applyNumberFormat="1" applyFont="1" applyBorder="1" applyAlignment="1">
      <alignment horizontal="center"/>
    </xf>
    <xf numFmtId="20" fontId="16" fillId="34" borderId="10" xfId="0" applyNumberFormat="1" applyFont="1" applyFill="1" applyBorder="1" applyAlignment="1">
      <alignment horizontal="center"/>
    </xf>
    <xf numFmtId="20" fontId="19" fillId="35" borderId="10" xfId="0" applyNumberFormat="1" applyFont="1" applyFill="1" applyBorder="1" applyAlignment="1">
      <alignment horizontal="center"/>
    </xf>
    <xf numFmtId="10" fontId="16" fillId="0" borderId="10" xfId="0" applyNumberFormat="1" applyFont="1" applyBorder="1" applyAlignment="1">
      <alignment horizontal="center"/>
    </xf>
    <xf numFmtId="10" fontId="16" fillId="0" borderId="10" xfId="1" applyNumberFormat="1" applyFont="1" applyBorder="1" applyAlignment="1">
      <alignment horizontal="center"/>
    </xf>
    <xf numFmtId="10" fontId="19" fillId="35" borderId="10" xfId="1" applyNumberFormat="1" applyFont="1" applyFill="1" applyBorder="1" applyAlignment="1">
      <alignment horizontal="center"/>
    </xf>
    <xf numFmtId="0" fontId="13" fillId="33" borderId="10" xfId="0" applyFont="1" applyFill="1" applyBorder="1" applyAlignment="1">
      <alignment horizontal="center" vertical="center"/>
    </xf>
    <xf numFmtId="0" fontId="13" fillId="36" borderId="10" xfId="0" applyFont="1" applyFill="1" applyBorder="1" applyAlignment="1">
      <alignment horizontal="center" vertical="center"/>
    </xf>
    <xf numFmtId="0" fontId="13" fillId="33" borderId="10" xfId="0" applyFont="1" applyFill="1" applyBorder="1" applyAlignment="1">
      <alignment horizontal="center" vertical="center" wrapText="1"/>
    </xf>
    <xf numFmtId="0" fontId="13" fillId="36" borderId="10" xfId="0" applyFont="1" applyFill="1" applyBorder="1" applyAlignment="1">
      <alignment horizontal="center" vertical="center" wrapText="1"/>
    </xf>
    <xf numFmtId="10" fontId="16" fillId="34" borderId="10" xfId="0" applyNumberFormat="1" applyFont="1" applyFill="1" applyBorder="1" applyAlignment="1">
      <alignment horizontal="center"/>
    </xf>
    <xf numFmtId="10" fontId="16" fillId="34" borderId="10" xfId="1" applyNumberFormat="1" applyFont="1" applyFill="1" applyBorder="1" applyAlignment="1">
      <alignment horizont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Curva de juros simplificada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'Curva de juros'!$E$3</c:f>
              <c:strCache>
                <c:ptCount val="1"/>
                <c:pt idx="0">
                  <c:v>Juros – Média anual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'Curva de juros'!$B$4:$B$11</c:f>
              <c:strCache>
                <c:ptCount val="8"/>
                <c:pt idx="0">
                  <c:v>Ano 1</c:v>
                </c:pt>
                <c:pt idx="1">
                  <c:v>Ano 2</c:v>
                </c:pt>
                <c:pt idx="2">
                  <c:v>Ano 3</c:v>
                </c:pt>
                <c:pt idx="3">
                  <c:v>Ano 4</c:v>
                </c:pt>
                <c:pt idx="4">
                  <c:v>Ano 5</c:v>
                </c:pt>
                <c:pt idx="5">
                  <c:v>Ano 6</c:v>
                </c:pt>
                <c:pt idx="6">
                  <c:v>Ano 7</c:v>
                </c:pt>
                <c:pt idx="7">
                  <c:v>Ano 8</c:v>
                </c:pt>
              </c:strCache>
            </c:strRef>
          </c:cat>
          <c:val>
            <c:numRef>
              <c:f>'Curva de juros'!$E$4:$E$11</c:f>
              <c:numCache>
                <c:formatCode>0.00%</c:formatCode>
                <c:ptCount val="8"/>
                <c:pt idx="0">
                  <c:v>0.10000000000000009</c:v>
                </c:pt>
                <c:pt idx="1">
                  <c:v>0.10498868772490177</c:v>
                </c:pt>
                <c:pt idx="2">
                  <c:v>0.10831576406970811</c:v>
                </c:pt>
                <c:pt idx="3">
                  <c:v>0.11122534551530205</c:v>
                </c:pt>
                <c:pt idx="4">
                  <c:v>0.11347118018817093</c:v>
                </c:pt>
                <c:pt idx="5">
                  <c:v>0.11497092436497836</c:v>
                </c:pt>
                <c:pt idx="6">
                  <c:v>0.11568797881233794</c:v>
                </c:pt>
                <c:pt idx="7">
                  <c:v>0.11560195825145181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DB-41AC-B3E9-5DA8B49AAC55}"/>
            </c:ext>
          </c:extLst>
        </c:ser>
        <c:ser>
          <c:idx val="1"/>
          <c:order val="1"/>
          <c:tx>
            <c:strRef>
              <c:f>'Curva de juros'!$C$3</c:f>
              <c:strCache>
                <c:ptCount val="1"/>
                <c:pt idx="0">
                  <c:v>Juros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'Curva de juros'!$C$4:$C$11</c:f>
              <c:numCache>
                <c:formatCode>0.00%</c:formatCode>
                <c:ptCount val="8"/>
                <c:pt idx="0">
                  <c:v>0.1</c:v>
                </c:pt>
                <c:pt idx="1">
                  <c:v>0.11</c:v>
                </c:pt>
                <c:pt idx="2">
                  <c:v>0.115</c:v>
                </c:pt>
                <c:pt idx="3">
                  <c:v>0.12</c:v>
                </c:pt>
                <c:pt idx="4">
                  <c:v>0.1225</c:v>
                </c:pt>
                <c:pt idx="5">
                  <c:v>0.1225</c:v>
                </c:pt>
                <c:pt idx="6">
                  <c:v>0.12</c:v>
                </c:pt>
                <c:pt idx="7">
                  <c:v>0.115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DB-41AC-B3E9-5DA8B49AA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3915439"/>
        <c:axId val="1813915023"/>
      </c:lineChart>
      <c:catAx>
        <c:axId val="1813915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3915023"/>
        <c:crosses val="autoZero"/>
        <c:auto val="1"/>
        <c:lblAlgn val="ctr"/>
        <c:lblOffset val="100"/>
        <c:noMultiLvlLbl val="0"/>
      </c:catAx>
      <c:valAx>
        <c:axId val="1813915023"/>
        <c:scaling>
          <c:orientation val="minMax"/>
          <c:min val="9.5000000000000029E-2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39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Comparação de cenários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'Curva de juros'!$G$23</c:f>
              <c:strCache>
                <c:ptCount val="1"/>
                <c:pt idx="0">
                  <c:v>Curva de juros (mercado)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'Curva de juros'!$B$4:$B$11</c:f>
              <c:strCache>
                <c:ptCount val="8"/>
                <c:pt idx="0">
                  <c:v>Ano 1</c:v>
                </c:pt>
                <c:pt idx="1">
                  <c:v>Ano 2</c:v>
                </c:pt>
                <c:pt idx="2">
                  <c:v>Ano 3</c:v>
                </c:pt>
                <c:pt idx="3">
                  <c:v>Ano 4</c:v>
                </c:pt>
                <c:pt idx="4">
                  <c:v>Ano 5</c:v>
                </c:pt>
                <c:pt idx="5">
                  <c:v>Ano 6</c:v>
                </c:pt>
                <c:pt idx="6">
                  <c:v>Ano 7</c:v>
                </c:pt>
                <c:pt idx="7">
                  <c:v>Ano 8</c:v>
                </c:pt>
              </c:strCache>
            </c:strRef>
          </c:cat>
          <c:val>
            <c:numRef>
              <c:f>'Curva de juros'!$G$24:$G$31</c:f>
              <c:numCache>
                <c:formatCode>0.00%</c:formatCode>
                <c:ptCount val="8"/>
                <c:pt idx="0">
                  <c:v>0.10000000000000009</c:v>
                </c:pt>
                <c:pt idx="1">
                  <c:v>0.10498868772490177</c:v>
                </c:pt>
                <c:pt idx="2">
                  <c:v>0.10831576406970811</c:v>
                </c:pt>
                <c:pt idx="3">
                  <c:v>0.11122534551530205</c:v>
                </c:pt>
                <c:pt idx="4">
                  <c:v>0.11347118018817093</c:v>
                </c:pt>
                <c:pt idx="5">
                  <c:v>0.11497092436497836</c:v>
                </c:pt>
                <c:pt idx="6">
                  <c:v>0.11568797881233794</c:v>
                </c:pt>
                <c:pt idx="7">
                  <c:v>0.11560195825145181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92-440F-8884-09978CFE577F}"/>
            </c:ext>
          </c:extLst>
        </c:ser>
        <c:ser>
          <c:idx val="1"/>
          <c:order val="1"/>
          <c:tx>
            <c:strRef>
              <c:f>'Curva de juros'!$H$23</c:f>
              <c:strCache>
                <c:ptCount val="1"/>
                <c:pt idx="0">
                  <c:v>Curva de juros (seu cenário)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0"/>
                  <c:y val="6.4516129032258063E-2"/>
                </c:manualLayout>
              </c:layout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F92-440F-8884-09978CFE577F}"/>
                </c:ext>
              </c:extLst>
            </c:dLbl>
            <c:dLbl>
              <c:idx val="6"/>
              <c:layout>
                <c:manualLayout>
                  <c:x val="0"/>
                  <c:y val="6.4516129032257993E-2"/>
                </c:manualLayout>
              </c:layout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F92-440F-8884-09978CFE577F}"/>
                </c:ext>
              </c:extLst>
            </c:dLbl>
            <c:dLbl>
              <c:idx val="7"/>
              <c:layout>
                <c:manualLayout>
                  <c:x val="0"/>
                  <c:y val="4.3010752688172046E-2"/>
                </c:manualLayout>
              </c:layout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F92-440F-8884-09978CFE577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'Curva de juros'!$H$24:$H$31</c:f>
              <c:numCache>
                <c:formatCode>0.00%</c:formatCode>
                <c:ptCount val="8"/>
                <c:pt idx="0">
                  <c:v>0.10000000000000009</c:v>
                </c:pt>
                <c:pt idx="1">
                  <c:v>0.10498868772490177</c:v>
                </c:pt>
                <c:pt idx="2">
                  <c:v>0.10996996915749868</c:v>
                </c:pt>
                <c:pt idx="3">
                  <c:v>0.11370854612787129</c:v>
                </c:pt>
                <c:pt idx="4">
                  <c:v>0.11694793748162469</c:v>
                </c:pt>
                <c:pt idx="5">
                  <c:v>0.11952503693678751</c:v>
                </c:pt>
                <c:pt idx="6">
                  <c:v>0.12136946190862075</c:v>
                </c:pt>
                <c:pt idx="7">
                  <c:v>0.1224446639684218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92-440F-8884-09978CFE57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3915439"/>
        <c:axId val="1813915023"/>
      </c:lineChart>
      <c:catAx>
        <c:axId val="1813915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3915023"/>
        <c:crosses val="autoZero"/>
        <c:auto val="1"/>
        <c:lblAlgn val="ctr"/>
        <c:lblOffset val="100"/>
        <c:noMultiLvlLbl val="0"/>
      </c:catAx>
      <c:valAx>
        <c:axId val="1813915023"/>
        <c:scaling>
          <c:orientation val="minMax"/>
          <c:min val="9.5000000000000029E-2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39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Tempo médio por volta ou "curva</a:t>
            </a:r>
            <a:r>
              <a:rPr lang="en-US" baseline="0"/>
              <a:t> de juros" da minha corrida de kart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'Curva Kart'!$E$3</c:f>
              <c:strCache>
                <c:ptCount val="1"/>
                <c:pt idx="0">
                  <c:v>Tempo médio por volta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'Curva Kart'!$B$4:$B$11</c:f>
              <c:strCache>
                <c:ptCount val="8"/>
                <c:pt idx="0">
                  <c:v>Volta 1</c:v>
                </c:pt>
                <c:pt idx="1">
                  <c:v>Volta 2</c:v>
                </c:pt>
                <c:pt idx="2">
                  <c:v>Volta 3</c:v>
                </c:pt>
                <c:pt idx="3">
                  <c:v>Volta 4</c:v>
                </c:pt>
                <c:pt idx="4">
                  <c:v>Volta 5</c:v>
                </c:pt>
                <c:pt idx="5">
                  <c:v>Volta 6</c:v>
                </c:pt>
                <c:pt idx="6">
                  <c:v>Volta 7</c:v>
                </c:pt>
                <c:pt idx="7">
                  <c:v>Volta 8</c:v>
                </c:pt>
              </c:strCache>
            </c:strRef>
          </c:cat>
          <c:val>
            <c:numRef>
              <c:f>'Curva Kart'!$E$4:$E$11</c:f>
              <c:numCache>
                <c:formatCode>h:mm</c:formatCode>
                <c:ptCount val="8"/>
                <c:pt idx="0">
                  <c:v>8.3333333333333329E-2</c:v>
                </c:pt>
                <c:pt idx="1">
                  <c:v>9.375E-2</c:v>
                </c:pt>
                <c:pt idx="2">
                  <c:v>0.10069444444444443</c:v>
                </c:pt>
                <c:pt idx="3">
                  <c:v>0.10503472222222222</c:v>
                </c:pt>
                <c:pt idx="4">
                  <c:v>0.10902777777777777</c:v>
                </c:pt>
                <c:pt idx="5">
                  <c:v>0.11284722222222221</c:v>
                </c:pt>
                <c:pt idx="6">
                  <c:v>0.11507936507936507</c:v>
                </c:pt>
                <c:pt idx="7">
                  <c:v>0.11631944444444443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25-42F0-AF48-3DF2F33B6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3915439"/>
        <c:axId val="1813915023"/>
      </c:lineChart>
      <c:catAx>
        <c:axId val="1813915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3915023"/>
        <c:crosses val="autoZero"/>
        <c:auto val="1"/>
        <c:lblAlgn val="ctr"/>
        <c:lblOffset val="100"/>
        <c:noMultiLvlLbl val="0"/>
      </c:catAx>
      <c:valAx>
        <c:axId val="1813915023"/>
        <c:scaling>
          <c:orientation val="minMax"/>
          <c:min val="8.0000000000000016E-2"/>
        </c:scaling>
        <c:delete val="0"/>
        <c:axPos val="l"/>
        <c:numFmt formatCode="h:mm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391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147410</xdr:colOff>
      <xdr:row>0</xdr:row>
      <xdr:rowOff>0</xdr:rowOff>
    </xdr:from>
    <xdr:to>
      <xdr:col>13</xdr:col>
      <xdr:colOff>156936</xdr:colOff>
      <xdr:row>16</xdr:row>
      <xdr:rowOff>114300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416D51F-DCD8-4053-8F92-1FF08CA15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114300</xdr:colOff>
      <xdr:row>17</xdr:row>
      <xdr:rowOff>28575</xdr:rowOff>
    </xdr:from>
    <xdr:to>
      <xdr:col>21</xdr:col>
      <xdr:colOff>9526</xdr:colOff>
      <xdr:row>32</xdr:row>
      <xdr:rowOff>142875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6255926E-0F64-4A00-A479-3EE653D160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0</xdr:row>
      <xdr:rowOff>19050</xdr:rowOff>
    </xdr:from>
    <xdr:to>
      <xdr:col>18</xdr:col>
      <xdr:colOff>123825</xdr:colOff>
      <xdr:row>21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4E5A3432-C60F-F5DD-3AC2-F248D93F6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7C936-E3D0-40B6-98A8-756C47F78B5A}">
  <dimension ref="B3:T31"/>
  <sheetViews>
    <sheetView showGridLines="0" tabSelected="1" zoomScale="70" zoomScaleNormal="70" workbookViewId="0">
      <selection activeCell="E16" sqref="E16"/>
    </sheetView>
  </sheetViews>
  <sheetFormatPr defaultRowHeight="14.5" x14ac:dyDescent="0.35"/>
  <cols>
    <col min="2" max="2" width="5.6328125" bestFit="1" customWidth="1"/>
    <col min="3" max="3" width="6.81640625" bestFit="1" customWidth="1"/>
    <col min="4" max="4" width="15.81640625" bestFit="1" customWidth="1"/>
    <col min="5" max="5" width="24.7265625" bestFit="1" customWidth="1"/>
    <col min="6" max="6" width="27.453125" bestFit="1" customWidth="1"/>
    <col min="7" max="8" width="17.453125" bestFit="1" customWidth="1"/>
    <col min="9" max="9" width="0" hidden="1" customWidth="1"/>
    <col min="20" max="20" width="0" hidden="1" customWidth="1"/>
  </cols>
  <sheetData>
    <row r="3" spans="2:20" x14ac:dyDescent="0.35">
      <c r="C3" s="1" t="s">
        <v>11</v>
      </c>
      <c r="D3" s="1" t="s">
        <v>26</v>
      </c>
      <c r="E3" s="1" t="s">
        <v>27</v>
      </c>
    </row>
    <row r="4" spans="2:20" ht="18.5" x14ac:dyDescent="0.45">
      <c r="B4" s="1" t="s">
        <v>12</v>
      </c>
      <c r="C4" s="12">
        <v>0.1</v>
      </c>
      <c r="D4" s="5">
        <f>+C4</f>
        <v>0.1</v>
      </c>
      <c r="E4" s="7">
        <f t="shared" ref="E4:E11" si="0">+(1+D4)^(1/T4)-1</f>
        <v>0.10000000000000009</v>
      </c>
      <c r="T4">
        <v>1</v>
      </c>
    </row>
    <row r="5" spans="2:20" ht="18.5" x14ac:dyDescent="0.45">
      <c r="B5" s="1" t="s">
        <v>13</v>
      </c>
      <c r="C5" s="12">
        <v>0.11</v>
      </c>
      <c r="D5" s="6">
        <f>+(1+D4)*(1+C5)-1</f>
        <v>0.22100000000000031</v>
      </c>
      <c r="E5" s="7">
        <f t="shared" si="0"/>
        <v>0.10498868772490177</v>
      </c>
      <c r="T5">
        <v>2</v>
      </c>
    </row>
    <row r="6" spans="2:20" ht="18.5" x14ac:dyDescent="0.45">
      <c r="B6" s="1" t="s">
        <v>14</v>
      </c>
      <c r="C6" s="12">
        <v>0.115</v>
      </c>
      <c r="D6" s="6">
        <f t="shared" ref="D6:D11" si="1">+(1+D5)*(1+C6)-1</f>
        <v>0.36141500000000026</v>
      </c>
      <c r="E6" s="7">
        <f t="shared" si="0"/>
        <v>0.10831576406970811</v>
      </c>
      <c r="T6">
        <v>3</v>
      </c>
    </row>
    <row r="7" spans="2:20" ht="18.5" x14ac:dyDescent="0.45">
      <c r="B7" s="1" t="s">
        <v>15</v>
      </c>
      <c r="C7" s="12">
        <v>0.12</v>
      </c>
      <c r="D7" s="6">
        <f t="shared" si="1"/>
        <v>0.52478480000000038</v>
      </c>
      <c r="E7" s="7">
        <f t="shared" si="0"/>
        <v>0.11122534551530205</v>
      </c>
      <c r="T7">
        <v>4</v>
      </c>
    </row>
    <row r="8" spans="2:20" ht="18.5" x14ac:dyDescent="0.45">
      <c r="B8" s="1" t="s">
        <v>16</v>
      </c>
      <c r="C8" s="12">
        <v>0.1225</v>
      </c>
      <c r="D8" s="6">
        <f t="shared" si="1"/>
        <v>0.7115709380000006</v>
      </c>
      <c r="E8" s="7">
        <f t="shared" si="0"/>
        <v>0.11347118018817093</v>
      </c>
      <c r="T8">
        <v>5</v>
      </c>
    </row>
    <row r="9" spans="2:20" ht="18.5" x14ac:dyDescent="0.45">
      <c r="B9" s="1" t="s">
        <v>17</v>
      </c>
      <c r="C9" s="12">
        <v>0.1225</v>
      </c>
      <c r="D9" s="6">
        <f t="shared" si="1"/>
        <v>0.92123837790500085</v>
      </c>
      <c r="E9" s="7">
        <f t="shared" si="0"/>
        <v>0.11497092436497836</v>
      </c>
      <c r="T9">
        <v>6</v>
      </c>
    </row>
    <row r="10" spans="2:20" ht="18.5" x14ac:dyDescent="0.45">
      <c r="B10" s="1" t="s">
        <v>18</v>
      </c>
      <c r="C10" s="12">
        <v>0.12</v>
      </c>
      <c r="D10" s="6">
        <f t="shared" si="1"/>
        <v>1.1517869832536012</v>
      </c>
      <c r="E10" s="7">
        <f t="shared" si="0"/>
        <v>0.11568797881233794</v>
      </c>
      <c r="T10">
        <v>7</v>
      </c>
    </row>
    <row r="11" spans="2:20" ht="18.5" x14ac:dyDescent="0.45">
      <c r="B11" s="1" t="s">
        <v>19</v>
      </c>
      <c r="C11" s="12">
        <v>0.115</v>
      </c>
      <c r="D11" s="6">
        <f t="shared" si="1"/>
        <v>1.3992424863277653</v>
      </c>
      <c r="E11" s="7">
        <f t="shared" si="0"/>
        <v>0.11560195825145181</v>
      </c>
      <c r="T11">
        <v>8</v>
      </c>
    </row>
    <row r="23" spans="2:9" ht="29" x14ac:dyDescent="0.35">
      <c r="C23" s="8" t="s">
        <v>25</v>
      </c>
      <c r="D23" s="9" t="s">
        <v>20</v>
      </c>
      <c r="E23" s="8" t="s">
        <v>21</v>
      </c>
      <c r="F23" s="9" t="s">
        <v>22</v>
      </c>
      <c r="G23" s="10" t="s">
        <v>23</v>
      </c>
      <c r="H23" s="11" t="s">
        <v>24</v>
      </c>
    </row>
    <row r="24" spans="2:9" ht="18.5" x14ac:dyDescent="0.45">
      <c r="B24" s="1" t="s">
        <v>12</v>
      </c>
      <c r="C24" s="12">
        <v>0.1</v>
      </c>
      <c r="D24" s="12">
        <v>0.1</v>
      </c>
      <c r="E24" s="5">
        <f>+C24</f>
        <v>0.1</v>
      </c>
      <c r="F24" s="5">
        <f>+D24</f>
        <v>0.1</v>
      </c>
      <c r="G24" s="7">
        <f>+(1+E24)^(1/I24)-1</f>
        <v>0.10000000000000009</v>
      </c>
      <c r="H24" s="7">
        <f>+(1+F24)^(1/I24)-1</f>
        <v>0.10000000000000009</v>
      </c>
      <c r="I24">
        <v>1</v>
      </c>
    </row>
    <row r="25" spans="2:9" ht="18.5" x14ac:dyDescent="0.45">
      <c r="B25" s="1" t="s">
        <v>13</v>
      </c>
      <c r="C25" s="12">
        <v>0.11</v>
      </c>
      <c r="D25" s="13">
        <v>0.11</v>
      </c>
      <c r="E25" s="6">
        <f t="shared" ref="E25:F31" si="2">+(1+E24)*(1+C25)-1</f>
        <v>0.22100000000000031</v>
      </c>
      <c r="F25" s="6">
        <f>+(1+F24)*(1+D25)-1</f>
        <v>0.22100000000000031</v>
      </c>
      <c r="G25" s="7">
        <f t="shared" ref="G25:G31" si="3">+(1+E25)^(1/I25)-1</f>
        <v>0.10498868772490177</v>
      </c>
      <c r="H25" s="7">
        <f t="shared" ref="H25:H31" si="4">+(1+F25)^(1/I25)-1</f>
        <v>0.10498868772490177</v>
      </c>
      <c r="I25">
        <v>2</v>
      </c>
    </row>
    <row r="26" spans="2:9" ht="18.5" x14ac:dyDescent="0.45">
      <c r="B26" s="1" t="s">
        <v>14</v>
      </c>
      <c r="C26" s="12">
        <v>0.115</v>
      </c>
      <c r="D26" s="13">
        <v>0.12</v>
      </c>
      <c r="E26" s="6">
        <f>+(1+E25)*(1+C26)-1</f>
        <v>0.36141500000000026</v>
      </c>
      <c r="F26" s="6">
        <f>+(1+F25)*(1+D26)-1</f>
        <v>0.36752000000000051</v>
      </c>
      <c r="G26" s="7">
        <f t="shared" si="3"/>
        <v>0.10831576406970811</v>
      </c>
      <c r="H26" s="7">
        <f t="shared" si="4"/>
        <v>0.10996996915749868</v>
      </c>
      <c r="I26">
        <v>3</v>
      </c>
    </row>
    <row r="27" spans="2:9" ht="18.5" x14ac:dyDescent="0.45">
      <c r="B27" s="1" t="s">
        <v>15</v>
      </c>
      <c r="C27" s="12">
        <v>0.12</v>
      </c>
      <c r="D27" s="13">
        <v>0.125</v>
      </c>
      <c r="E27" s="6">
        <f>+(1+E26)*(1+C27)-1</f>
        <v>0.52478480000000038</v>
      </c>
      <c r="F27" s="6">
        <f>+(1+F26)*(1+D27)-1</f>
        <v>0.5384600000000006</v>
      </c>
      <c r="G27" s="7">
        <f t="shared" si="3"/>
        <v>0.11122534551530205</v>
      </c>
      <c r="H27" s="7">
        <f t="shared" si="4"/>
        <v>0.11370854612787129</v>
      </c>
      <c r="I27">
        <v>4</v>
      </c>
    </row>
    <row r="28" spans="2:9" ht="18.5" x14ac:dyDescent="0.45">
      <c r="B28" s="1" t="s">
        <v>16</v>
      </c>
      <c r="C28" s="12">
        <v>0.1225</v>
      </c>
      <c r="D28" s="13">
        <v>0.13</v>
      </c>
      <c r="E28" s="6">
        <f>+(1+E27)*(1+C28)-1</f>
        <v>0.7115709380000006</v>
      </c>
      <c r="F28" s="6">
        <f>+(1+F27)*(1+D28)-1</f>
        <v>0.73845980000000044</v>
      </c>
      <c r="G28" s="7">
        <f>+(1+E28)^(1/I28)-1</f>
        <v>0.11347118018817093</v>
      </c>
      <c r="H28" s="7">
        <f>+(1+F28)^(1/I28)-1</f>
        <v>0.11694793748162469</v>
      </c>
      <c r="I28">
        <v>5</v>
      </c>
    </row>
    <row r="29" spans="2:9" ht="18.5" x14ac:dyDescent="0.45">
      <c r="B29" s="1" t="s">
        <v>17</v>
      </c>
      <c r="C29" s="12">
        <v>0.1225</v>
      </c>
      <c r="D29" s="13">
        <v>0.13250000000000001</v>
      </c>
      <c r="E29" s="6">
        <f>+(1+E28)*(1+C29)-1</f>
        <v>0.92123837790500085</v>
      </c>
      <c r="F29" s="6">
        <f>+(1+F28)*(1+D29)-1</f>
        <v>0.96880572350000072</v>
      </c>
      <c r="G29" s="7">
        <f t="shared" si="3"/>
        <v>0.11497092436497836</v>
      </c>
      <c r="H29" s="7">
        <f t="shared" si="4"/>
        <v>0.11952503693678751</v>
      </c>
      <c r="I29">
        <v>6</v>
      </c>
    </row>
    <row r="30" spans="2:9" ht="18.5" x14ac:dyDescent="0.45">
      <c r="B30" s="1" t="s">
        <v>18</v>
      </c>
      <c r="C30" s="12">
        <v>0.12</v>
      </c>
      <c r="D30" s="13">
        <v>0.13250000000000001</v>
      </c>
      <c r="E30" s="6">
        <f>+(1+E29)*(1+C30)-1</f>
        <v>1.1517869832536012</v>
      </c>
      <c r="F30" s="6">
        <f>+(1+F29)*(1+D30)-1</f>
        <v>1.229672481863751</v>
      </c>
      <c r="G30" s="7">
        <f t="shared" si="3"/>
        <v>0.11568797881233794</v>
      </c>
      <c r="H30" s="7">
        <f t="shared" si="4"/>
        <v>0.12136946190862075</v>
      </c>
      <c r="I30">
        <v>7</v>
      </c>
    </row>
    <row r="31" spans="2:9" ht="18.5" x14ac:dyDescent="0.45">
      <c r="B31" s="1" t="s">
        <v>19</v>
      </c>
      <c r="C31" s="12">
        <v>0.115</v>
      </c>
      <c r="D31" s="13">
        <v>0.13</v>
      </c>
      <c r="E31" s="6">
        <f>+(1+E30)*(1+C31)-1</f>
        <v>1.3992424863277653</v>
      </c>
      <c r="F31" s="6">
        <f>+(1+F30)*(1+D31)-1</f>
        <v>1.5195299045060384</v>
      </c>
      <c r="G31" s="7">
        <f t="shared" si="3"/>
        <v>0.11560195825145181</v>
      </c>
      <c r="H31" s="7">
        <f t="shared" si="4"/>
        <v>0.1224446639684218</v>
      </c>
      <c r="I31">
        <v>8</v>
      </c>
    </row>
  </sheetData>
  <phoneticPr fontId="18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E7146-856F-4810-B741-5DEBD25B2D8F}">
  <dimension ref="B3:F11"/>
  <sheetViews>
    <sheetView showGridLines="0" workbookViewId="0">
      <selection activeCell="E17" sqref="E17"/>
    </sheetView>
  </sheetViews>
  <sheetFormatPr defaultRowHeight="14.5" x14ac:dyDescent="0.35"/>
  <cols>
    <col min="4" max="4" width="17.54296875" bestFit="1" customWidth="1"/>
    <col min="5" max="5" width="22" bestFit="1" customWidth="1"/>
    <col min="6" max="6" width="0" hidden="1" customWidth="1"/>
  </cols>
  <sheetData>
    <row r="3" spans="2:6" x14ac:dyDescent="0.35">
      <c r="C3" s="1" t="s">
        <v>8</v>
      </c>
      <c r="D3" s="1" t="s">
        <v>9</v>
      </c>
      <c r="E3" s="1" t="s">
        <v>10</v>
      </c>
    </row>
    <row r="4" spans="2:6" ht="18.5" x14ac:dyDescent="0.45">
      <c r="B4" s="1" t="s">
        <v>0</v>
      </c>
      <c r="C4" s="3">
        <v>8.3333333333333329E-2</v>
      </c>
      <c r="D4" s="2">
        <v>8.3333333333333329E-2</v>
      </c>
      <c r="E4" s="4">
        <f>+D4/F4</f>
        <v>8.3333333333333329E-2</v>
      </c>
      <c r="F4">
        <v>1</v>
      </c>
    </row>
    <row r="5" spans="2:6" ht="18.5" x14ac:dyDescent="0.45">
      <c r="B5" s="1" t="s">
        <v>1</v>
      </c>
      <c r="C5" s="3">
        <v>0.10416666666666667</v>
      </c>
      <c r="D5" s="2">
        <f>+D4+C5</f>
        <v>0.1875</v>
      </c>
      <c r="E5" s="4">
        <f>+D5/F5</f>
        <v>9.375E-2</v>
      </c>
      <c r="F5">
        <v>2</v>
      </c>
    </row>
    <row r="6" spans="2:6" ht="18.5" x14ac:dyDescent="0.45">
      <c r="B6" s="1" t="s">
        <v>2</v>
      </c>
      <c r="C6" s="3">
        <v>0.11458333333333333</v>
      </c>
      <c r="D6" s="2">
        <v>0.30208333333333331</v>
      </c>
      <c r="E6" s="4">
        <f t="shared" ref="E6:E11" si="0">+D6/F6</f>
        <v>0.10069444444444443</v>
      </c>
      <c r="F6">
        <v>3</v>
      </c>
    </row>
    <row r="7" spans="2:6" ht="18.5" x14ac:dyDescent="0.45">
      <c r="B7" s="1" t="s">
        <v>3</v>
      </c>
      <c r="C7" s="3">
        <v>0.11805555555555557</v>
      </c>
      <c r="D7" s="2">
        <v>0.4201388888888889</v>
      </c>
      <c r="E7" s="4">
        <f t="shared" si="0"/>
        <v>0.10503472222222222</v>
      </c>
      <c r="F7">
        <v>4</v>
      </c>
    </row>
    <row r="8" spans="2:6" ht="18.5" x14ac:dyDescent="0.45">
      <c r="B8" s="1" t="s">
        <v>4</v>
      </c>
      <c r="C8" s="3">
        <v>0.125</v>
      </c>
      <c r="D8" s="2">
        <v>0.54513888888888884</v>
      </c>
      <c r="E8" s="4">
        <f t="shared" si="0"/>
        <v>0.10902777777777777</v>
      </c>
      <c r="F8">
        <v>5</v>
      </c>
    </row>
    <row r="9" spans="2:6" ht="18.5" x14ac:dyDescent="0.45">
      <c r="B9" s="1" t="s">
        <v>5</v>
      </c>
      <c r="C9" s="3">
        <v>0.13194444444444445</v>
      </c>
      <c r="D9" s="2">
        <v>0.67708333333333326</v>
      </c>
      <c r="E9" s="4">
        <f t="shared" si="0"/>
        <v>0.11284722222222221</v>
      </c>
      <c r="F9">
        <v>6</v>
      </c>
    </row>
    <row r="10" spans="2:6" ht="18.5" x14ac:dyDescent="0.45">
      <c r="B10" s="1" t="s">
        <v>6</v>
      </c>
      <c r="C10" s="3">
        <v>0.12847222222222224</v>
      </c>
      <c r="D10" s="2">
        <v>0.80555555555555547</v>
      </c>
      <c r="E10" s="4">
        <f t="shared" si="0"/>
        <v>0.11507936507936507</v>
      </c>
      <c r="F10">
        <v>7</v>
      </c>
    </row>
    <row r="11" spans="2:6" ht="18.5" x14ac:dyDescent="0.45">
      <c r="B11" s="1" t="s">
        <v>7</v>
      </c>
      <c r="C11" s="3">
        <v>0.125</v>
      </c>
      <c r="D11" s="2">
        <v>0.93055555555555547</v>
      </c>
      <c r="E11" s="4">
        <f>+D11/F11</f>
        <v>0.11631944444444443</v>
      </c>
      <c r="F11">
        <v>8</v>
      </c>
    </row>
  </sheetData>
  <phoneticPr fontId="18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Curva de juros</vt:lpstr>
      <vt:lpstr>Curva Kart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Eduardo Maglio Colus</dc:creator>
  <cp:lastModifiedBy>Filipe Eduardo Maglio Colus</cp:lastModifiedBy>
  <dcterms:created xsi:type="dcterms:W3CDTF">2022-08-02T15:23:00Z</dcterms:created>
  <dcterms:modified xsi:type="dcterms:W3CDTF">2022-08-03T23:22:06Z</dcterms:modified>
</cp:coreProperties>
</file>