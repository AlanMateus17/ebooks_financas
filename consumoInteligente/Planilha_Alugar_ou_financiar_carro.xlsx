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álculos" sheetId="1" r:id="rId4"/>
  </sheets>
  <definedNames/>
  <calcPr/>
  <extLst>
    <ext uri="GoogleSheetsCustomDataVersion2">
      <go:sheetsCustomData xmlns:go="http://customooxmlschemas.google.com/" r:id="rId5" roundtripDataChecksum="BJWb9qXrX8ytq4BipgltAFbXOAO6rqdhZ49WL6RccA8="/>
    </ext>
  </extLst>
</workbook>
</file>

<file path=xl/sharedStrings.xml><?xml version="1.0" encoding="utf-8"?>
<sst xmlns="http://schemas.openxmlformats.org/spreadsheetml/2006/main" count="51" uniqueCount="42">
  <si>
    <t>Alugar ou Financiar um Carro?</t>
  </si>
  <si>
    <t>Valor do veículo</t>
  </si>
  <si>
    <t>Cálculos - Custos implícitos e explícitos de se adquirir um veículo</t>
  </si>
  <si>
    <t>À vista</t>
  </si>
  <si>
    <t>Financiamento 100%</t>
  </si>
  <si>
    <t>Financiamento 70%</t>
  </si>
  <si>
    <t>Financiamento 50%</t>
  </si>
  <si>
    <t>Valor pago em 5 anos</t>
  </si>
  <si>
    <t>Valor depois de 5 anos</t>
  </si>
  <si>
    <t>Desvalorização em 5 anos</t>
  </si>
  <si>
    <t>Seguro (4%)</t>
  </si>
  <si>
    <t>Manutenção/Rev.em 5 anos</t>
  </si>
  <si>
    <t>IPVA Acumulado 5 anos</t>
  </si>
  <si>
    <t>Valor do Carro 0km</t>
  </si>
  <si>
    <t>Depreciação Média</t>
  </si>
  <si>
    <t>Seguro</t>
  </si>
  <si>
    <t>Manutenção/Revisão</t>
  </si>
  <si>
    <t>IPVA</t>
  </si>
  <si>
    <t>Custo (deixar de investir)</t>
  </si>
  <si>
    <t>Ano 0</t>
  </si>
  <si>
    <t>1º Ano</t>
  </si>
  <si>
    <t>Custo médio por mês</t>
  </si>
  <si>
    <t>2º Ano</t>
  </si>
  <si>
    <t>3º Ano</t>
  </si>
  <si>
    <t>Como interpretar a tabela?</t>
  </si>
  <si>
    <t>4º Ano</t>
  </si>
  <si>
    <r>
      <rPr>
        <rFont val="Calibri"/>
        <b/>
        <color rgb="FFFF0000"/>
        <sz val="14.0"/>
      </rPr>
      <t>1º Passo</t>
    </r>
    <r>
      <rPr>
        <rFont val="Calibri"/>
        <color theme="0"/>
        <sz val="11.0"/>
      </rPr>
      <t xml:space="preserve"> - Na célula "Valor do veículo" coloque o valor do veículo que você está pensando em adquirir.</t>
    </r>
  </si>
  <si>
    <t>5º Ano</t>
  </si>
  <si>
    <r>
      <rPr>
        <rFont val="Calibri"/>
        <b/>
        <color rgb="FFFF0000"/>
        <sz val="14.0"/>
      </rPr>
      <t>2º Passo</t>
    </r>
    <r>
      <rPr>
        <rFont val="Calibri"/>
        <color theme="0"/>
        <sz val="11.0"/>
      </rPr>
      <t xml:space="preserve"> - Nas células destacadas em amarelo, na linha "Custo médio por mês" você consegue verificar o custo total por adquirir um veículo em 4 diferentes modos, são eles; à vista, finaciado 100%, financiado 70% e financiado 50%.</t>
    </r>
  </si>
  <si>
    <t>Depreciação em 5 anos</t>
  </si>
  <si>
    <t>Juros financiamento</t>
  </si>
  <si>
    <t>Taxa (a.a)</t>
  </si>
  <si>
    <t>Taxa (a.m)</t>
  </si>
  <si>
    <t>Valor do Carro</t>
  </si>
  <si>
    <t>Média</t>
  </si>
  <si>
    <t>Patrimônio em 5 anos</t>
  </si>
  <si>
    <t>De acordo com o Banco Central Brasileiro</t>
  </si>
  <si>
    <t>Custo de não investir</t>
  </si>
  <si>
    <t>Média Mês</t>
  </si>
  <si>
    <t>Valor da Prestação</t>
  </si>
  <si>
    <t>Valor total pago</t>
  </si>
  <si>
    <t>Juros Pagos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</si>
</sst>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&quot;\ #,##0.00;[Red]\-&quot;R$&quot;\ #,##0.00"/>
    <numFmt numFmtId="165" formatCode="&quot;R$&quot;\ #,##0.00"/>
    <numFmt numFmtId="166" formatCode="0.0%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Verdana"/>
    </font>
    <font/>
    <font>
      <b/>
      <sz val="16.0"/>
      <color theme="0"/>
      <name val="Calibri"/>
    </font>
    <font>
      <b/>
      <sz val="20.0"/>
      <color theme="1"/>
      <name val="Calibri"/>
    </font>
    <font>
      <b/>
      <sz val="18.0"/>
      <color theme="0"/>
      <name val="Calibri"/>
    </font>
    <font>
      <color theme="1"/>
      <name val="Calibri"/>
      <scheme val="minor"/>
    </font>
    <font>
      <sz val="14.0"/>
      <color theme="1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20.0"/>
      <color theme="0"/>
      <name val="Calibri"/>
    </font>
    <font>
      <sz val="11.0"/>
      <color theme="0"/>
      <name val="Calibri"/>
    </font>
    <font>
      <b/>
      <sz val="12.0"/>
      <color theme="0"/>
      <name val="Calibri"/>
    </font>
    <font>
      <b/>
      <sz val="18.0"/>
      <color rgb="FFFF0000"/>
      <name val="Calibri"/>
    </font>
    <font>
      <b/>
      <sz val="11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00A1E7"/>
        <bgColor rgb="FF00A1E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0" xfId="0" applyBorder="1" applyFont="1"/>
    <xf borderId="10" fillId="0" fontId="1" numFmtId="0" xfId="0" applyBorder="1" applyFont="1"/>
    <xf borderId="1" fillId="3" fontId="5" numFmtId="164" xfId="0" applyAlignment="1" applyBorder="1" applyFill="1" applyFont="1" applyNumberForma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0" fillId="4" fontId="1" numFmtId="0" xfId="0" applyBorder="1" applyFill="1" applyFont="1"/>
    <xf borderId="0" fillId="4" fontId="7" numFmtId="0" xfId="0" applyFont="1"/>
    <xf borderId="10" fillId="0" fontId="8" numFmtId="0" xfId="0" applyAlignment="1" applyBorder="1" applyFont="1">
      <alignment horizontal="center" vertical="center"/>
    </xf>
    <xf borderId="11" fillId="2" fontId="9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vertical="center"/>
    </xf>
    <xf borderId="11" fillId="0" fontId="10" numFmtId="165" xfId="0" applyAlignment="1" applyBorder="1" applyFont="1" applyNumberFormat="1">
      <alignment horizontal="center" vertical="center"/>
    </xf>
    <xf borderId="11" fillId="0" fontId="11" numFmtId="165" xfId="0" applyAlignment="1" applyBorder="1" applyFont="1" applyNumberFormat="1">
      <alignment horizontal="center" vertical="center"/>
    </xf>
    <xf borderId="11" fillId="5" fontId="11" numFmtId="165" xfId="0" applyAlignment="1" applyBorder="1" applyFill="1" applyFont="1" applyNumberFormat="1">
      <alignment horizontal="center" vertical="center"/>
    </xf>
    <xf borderId="10" fillId="0" fontId="1" numFmtId="0" xfId="0" applyAlignment="1" applyBorder="1" applyFont="1">
      <alignment horizontal="center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11" fillId="0" fontId="13" numFmtId="164" xfId="0" applyAlignment="1" applyBorder="1" applyFont="1" applyNumberFormat="1">
      <alignment horizontal="center" vertical="center"/>
    </xf>
    <xf borderId="11" fillId="0" fontId="13" numFmtId="9" xfId="0" applyAlignment="1" applyBorder="1" applyFont="1" applyNumberFormat="1">
      <alignment horizontal="center" vertical="center"/>
    </xf>
    <xf borderId="10" fillId="6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11" fillId="0" fontId="13" numFmtId="166" xfId="0" applyAlignment="1" applyBorder="1" applyFont="1" applyNumberFormat="1">
      <alignment horizontal="center" vertical="center"/>
    </xf>
    <xf borderId="11" fillId="7" fontId="11" numFmtId="165" xfId="0" applyAlignment="1" applyBorder="1" applyFill="1" applyFont="1" applyNumberFormat="1">
      <alignment horizontal="center" vertical="center"/>
    </xf>
    <xf borderId="12" fillId="2" fontId="14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2" fillId="8" fontId="15" numFmtId="0" xfId="0" applyAlignment="1" applyBorder="1" applyFill="1" applyFont="1">
      <alignment horizontal="left" vertical="center"/>
    </xf>
    <xf borderId="1" fillId="8" fontId="15" numFmtId="0" xfId="0" applyAlignment="1" applyBorder="1" applyFont="1">
      <alignment horizontal="left" shrinkToFit="0" vertical="center" wrapText="1"/>
    </xf>
    <xf borderId="1" fillId="2" fontId="16" numFmtId="0" xfId="0" applyAlignment="1" applyBorder="1" applyFont="1">
      <alignment horizontal="center" vertical="center"/>
    </xf>
    <xf borderId="15" fillId="0" fontId="17" numFmtId="10" xfId="0" applyAlignment="1" applyBorder="1" applyFont="1" applyNumberFormat="1">
      <alignment horizontal="center" vertical="center"/>
    </xf>
    <xf borderId="11" fillId="0" fontId="18" numFmtId="164" xfId="0" applyAlignment="1" applyBorder="1" applyFont="1" applyNumberFormat="1">
      <alignment horizontal="center" vertical="center"/>
    </xf>
    <xf borderId="16" fillId="0" fontId="17" numFmtId="10" xfId="0" applyAlignment="1" applyBorder="1" applyFont="1" applyNumberFormat="1">
      <alignment horizontal="center" vertical="center"/>
    </xf>
    <xf borderId="10" fillId="4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1" fillId="2" fontId="16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/>
    </xf>
    <xf borderId="11" fillId="9" fontId="9" numFmtId="0" xfId="0" applyAlignment="1" applyBorder="1" applyFill="1" applyFont="1">
      <alignment horizontal="center" vertical="center"/>
    </xf>
    <xf borderId="11" fillId="0" fontId="10" numFmtId="0" xfId="0" applyAlignment="1" applyBorder="1" applyFont="1">
      <alignment horizontal="center"/>
    </xf>
    <xf borderId="15" fillId="0" fontId="10" numFmtId="10" xfId="0" applyAlignment="1" applyBorder="1" applyFont="1" applyNumberFormat="1">
      <alignment horizontal="center" vertical="center"/>
    </xf>
    <xf borderId="11" fillId="10" fontId="9" numFmtId="0" xfId="0" applyAlignment="1" applyBorder="1" applyFill="1" applyFont="1">
      <alignment horizontal="center" vertical="center"/>
    </xf>
    <xf borderId="15" fillId="0" fontId="13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1" fillId="11" fontId="9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vertical="center"/>
    </xf>
    <xf borderId="10" fillId="0" fontId="1" numFmtId="165" xfId="0" applyAlignment="1" applyBorder="1" applyFont="1" applyNumberFormat="1">
      <alignment vertical="center"/>
    </xf>
    <xf borderId="16" fillId="0" fontId="3" numFmtId="0" xfId="0" applyBorder="1" applyFont="1"/>
    <xf borderId="10" fillId="0" fontId="15" numFmtId="10" xfId="0" applyBorder="1" applyFont="1" applyNumberFormat="1"/>
    <xf borderId="11" fillId="2" fontId="9" numFmtId="0" xfId="0" applyAlignment="1" applyBorder="1" applyFont="1">
      <alignment horizontal="center" vertical="center"/>
    </xf>
    <xf borderId="11" fillId="0" fontId="10" numFmtId="164" xfId="0" applyAlignment="1" applyBorder="1" applyFont="1" applyNumberFormat="1">
      <alignment horizontal="center" vertical="center"/>
    </xf>
    <xf borderId="11" fillId="0" fontId="8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15.14"/>
    <col customWidth="1" min="3" max="3" width="5.71"/>
    <col customWidth="1" min="4" max="4" width="33.86"/>
    <col customWidth="1" min="5" max="5" width="25.57"/>
    <col customWidth="1" min="6" max="6" width="27.0"/>
    <col customWidth="1" min="7" max="7" width="25.71"/>
    <col customWidth="1" min="8" max="8" width="24.43"/>
    <col customWidth="1" min="9" max="10" width="24.14"/>
    <col customWidth="1" min="11" max="12" width="19.14"/>
    <col customWidth="1" min="13" max="13" width="12.86"/>
    <col customWidth="1" min="14" max="14" width="18.29"/>
    <col customWidth="1" min="15" max="15" width="11.71"/>
    <col customWidth="1" min="16" max="16" width="20.14"/>
    <col customWidth="1" min="17" max="17" width="11.71"/>
    <col customWidth="1" min="18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1"/>
      <c r="E2" s="2" t="s">
        <v>0</v>
      </c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5" t="s">
        <v>1</v>
      </c>
      <c r="C3" s="4"/>
      <c r="D3" s="1"/>
      <c r="E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6"/>
      <c r="C4" s="7"/>
      <c r="D4" s="1"/>
      <c r="E4" s="8"/>
      <c r="F4" s="9"/>
      <c r="G4" s="9"/>
      <c r="H4" s="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1"/>
      <c r="B5" s="8"/>
      <c r="C5" s="10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B6" s="13">
        <v>70000.0</v>
      </c>
      <c r="C6" s="4"/>
      <c r="D6" s="12"/>
      <c r="E6" s="14" t="s">
        <v>2</v>
      </c>
      <c r="F6" s="3"/>
      <c r="G6" s="3"/>
      <c r="H6" s="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6"/>
      <c r="Y6" s="16"/>
      <c r="Z6" s="16"/>
    </row>
    <row r="7">
      <c r="B7" s="6"/>
      <c r="C7" s="7"/>
      <c r="D7" s="12"/>
      <c r="E7" s="6"/>
      <c r="H7" s="7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16"/>
      <c r="Z7" s="16"/>
    </row>
    <row r="8">
      <c r="B8" s="8"/>
      <c r="C8" s="10"/>
      <c r="D8" s="12"/>
      <c r="E8" s="8"/>
      <c r="F8" s="9"/>
      <c r="G8" s="9"/>
      <c r="H8" s="10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6"/>
      <c r="Y8" s="16"/>
      <c r="Z8" s="16"/>
    </row>
    <row r="9">
      <c r="C9" s="12"/>
      <c r="D9" s="17"/>
      <c r="E9" s="18" t="s">
        <v>3</v>
      </c>
      <c r="F9" s="18" t="s">
        <v>4</v>
      </c>
      <c r="G9" s="18" t="s">
        <v>5</v>
      </c>
      <c r="H9" s="18" t="s">
        <v>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16"/>
      <c r="Z9" s="16"/>
    </row>
    <row r="10">
      <c r="C10" s="12"/>
      <c r="D10" s="19" t="s">
        <v>7</v>
      </c>
      <c r="E10" s="20">
        <f>K16</f>
        <v>70000</v>
      </c>
      <c r="F10" s="20">
        <f t="shared" ref="F10:H10" si="1">F35</f>
        <v>111198.1141</v>
      </c>
      <c r="G10" s="20">
        <f t="shared" si="1"/>
        <v>98838.67988</v>
      </c>
      <c r="H10" s="20">
        <f t="shared" si="1"/>
        <v>90599.05705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6"/>
      <c r="Y10" s="16"/>
      <c r="Z10" s="16"/>
    </row>
    <row r="11">
      <c r="C11" s="12"/>
      <c r="D11" s="19" t="s">
        <v>8</v>
      </c>
      <c r="E11" s="20">
        <f t="shared" ref="E11:H11" si="2">$K$21</f>
        <v>42203.56454</v>
      </c>
      <c r="F11" s="20">
        <f t="shared" si="2"/>
        <v>42203.56454</v>
      </c>
      <c r="G11" s="20">
        <f t="shared" si="2"/>
        <v>42203.56454</v>
      </c>
      <c r="H11" s="20">
        <f t="shared" si="2"/>
        <v>42203.56454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  <c r="Y11" s="16"/>
      <c r="Z11" s="16"/>
    </row>
    <row r="12">
      <c r="A12" s="15"/>
      <c r="B12" s="15"/>
      <c r="C12" s="15"/>
      <c r="D12" s="19" t="s">
        <v>9</v>
      </c>
      <c r="E12" s="21">
        <f t="shared" ref="E12:H12" si="3">E11-E10</f>
        <v>-27796.43546</v>
      </c>
      <c r="F12" s="22">
        <f t="shared" si="3"/>
        <v>-68994.54957</v>
      </c>
      <c r="G12" s="22">
        <f t="shared" si="3"/>
        <v>-56635.11534</v>
      </c>
      <c r="H12" s="22">
        <f t="shared" si="3"/>
        <v>-48395.49252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/>
      <c r="Y12" s="16"/>
      <c r="Z12" s="16"/>
    </row>
    <row r="13">
      <c r="A13" s="15"/>
      <c r="B13" s="15"/>
      <c r="C13" s="15"/>
      <c r="D13" s="19" t="s">
        <v>10</v>
      </c>
      <c r="E13" s="21">
        <f t="shared" ref="E13:H13" si="4">$M$22*-1</f>
        <v>-11184.39678</v>
      </c>
      <c r="F13" s="21">
        <f t="shared" si="4"/>
        <v>-11184.39678</v>
      </c>
      <c r="G13" s="21">
        <f t="shared" si="4"/>
        <v>-11184.39678</v>
      </c>
      <c r="H13" s="21">
        <f t="shared" si="4"/>
        <v>-11184.39678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  <c r="Y13" s="16"/>
      <c r="Z13" s="16"/>
    </row>
    <row r="14">
      <c r="A14" s="15"/>
      <c r="B14" s="15"/>
      <c r="C14" s="15"/>
      <c r="D14" s="19" t="s">
        <v>11</v>
      </c>
      <c r="E14" s="21">
        <f t="shared" ref="E14:H14" si="5">$N$22*-1</f>
        <v>-7554.404518</v>
      </c>
      <c r="F14" s="21">
        <f t="shared" si="5"/>
        <v>-7554.404518</v>
      </c>
      <c r="G14" s="21">
        <f t="shared" si="5"/>
        <v>-7554.404518</v>
      </c>
      <c r="H14" s="21">
        <f t="shared" si="5"/>
        <v>-7554.404518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6"/>
      <c r="Y14" s="16"/>
      <c r="Z14" s="16"/>
    </row>
    <row r="15">
      <c r="A15" s="15"/>
      <c r="B15" s="15"/>
      <c r="C15" s="15"/>
      <c r="D15" s="19" t="s">
        <v>12</v>
      </c>
      <c r="E15" s="21">
        <f t="shared" ref="E15:H15" si="6">$O$22*-1</f>
        <v>-11184.39678</v>
      </c>
      <c r="F15" s="21">
        <f t="shared" si="6"/>
        <v>-11184.39678</v>
      </c>
      <c r="G15" s="21">
        <f t="shared" si="6"/>
        <v>-11184.39678</v>
      </c>
      <c r="H15" s="21">
        <f t="shared" si="6"/>
        <v>-11184.39678</v>
      </c>
      <c r="I15" s="15"/>
      <c r="J15" s="23"/>
      <c r="K15" s="24" t="s">
        <v>13</v>
      </c>
      <c r="L15" s="25" t="s">
        <v>14</v>
      </c>
      <c r="M15" s="25" t="s">
        <v>15</v>
      </c>
      <c r="N15" s="25" t="s">
        <v>16</v>
      </c>
      <c r="O15" s="25" t="s">
        <v>17</v>
      </c>
      <c r="P15" s="12"/>
      <c r="Q15" s="12"/>
      <c r="R15" s="12"/>
      <c r="S15" s="12"/>
      <c r="T15" s="12"/>
      <c r="U15" s="12"/>
      <c r="V15" s="12"/>
      <c r="W15" s="12"/>
    </row>
    <row r="16">
      <c r="A16" s="26"/>
      <c r="B16" s="26"/>
      <c r="C16" s="26"/>
      <c r="D16" s="19" t="s">
        <v>18</v>
      </c>
      <c r="E16" s="21">
        <f t="shared" ref="E16:H16" si="7">E28</f>
        <v>-81160.35329</v>
      </c>
      <c r="F16" s="21">
        <f t="shared" si="7"/>
        <v>-106693.0655</v>
      </c>
      <c r="G16" s="21">
        <f t="shared" si="7"/>
        <v>-100715.2153</v>
      </c>
      <c r="H16" s="21">
        <f t="shared" si="7"/>
        <v>-96729.98177</v>
      </c>
      <c r="I16" s="26"/>
      <c r="J16" s="27" t="s">
        <v>19</v>
      </c>
      <c r="K16" s="28">
        <f>B6</f>
        <v>70000</v>
      </c>
      <c r="L16" s="29">
        <v>0.0</v>
      </c>
      <c r="M16" s="30"/>
      <c r="N16" s="30"/>
      <c r="O16" s="30"/>
      <c r="P16" s="31"/>
      <c r="Q16" s="31"/>
      <c r="R16" s="31"/>
      <c r="S16" s="31"/>
      <c r="T16" s="31"/>
      <c r="U16" s="31"/>
      <c r="V16" s="31"/>
      <c r="W16" s="31"/>
      <c r="X16" s="32"/>
      <c r="Y16" s="32"/>
      <c r="Z16" s="32"/>
    </row>
    <row r="17">
      <c r="A17" s="26"/>
      <c r="B17" s="26"/>
      <c r="C17" s="26"/>
      <c r="D17" s="31"/>
      <c r="E17" s="33"/>
      <c r="F17" s="33"/>
      <c r="G17" s="33"/>
      <c r="H17" s="33"/>
      <c r="I17" s="26"/>
      <c r="J17" s="27" t="s">
        <v>20</v>
      </c>
      <c r="K17" s="34">
        <f t="shared" ref="K17:K21" si="9">K16*(1-L17)</f>
        <v>60942</v>
      </c>
      <c r="L17" s="35">
        <f>(7%+18.88%)/2</f>
        <v>0.1294</v>
      </c>
      <c r="M17" s="34">
        <f t="shared" ref="M17:M21" si="10">K16*0.04</f>
        <v>2800</v>
      </c>
      <c r="N17" s="34">
        <f t="shared" ref="N17:N21" si="11">K17*0.03</f>
        <v>1828.26</v>
      </c>
      <c r="O17" s="34">
        <f t="shared" ref="O17:O21" si="12">K16*0.04</f>
        <v>2800</v>
      </c>
      <c r="P17" s="31"/>
      <c r="Q17" s="31"/>
      <c r="R17" s="31"/>
      <c r="S17" s="31"/>
      <c r="T17" s="31"/>
      <c r="U17" s="31"/>
      <c r="V17" s="31"/>
      <c r="W17" s="31"/>
      <c r="X17" s="32"/>
      <c r="Y17" s="32"/>
      <c r="Z17" s="32"/>
    </row>
    <row r="18" ht="22.5" customHeight="1">
      <c r="A18" s="26"/>
      <c r="B18" s="26"/>
      <c r="C18" s="26"/>
      <c r="D18" s="19" t="s">
        <v>21</v>
      </c>
      <c r="E18" s="36">
        <f t="shared" ref="E18:H18" si="8">SUM(E11:E16)/60</f>
        <v>-1611.273705</v>
      </c>
      <c r="F18" s="36">
        <f t="shared" si="8"/>
        <v>-2723.454144</v>
      </c>
      <c r="G18" s="36">
        <f t="shared" si="8"/>
        <v>-2417.832736</v>
      </c>
      <c r="H18" s="36">
        <f t="shared" si="8"/>
        <v>-2214.08513</v>
      </c>
      <c r="I18" s="26"/>
      <c r="J18" s="27" t="s">
        <v>22</v>
      </c>
      <c r="K18" s="34">
        <f t="shared" si="9"/>
        <v>54238.98942</v>
      </c>
      <c r="L18" s="35">
        <f t="shared" ref="L18:L21" si="13">L17*0.85</f>
        <v>0.10999</v>
      </c>
      <c r="M18" s="34">
        <f t="shared" si="10"/>
        <v>2437.68</v>
      </c>
      <c r="N18" s="34">
        <f t="shared" si="11"/>
        <v>1627.169683</v>
      </c>
      <c r="O18" s="34">
        <f t="shared" si="12"/>
        <v>2437.68</v>
      </c>
      <c r="P18" s="31"/>
      <c r="Q18" s="31"/>
      <c r="R18" s="31"/>
      <c r="S18" s="31"/>
      <c r="T18" s="31"/>
      <c r="U18" s="31"/>
      <c r="V18" s="31"/>
      <c r="W18" s="31"/>
      <c r="X18" s="32"/>
      <c r="Y18" s="32"/>
      <c r="Z18" s="32"/>
    </row>
    <row r="19" ht="22.5" customHeight="1">
      <c r="A19" s="31"/>
      <c r="B19" s="31"/>
      <c r="C19" s="31"/>
      <c r="D19" s="31"/>
      <c r="E19" s="31"/>
      <c r="F19" s="31"/>
      <c r="G19" s="31"/>
      <c r="H19" s="31"/>
      <c r="I19" s="26"/>
      <c r="J19" s="27" t="s">
        <v>23</v>
      </c>
      <c r="K19" s="34">
        <f t="shared" si="9"/>
        <v>49168.10494</v>
      </c>
      <c r="L19" s="35">
        <f t="shared" si="13"/>
        <v>0.0934915</v>
      </c>
      <c r="M19" s="34">
        <f t="shared" si="10"/>
        <v>2169.559577</v>
      </c>
      <c r="N19" s="34">
        <f t="shared" si="11"/>
        <v>1475.043148</v>
      </c>
      <c r="O19" s="34">
        <f t="shared" si="12"/>
        <v>2169.559577</v>
      </c>
      <c r="P19" s="31"/>
      <c r="Q19" s="31"/>
      <c r="R19" s="31"/>
      <c r="S19" s="31"/>
      <c r="T19" s="31"/>
      <c r="U19" s="31"/>
      <c r="V19" s="31"/>
      <c r="W19" s="31"/>
      <c r="X19" s="32"/>
      <c r="Y19" s="32"/>
      <c r="Z19" s="32"/>
    </row>
    <row r="20" ht="22.5" customHeight="1">
      <c r="A20" s="26"/>
      <c r="B20" s="26"/>
      <c r="C20" s="26"/>
      <c r="D20" s="37" t="s">
        <v>24</v>
      </c>
      <c r="E20" s="38"/>
      <c r="F20" s="38"/>
      <c r="G20" s="38"/>
      <c r="H20" s="39"/>
      <c r="I20" s="26"/>
      <c r="J20" s="27" t="s">
        <v>25</v>
      </c>
      <c r="K20" s="34">
        <f t="shared" si="9"/>
        <v>45260.82504</v>
      </c>
      <c r="L20" s="35">
        <f t="shared" si="13"/>
        <v>0.079467775</v>
      </c>
      <c r="M20" s="34">
        <f t="shared" si="10"/>
        <v>1966.724198</v>
      </c>
      <c r="N20" s="34">
        <f t="shared" si="11"/>
        <v>1357.824751</v>
      </c>
      <c r="O20" s="34">
        <f t="shared" si="12"/>
        <v>1966.724198</v>
      </c>
      <c r="P20" s="31"/>
      <c r="Q20" s="31"/>
      <c r="R20" s="31"/>
      <c r="S20" s="31"/>
      <c r="T20" s="31"/>
      <c r="U20" s="31"/>
      <c r="V20" s="31"/>
      <c r="W20" s="31"/>
      <c r="X20" s="32"/>
      <c r="Y20" s="32"/>
      <c r="Z20" s="32"/>
    </row>
    <row r="21" ht="22.5" customHeight="1">
      <c r="A21" s="26"/>
      <c r="B21" s="26"/>
      <c r="C21" s="26"/>
      <c r="D21" s="40" t="s">
        <v>26</v>
      </c>
      <c r="E21" s="38"/>
      <c r="F21" s="38"/>
      <c r="G21" s="38"/>
      <c r="H21" s="39"/>
      <c r="I21" s="26"/>
      <c r="J21" s="27" t="s">
        <v>27</v>
      </c>
      <c r="K21" s="34">
        <f t="shared" si="9"/>
        <v>42203.56454</v>
      </c>
      <c r="L21" s="35">
        <f t="shared" si="13"/>
        <v>0.06754760875</v>
      </c>
      <c r="M21" s="34">
        <f t="shared" si="10"/>
        <v>1810.433002</v>
      </c>
      <c r="N21" s="34">
        <f t="shared" si="11"/>
        <v>1266.106936</v>
      </c>
      <c r="O21" s="34">
        <f t="shared" si="12"/>
        <v>1810.433002</v>
      </c>
      <c r="P21" s="31"/>
      <c r="Q21" s="31"/>
      <c r="R21" s="31"/>
      <c r="S21" s="31"/>
      <c r="T21" s="31"/>
      <c r="U21" s="31"/>
      <c r="V21" s="31"/>
      <c r="W21" s="31"/>
      <c r="X21" s="32"/>
      <c r="Y21" s="32"/>
      <c r="Z21" s="32"/>
    </row>
    <row r="22" ht="22.5" customHeight="1">
      <c r="A22" s="26"/>
      <c r="B22" s="26"/>
      <c r="C22" s="26"/>
      <c r="D22" s="41" t="s">
        <v>28</v>
      </c>
      <c r="E22" s="3"/>
      <c r="F22" s="3"/>
      <c r="G22" s="3"/>
      <c r="H22" s="4"/>
      <c r="I22" s="26"/>
      <c r="J22" s="42" t="s">
        <v>29</v>
      </c>
      <c r="K22" s="4"/>
      <c r="L22" s="43">
        <f>K21/K16-1</f>
        <v>-0.3970919352</v>
      </c>
      <c r="M22" s="44">
        <f t="shared" ref="M22:O22" si="14">SUM(M17:M21)</f>
        <v>11184.39678</v>
      </c>
      <c r="N22" s="44">
        <f t="shared" si="14"/>
        <v>7554.404518</v>
      </c>
      <c r="O22" s="44">
        <f t="shared" si="14"/>
        <v>11184.39678</v>
      </c>
      <c r="P22" s="31"/>
      <c r="Q22" s="31"/>
      <c r="R22" s="31"/>
      <c r="S22" s="31"/>
      <c r="T22" s="31"/>
      <c r="U22" s="31"/>
      <c r="V22" s="31"/>
      <c r="W22" s="31"/>
      <c r="X22" s="32"/>
      <c r="Y22" s="32"/>
      <c r="Z22" s="32"/>
    </row>
    <row r="23" ht="22.5" customHeight="1">
      <c r="A23" s="26"/>
      <c r="B23" s="26"/>
      <c r="C23" s="26"/>
      <c r="D23" s="8"/>
      <c r="E23" s="9"/>
      <c r="F23" s="9"/>
      <c r="G23" s="9"/>
      <c r="H23" s="10"/>
      <c r="I23" s="26"/>
      <c r="J23" s="8"/>
      <c r="K23" s="10"/>
      <c r="L23" s="45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2"/>
      <c r="Y23" s="32"/>
      <c r="Z23" s="32"/>
    </row>
    <row r="24">
      <c r="A24" s="46"/>
      <c r="B24" s="46"/>
      <c r="C24" s="4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47"/>
      <c r="Y24" s="47"/>
      <c r="Z24" s="47"/>
    </row>
    <row r="25" ht="30.0" customHeight="1">
      <c r="A25" s="46"/>
      <c r="B25" s="46"/>
      <c r="C25" s="46"/>
      <c r="D25" s="17"/>
      <c r="E25" s="48" t="s">
        <v>3</v>
      </c>
      <c r="F25" s="48" t="s">
        <v>4</v>
      </c>
      <c r="G25" s="48" t="s">
        <v>5</v>
      </c>
      <c r="H25" s="48" t="s">
        <v>6</v>
      </c>
      <c r="I25" s="15"/>
      <c r="J25" s="49" t="s">
        <v>30</v>
      </c>
      <c r="K25" s="49" t="s">
        <v>31</v>
      </c>
      <c r="L25" s="49" t="s">
        <v>32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47"/>
      <c r="Y25" s="47"/>
      <c r="Z25" s="47"/>
    </row>
    <row r="26" ht="30.0" customHeight="1">
      <c r="A26" s="46"/>
      <c r="B26" s="46"/>
      <c r="C26" s="46"/>
      <c r="D26" s="50" t="s">
        <v>33</v>
      </c>
      <c r="E26" s="20">
        <f t="shared" ref="E26:H26" si="15">$K$21</f>
        <v>42203.56454</v>
      </c>
      <c r="F26" s="20">
        <f t="shared" si="15"/>
        <v>42203.56454</v>
      </c>
      <c r="G26" s="20">
        <f t="shared" si="15"/>
        <v>42203.56454</v>
      </c>
      <c r="H26" s="20">
        <f t="shared" si="15"/>
        <v>42203.56454</v>
      </c>
      <c r="I26" s="15"/>
      <c r="J26" s="51" t="s">
        <v>34</v>
      </c>
      <c r="K26" s="52">
        <v>0.219</v>
      </c>
      <c r="L26" s="52">
        <f>(1+K26)^(1/12)-1</f>
        <v>0.01663949044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47"/>
      <c r="Y26" s="47"/>
      <c r="Z26" s="47"/>
    </row>
    <row r="27" ht="15.75" customHeight="1">
      <c r="A27" s="15"/>
      <c r="B27" s="15"/>
      <c r="C27" s="15"/>
      <c r="D27" s="53" t="s">
        <v>35</v>
      </c>
      <c r="E27" s="20">
        <f>K16*(1+12%)^5</f>
        <v>123363.9178</v>
      </c>
      <c r="F27" s="20">
        <f>FV($F$31,60,F$34)*-1</f>
        <v>148896.6301</v>
      </c>
      <c r="G27" s="20">
        <f>0.3*K16*(1+13%)^5+(FV(F31,60,G34,0)*-1)</f>
        <v>142918.7798</v>
      </c>
      <c r="H27" s="20">
        <f>0.5*K16*(1+13%)^5+(FV(F31,60,H34,0)*-1)</f>
        <v>138933.5463</v>
      </c>
      <c r="I27" s="15"/>
      <c r="J27" s="54" t="s">
        <v>36</v>
      </c>
      <c r="K27" s="55"/>
      <c r="L27" s="55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ht="15.75" customHeight="1">
      <c r="A28" s="15"/>
      <c r="B28" s="15"/>
      <c r="C28" s="15"/>
      <c r="D28" s="56" t="s">
        <v>37</v>
      </c>
      <c r="E28" s="21">
        <f t="shared" ref="E28:H28" si="16">E26-E27</f>
        <v>-81160.35329</v>
      </c>
      <c r="F28" s="21">
        <f t="shared" si="16"/>
        <v>-106693.0655</v>
      </c>
      <c r="G28" s="21">
        <f t="shared" si="16"/>
        <v>-100715.2153</v>
      </c>
      <c r="H28" s="21">
        <f t="shared" si="16"/>
        <v>-96729.98177</v>
      </c>
      <c r="I28" s="15"/>
      <c r="J28" s="55"/>
      <c r="K28" s="55"/>
      <c r="L28" s="55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ht="15.75" customHeight="1">
      <c r="A29" s="15"/>
      <c r="B29" s="15"/>
      <c r="C29" s="15"/>
      <c r="D29" s="57"/>
      <c r="E29" s="58"/>
      <c r="F29" s="58"/>
      <c r="G29" s="58"/>
      <c r="H29" s="58"/>
      <c r="I29" s="12"/>
      <c r="J29" s="59"/>
      <c r="K29" s="59"/>
      <c r="L29" s="59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ht="39.75" customHeight="1">
      <c r="A30" s="15"/>
      <c r="B30" s="15"/>
      <c r="C30" s="15"/>
      <c r="D30" s="56" t="s">
        <v>38</v>
      </c>
      <c r="E30" s="21">
        <f t="shared" ref="E30:H30" si="17">E28/60</f>
        <v>-1352.672555</v>
      </c>
      <c r="F30" s="21">
        <f t="shared" si="17"/>
        <v>-1778.217759</v>
      </c>
      <c r="G30" s="21">
        <f t="shared" si="17"/>
        <v>-1678.586921</v>
      </c>
      <c r="H30" s="21">
        <f t="shared" si="17"/>
        <v>-1612.166363</v>
      </c>
      <c r="I30" s="1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ht="15.75" customHeight="1">
      <c r="A31" s="12"/>
      <c r="B31" s="12"/>
      <c r="C31" s="12"/>
      <c r="D31" s="12"/>
      <c r="E31" s="12"/>
      <c r="F31" s="60">
        <f>(1+12%)^(1/12)-1</f>
        <v>0.009488792935</v>
      </c>
      <c r="G31" s="12"/>
      <c r="H31" s="12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ht="15.75" customHeight="1">
      <c r="A32" s="15"/>
      <c r="B32" s="15"/>
      <c r="C32" s="15"/>
      <c r="D32" s="17"/>
      <c r="E32" s="61" t="s">
        <v>3</v>
      </c>
      <c r="F32" s="61" t="s">
        <v>4</v>
      </c>
      <c r="G32" s="61" t="s">
        <v>5</v>
      </c>
      <c r="H32" s="61" t="s">
        <v>6</v>
      </c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ht="15.75" customHeight="1">
      <c r="A33" s="15"/>
      <c r="B33" s="15"/>
      <c r="C33" s="15"/>
      <c r="D33" s="50" t="s">
        <v>33</v>
      </c>
      <c r="E33" s="62">
        <f>K16</f>
        <v>70000</v>
      </c>
      <c r="F33" s="62">
        <f t="shared" ref="F33:H33" si="18">E33</f>
        <v>70000</v>
      </c>
      <c r="G33" s="62">
        <f t="shared" si="18"/>
        <v>70000</v>
      </c>
      <c r="H33" s="62">
        <f t="shared" si="18"/>
        <v>70000</v>
      </c>
      <c r="I33" s="15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ht="15.75" customHeight="1">
      <c r="A34" s="15"/>
      <c r="B34" s="15"/>
      <c r="C34" s="15"/>
      <c r="D34" s="61" t="s">
        <v>39</v>
      </c>
      <c r="E34" s="63">
        <v>0.0</v>
      </c>
      <c r="F34" s="63">
        <f>PMT($L$26,60,-$F$33,,)</f>
        <v>1853.301902</v>
      </c>
      <c r="G34" s="63">
        <f>PMT($L$26,60,-$G$33*0.7,,)</f>
        <v>1297.311331</v>
      </c>
      <c r="H34" s="63">
        <f>PMT($L$26,60,-$H$33/2,,)</f>
        <v>926.6509509</v>
      </c>
      <c r="I34" s="15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ht="15.75" customHeight="1">
      <c r="A35" s="15"/>
      <c r="B35" s="15"/>
      <c r="C35" s="15"/>
      <c r="D35" s="61" t="s">
        <v>40</v>
      </c>
      <c r="E35" s="20">
        <f>E33</f>
        <v>70000</v>
      </c>
      <c r="F35" s="20">
        <f>F34*60</f>
        <v>111198.1141</v>
      </c>
      <c r="G35" s="20">
        <f>G34*60+G33*0.3</f>
        <v>98838.67988</v>
      </c>
      <c r="H35" s="20">
        <f>H34*60+0.5*H33</f>
        <v>90599.05705</v>
      </c>
      <c r="I35" s="15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ht="15.75" customHeight="1">
      <c r="A36" s="15"/>
      <c r="B36" s="15"/>
      <c r="C36" s="15"/>
      <c r="D36" s="56" t="s">
        <v>41</v>
      </c>
      <c r="E36" s="20">
        <f t="shared" ref="E36:H36" si="19">E35-E33</f>
        <v>0</v>
      </c>
      <c r="F36" s="21">
        <f t="shared" si="19"/>
        <v>41198.11411</v>
      </c>
      <c r="G36" s="21">
        <f t="shared" si="19"/>
        <v>28838.67988</v>
      </c>
      <c r="H36" s="21">
        <f t="shared" si="19"/>
        <v>20599.05705</v>
      </c>
      <c r="I36" s="15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ht="18.75" customHeight="1">
      <c r="A37" s="15"/>
      <c r="B37" s="15"/>
      <c r="C37" s="15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ht="15.75" customHeight="1">
      <c r="A38" s="15"/>
      <c r="B38" s="15"/>
      <c r="C38" s="15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ht="15.75" customHeight="1">
      <c r="A39" s="15"/>
      <c r="B39" s="15"/>
      <c r="C39" s="15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ht="15.75" customHeight="1">
      <c r="A40" s="15"/>
      <c r="B40" s="15"/>
      <c r="C40" s="15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ht="15.75" customHeight="1">
      <c r="A41" s="15"/>
      <c r="B41" s="15"/>
      <c r="C41" s="15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ht="15.75" customHeight="1">
      <c r="A42" s="15"/>
      <c r="B42" s="15"/>
      <c r="C42" s="15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ht="15.75" customHeight="1">
      <c r="A43" s="15"/>
      <c r="B43" s="15"/>
      <c r="C43" s="15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ht="15.75" customHeight="1">
      <c r="A44" s="15"/>
      <c r="B44" s="15"/>
      <c r="C44" s="15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ht="15.75" customHeight="1">
      <c r="A45" s="15"/>
      <c r="B45" s="15"/>
      <c r="C45" s="15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ht="15.75" customHeight="1">
      <c r="A46" s="15"/>
      <c r="B46" s="15"/>
      <c r="C46" s="15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ht="15.75" customHeight="1">
      <c r="A47" s="15"/>
      <c r="B47" s="15"/>
      <c r="C47" s="15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ht="15.75" customHeight="1">
      <c r="A48" s="15"/>
      <c r="B48" s="15"/>
      <c r="C48" s="15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ht="15.75" customHeight="1">
      <c r="A49" s="15"/>
      <c r="B49" s="15"/>
      <c r="C49" s="15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ht="15.75" customHeight="1">
      <c r="A50" s="15"/>
      <c r="B50" s="15"/>
      <c r="C50" s="15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ht="15.75" customHeight="1">
      <c r="A51" s="15"/>
      <c r="B51" s="15"/>
      <c r="C51" s="15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ht="15.75" customHeight="1">
      <c r="A52" s="15"/>
      <c r="B52" s="15"/>
      <c r="C52" s="15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ht="15.75" customHeight="1">
      <c r="A53" s="15"/>
      <c r="B53" s="15"/>
      <c r="C53" s="15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ht="15.75" customHeight="1">
      <c r="A54" s="16"/>
      <c r="B54" s="16"/>
      <c r="C54" s="16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">
    <mergeCell ref="J22:K23"/>
    <mergeCell ref="K26:K29"/>
    <mergeCell ref="L26:L29"/>
    <mergeCell ref="J27:J29"/>
    <mergeCell ref="E2:H4"/>
    <mergeCell ref="B3:C5"/>
    <mergeCell ref="B6:C8"/>
    <mergeCell ref="E6:H8"/>
    <mergeCell ref="D20:H20"/>
    <mergeCell ref="D21:H21"/>
    <mergeCell ref="D22:H23"/>
  </mergeCells>
  <printOptions/>
  <pageMargins bottom="0.787401575" footer="0.0" header="0.0" left="0.511811024" right="0.511811024" top="0.787401575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D8350CCF6AAF4AAA65F14454BE4135" ma:contentTypeVersion="17" ma:contentTypeDescription="Crie um novo documento." ma:contentTypeScope="" ma:versionID="88ee13ab5c890ec51df12b273b67798b">
  <xsd:schema xmlns:xsd="http://www.w3.org/2001/XMLSchema" xmlns:xs="http://www.w3.org/2001/XMLSchema" xmlns:p="http://schemas.microsoft.com/office/2006/metadata/properties" xmlns:ns2="96059822-cedb-447c-b7ac-4fb3262c8533" xmlns:ns3="a18f71ab-1992-408d-aa7d-d2e0b31da886" targetNamespace="http://schemas.microsoft.com/office/2006/metadata/properties" ma:root="true" ma:fieldsID="77e2ca543441d267e8339a28d7cde42f" ns2:_="" ns3:_="">
    <xsd:import namespace="96059822-cedb-447c-b7ac-4fb3262c8533"/>
    <xsd:import namespace="a18f71ab-1992-408d-aa7d-d2e0b31da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059822-cedb-447c-b7ac-4fb3262c8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f821ba-9ef2-4ce0-ab91-3295ab383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8f71ab-1992-408d-aa7d-d2e0b31da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ec303bc-0c7a-4409-84d4-6ab03dfac653}" ma:internalName="TaxCatchAll" ma:showField="CatchAllData" ma:web="a18f71ab-1992-408d-aa7d-d2e0b31da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F205C7-49FE-4D02-A6D4-C78EAE5B947C}"/>
</file>

<file path=customXml/itemProps2.xml><?xml version="1.0" encoding="utf-8"?>
<ds:datastoreItem xmlns:ds="http://schemas.openxmlformats.org/officeDocument/2006/customXml" ds:itemID="{B7C45C26-2F36-41F3-B8F9-FB65ABAEBE81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2021-02-26T14:36:02Z</dcterms:created>
  <dc:creator>Guilherme Cadonhotto</dc:creator>
</cp:coreProperties>
</file>