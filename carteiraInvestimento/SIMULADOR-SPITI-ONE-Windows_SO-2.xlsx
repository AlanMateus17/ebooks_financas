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rodrigo.xavier\Downloads\"/>
    </mc:Choice>
  </mc:AlternateContent>
  <xr:revisionPtr revIDLastSave="0" documentId="13_ncr:1_{CD1175F6-A1CF-45E2-A7B6-FB6D606CDD04}" xr6:coauthVersionLast="47" xr6:coauthVersionMax="47" xr10:uidLastSave="{00000000-0000-0000-0000-000000000000}"/>
  <bookViews>
    <workbookView xWindow="-110" yWindow="-110" windowWidth="19420" windowHeight="10420" xr2:uid="{64FD614E-D12D-4919-A355-241553930E88}"/>
  </bookViews>
  <sheets>
    <sheet name="1. Comece por aqui" sheetId="1" r:id="rId1"/>
    <sheet name="2. Sua Carteira de Ativos" sheetId="4" r:id="rId2"/>
    <sheet name="3. Resultados" sheetId="5" r:id="rId3"/>
    <sheet name="4. Raio X da Alocação" sheetId="12" r:id="rId4"/>
    <sheet name="Cálculos" sheetId="3" state="hidden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5" l="1"/>
  <c r="D10" i="5"/>
  <c r="D15" i="5" s="1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N2" i="3"/>
  <c r="M101" i="3"/>
  <c r="M100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L23" i="3"/>
  <c r="L22" i="3"/>
  <c r="L21" i="3"/>
  <c r="L20" i="3"/>
  <c r="L19" i="3"/>
  <c r="L18" i="3"/>
  <c r="L17" i="3"/>
  <c r="L16" i="3"/>
  <c r="L15" i="3"/>
  <c r="L14" i="3"/>
  <c r="L13" i="3"/>
  <c r="O101" i="3"/>
  <c r="L101" i="3"/>
  <c r="O100" i="3"/>
  <c r="K100" i="3"/>
  <c r="L100" i="3" s="1"/>
  <c r="K99" i="3"/>
  <c r="K98" i="3"/>
  <c r="O97" i="3"/>
  <c r="K97" i="3"/>
  <c r="L97" i="3" s="1"/>
  <c r="O96" i="3"/>
  <c r="K96" i="3"/>
  <c r="L96" i="3" s="1"/>
  <c r="O95" i="3"/>
  <c r="L95" i="3"/>
  <c r="K95" i="3"/>
  <c r="O94" i="3"/>
  <c r="K94" i="3"/>
  <c r="L94" i="3" s="1"/>
  <c r="O93" i="3"/>
  <c r="K93" i="3"/>
  <c r="L93" i="3" s="1"/>
  <c r="P93" i="3" s="1"/>
  <c r="O92" i="3"/>
  <c r="K92" i="3"/>
  <c r="L92" i="3" s="1"/>
  <c r="P92" i="3" s="1"/>
  <c r="O91" i="3"/>
  <c r="L91" i="3"/>
  <c r="K91" i="3"/>
  <c r="O90" i="3"/>
  <c r="K90" i="3"/>
  <c r="L90" i="3" s="1"/>
  <c r="O89" i="3"/>
  <c r="K89" i="3"/>
  <c r="L89" i="3" s="1"/>
  <c r="O88" i="3"/>
  <c r="K88" i="3"/>
  <c r="L88" i="3" s="1"/>
  <c r="O87" i="3"/>
  <c r="L87" i="3"/>
  <c r="P87" i="3" s="1"/>
  <c r="K87" i="3"/>
  <c r="O86" i="3"/>
  <c r="K86" i="3"/>
  <c r="L86" i="3" s="1"/>
  <c r="O85" i="3"/>
  <c r="L85" i="3"/>
  <c r="P85" i="3" s="1"/>
  <c r="K85" i="3"/>
  <c r="O84" i="3"/>
  <c r="K84" i="3"/>
  <c r="L84" i="3" s="1"/>
  <c r="O83" i="3"/>
  <c r="L83" i="3"/>
  <c r="K83" i="3"/>
  <c r="O82" i="3"/>
  <c r="K82" i="3"/>
  <c r="L82" i="3" s="1"/>
  <c r="O81" i="3"/>
  <c r="K81" i="3"/>
  <c r="L81" i="3" s="1"/>
  <c r="O80" i="3"/>
  <c r="K80" i="3"/>
  <c r="L80" i="3" s="1"/>
  <c r="O79" i="3"/>
  <c r="L79" i="3"/>
  <c r="K79" i="3"/>
  <c r="O78" i="3"/>
  <c r="K78" i="3"/>
  <c r="L78" i="3" s="1"/>
  <c r="O77" i="3"/>
  <c r="L77" i="3"/>
  <c r="K77" i="3"/>
  <c r="O76" i="3"/>
  <c r="K76" i="3"/>
  <c r="L76" i="3" s="1"/>
  <c r="P76" i="3" s="1"/>
  <c r="O75" i="3"/>
  <c r="L75" i="3"/>
  <c r="K75" i="3"/>
  <c r="O74" i="3"/>
  <c r="K74" i="3"/>
  <c r="L74" i="3" s="1"/>
  <c r="O73" i="3"/>
  <c r="K73" i="3"/>
  <c r="L73" i="3" s="1"/>
  <c r="O72" i="3"/>
  <c r="K72" i="3"/>
  <c r="L72" i="3" s="1"/>
  <c r="C101" i="3"/>
  <c r="C100" i="3"/>
  <c r="C99" i="3"/>
  <c r="L99" i="3" s="1"/>
  <c r="C98" i="3"/>
  <c r="O98" i="3" s="1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AQ11" i="3"/>
  <c r="AQ10" i="3"/>
  <c r="AQ9" i="3"/>
  <c r="AQ8" i="3"/>
  <c r="A7" i="1"/>
  <c r="P77" i="3" l="1"/>
  <c r="P74" i="3"/>
  <c r="P101" i="3"/>
  <c r="P89" i="3"/>
  <c r="P82" i="3"/>
  <c r="P90" i="3"/>
  <c r="P96" i="3"/>
  <c r="P72" i="3"/>
  <c r="P79" i="3"/>
  <c r="P73" i="3"/>
  <c r="P97" i="3"/>
  <c r="P80" i="3"/>
  <c r="P81" i="3"/>
  <c r="P78" i="3"/>
  <c r="P88" i="3"/>
  <c r="P95" i="3"/>
  <c r="P83" i="3"/>
  <c r="P86" i="3"/>
  <c r="P91" i="3"/>
  <c r="P94" i="3"/>
  <c r="P84" i="3"/>
  <c r="P75" i="3"/>
  <c r="P100" i="3"/>
  <c r="O99" i="3"/>
  <c r="L98" i="3"/>
  <c r="F1" i="5"/>
  <c r="AB9" i="3"/>
  <c r="AB8" i="3"/>
  <c r="AB7" i="3"/>
  <c r="AB5" i="3"/>
  <c r="AB2" i="3"/>
  <c r="C16" i="3"/>
  <c r="X6" i="3"/>
  <c r="AB6" i="3" s="1"/>
  <c r="X5" i="3"/>
  <c r="X4" i="3"/>
  <c r="AB4" i="3" s="1"/>
  <c r="X3" i="3"/>
  <c r="AB3" i="3" s="1"/>
  <c r="X2" i="3"/>
  <c r="M99" i="3" l="1"/>
  <c r="P99" i="3" s="1"/>
  <c r="M98" i="3"/>
  <c r="P98" i="3" s="1"/>
  <c r="D14" i="5"/>
  <c r="Z9" i="3" s="1"/>
  <c r="D13" i="5"/>
  <c r="Z8" i="3" s="1"/>
  <c r="D11" i="5"/>
  <c r="D9" i="5"/>
  <c r="Z6" i="3" s="1"/>
  <c r="D8" i="5"/>
  <c r="Z5" i="3" s="1"/>
  <c r="D7" i="5"/>
  <c r="Z4" i="3" s="1"/>
  <c r="D6" i="5"/>
  <c r="Z3" i="3" s="1"/>
  <c r="D5" i="5"/>
  <c r="Z2" i="3" l="1"/>
  <c r="Z7" i="3"/>
  <c r="A4" i="12"/>
  <c r="AQ3" i="3"/>
  <c r="AQ4" i="3" s="1"/>
  <c r="AQ5" i="3" s="1"/>
  <c r="AQ6" i="3" s="1"/>
  <c r="AQ7" i="3" s="1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A5" i="12" l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D71" i="3" l="1"/>
  <c r="C71" i="3"/>
  <c r="L71" i="3" s="1"/>
  <c r="D70" i="3"/>
  <c r="C70" i="3"/>
  <c r="L70" i="3" s="1"/>
  <c r="D69" i="3"/>
  <c r="C69" i="3"/>
  <c r="L69" i="3" s="1"/>
  <c r="D68" i="3"/>
  <c r="C68" i="3"/>
  <c r="L68" i="3" s="1"/>
  <c r="D67" i="3"/>
  <c r="C67" i="3"/>
  <c r="L67" i="3" s="1"/>
  <c r="D66" i="3"/>
  <c r="C66" i="3"/>
  <c r="L66" i="3" s="1"/>
  <c r="D65" i="3"/>
  <c r="C65" i="3"/>
  <c r="L65" i="3" s="1"/>
  <c r="D64" i="3"/>
  <c r="C64" i="3"/>
  <c r="L64" i="3" s="1"/>
  <c r="D63" i="3"/>
  <c r="C63" i="3"/>
  <c r="L63" i="3" s="1"/>
  <c r="D62" i="3"/>
  <c r="C62" i="3"/>
  <c r="L62" i="3" s="1"/>
  <c r="D61" i="3"/>
  <c r="C61" i="3"/>
  <c r="L61" i="3" s="1"/>
  <c r="D60" i="3"/>
  <c r="C60" i="3"/>
  <c r="L60" i="3" s="1"/>
  <c r="D59" i="3"/>
  <c r="C59" i="3"/>
  <c r="L59" i="3" s="1"/>
  <c r="D58" i="3"/>
  <c r="C58" i="3"/>
  <c r="L58" i="3" s="1"/>
  <c r="D57" i="3"/>
  <c r="C57" i="3"/>
  <c r="L57" i="3" s="1"/>
  <c r="D56" i="3"/>
  <c r="C56" i="3"/>
  <c r="L56" i="3" s="1"/>
  <c r="D55" i="3"/>
  <c r="C55" i="3"/>
  <c r="L55" i="3" s="1"/>
  <c r="D54" i="3"/>
  <c r="C54" i="3"/>
  <c r="L54" i="3" s="1"/>
  <c r="D53" i="3"/>
  <c r="C53" i="3"/>
  <c r="L53" i="3" s="1"/>
  <c r="D52" i="3"/>
  <c r="C52" i="3"/>
  <c r="L52" i="3" s="1"/>
  <c r="O53" i="3" l="1"/>
  <c r="P53" i="3"/>
  <c r="P57" i="3"/>
  <c r="O57" i="3"/>
  <c r="P65" i="3"/>
  <c r="O65" i="3"/>
  <c r="O60" i="3"/>
  <c r="P60" i="3"/>
  <c r="O61" i="3"/>
  <c r="P61" i="3"/>
  <c r="P69" i="3"/>
  <c r="O69" i="3"/>
  <c r="O56" i="3"/>
  <c r="P56" i="3"/>
  <c r="O64" i="3"/>
  <c r="P64" i="3"/>
  <c r="P54" i="3"/>
  <c r="O54" i="3"/>
  <c r="O62" i="3"/>
  <c r="P62" i="3"/>
  <c r="P70" i="3"/>
  <c r="O70" i="3"/>
  <c r="O52" i="3"/>
  <c r="P52" i="3"/>
  <c r="P68" i="3"/>
  <c r="O68" i="3"/>
  <c r="P58" i="3"/>
  <c r="O58" i="3"/>
  <c r="P66" i="3"/>
  <c r="O66" i="3"/>
  <c r="O55" i="3"/>
  <c r="P55" i="3"/>
  <c r="P59" i="3"/>
  <c r="O59" i="3"/>
  <c r="P63" i="3"/>
  <c r="O63" i="3"/>
  <c r="O71" i="3"/>
  <c r="P71" i="3"/>
  <c r="P67" i="3"/>
  <c r="O67" i="3"/>
  <c r="D51" i="3" l="1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C51" i="3"/>
  <c r="L51" i="3" s="1"/>
  <c r="C50" i="3"/>
  <c r="L50" i="3" s="1"/>
  <c r="C49" i="3"/>
  <c r="L49" i="3" s="1"/>
  <c r="C48" i="3"/>
  <c r="L48" i="3" s="1"/>
  <c r="C47" i="3"/>
  <c r="L47" i="3" s="1"/>
  <c r="C46" i="3"/>
  <c r="L46" i="3" s="1"/>
  <c r="C45" i="3"/>
  <c r="L45" i="3" s="1"/>
  <c r="C44" i="3"/>
  <c r="L44" i="3" s="1"/>
  <c r="C43" i="3"/>
  <c r="L43" i="3" s="1"/>
  <c r="C42" i="3"/>
  <c r="L42" i="3" s="1"/>
  <c r="C41" i="3"/>
  <c r="L41" i="3" s="1"/>
  <c r="C40" i="3"/>
  <c r="L40" i="3" s="1"/>
  <c r="C39" i="3"/>
  <c r="L39" i="3" s="1"/>
  <c r="C38" i="3"/>
  <c r="L38" i="3" s="1"/>
  <c r="C37" i="3"/>
  <c r="L37" i="3" s="1"/>
  <c r="C36" i="3"/>
  <c r="L36" i="3" s="1"/>
  <c r="C35" i="3"/>
  <c r="L35" i="3" s="1"/>
  <c r="C34" i="3"/>
  <c r="L34" i="3" s="1"/>
  <c r="C33" i="3"/>
  <c r="L33" i="3" s="1"/>
  <c r="C32" i="3"/>
  <c r="L32" i="3" s="1"/>
  <c r="O35" i="3" l="1"/>
  <c r="O36" i="3"/>
  <c r="O37" i="3"/>
  <c r="O34" i="3"/>
  <c r="O42" i="3"/>
  <c r="P42" i="3"/>
  <c r="P51" i="3"/>
  <c r="O51" i="3"/>
  <c r="O45" i="3"/>
  <c r="P45" i="3"/>
  <c r="O38" i="3"/>
  <c r="P46" i="3"/>
  <c r="O46" i="3"/>
  <c r="O39" i="3"/>
  <c r="O47" i="3"/>
  <c r="P47" i="3"/>
  <c r="O50" i="3"/>
  <c r="P50" i="3"/>
  <c r="O43" i="3"/>
  <c r="P43" i="3"/>
  <c r="O32" i="3"/>
  <c r="O44" i="3"/>
  <c r="P44" i="3"/>
  <c r="O40" i="3"/>
  <c r="P40" i="3"/>
  <c r="O48" i="3"/>
  <c r="P48" i="3"/>
  <c r="O33" i="3"/>
  <c r="P41" i="3"/>
  <c r="O41" i="3"/>
  <c r="P49" i="3"/>
  <c r="O49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P35" i="3" l="1"/>
  <c r="P37" i="3"/>
  <c r="P33" i="3"/>
  <c r="P32" i="3"/>
  <c r="P34" i="3"/>
  <c r="P36" i="3"/>
  <c r="P39" i="3"/>
  <c r="P38" i="3"/>
  <c r="F3" i="3"/>
  <c r="F4" i="3" l="1"/>
  <c r="C2" i="3"/>
  <c r="O2" i="3" l="1"/>
  <c r="L2" i="3"/>
  <c r="C4" i="3"/>
  <c r="F5" i="3"/>
  <c r="M2" i="3" l="1"/>
  <c r="P2" i="3" s="1"/>
  <c r="L4" i="3"/>
  <c r="O4" i="3"/>
  <c r="F6" i="3"/>
  <c r="C5" i="3" l="1"/>
  <c r="C6" i="3"/>
  <c r="C7" i="3"/>
  <c r="F7" i="3"/>
  <c r="C30" i="3"/>
  <c r="L30" i="3" s="1"/>
  <c r="C31" i="3"/>
  <c r="L31" i="3" s="1"/>
  <c r="C28" i="3"/>
  <c r="L28" i="3" s="1"/>
  <c r="C29" i="3"/>
  <c r="L29" i="3" s="1"/>
  <c r="C3" i="3"/>
  <c r="L7" i="3" l="1"/>
  <c r="O7" i="3"/>
  <c r="L6" i="3"/>
  <c r="O6" i="3"/>
  <c r="L3" i="3"/>
  <c r="L5" i="3"/>
  <c r="O5" i="3"/>
  <c r="F8" i="3"/>
  <c r="O30" i="3"/>
  <c r="O29" i="3"/>
  <c r="O31" i="3"/>
  <c r="O28" i="3"/>
  <c r="O3" i="3"/>
  <c r="F9" i="3" l="1"/>
  <c r="C8" i="3"/>
  <c r="P29" i="3"/>
  <c r="P28" i="3"/>
  <c r="P31" i="3"/>
  <c r="P30" i="3"/>
  <c r="L8" i="3" l="1"/>
  <c r="F10" i="3"/>
  <c r="C9" i="3"/>
  <c r="L9" i="3" s="1"/>
  <c r="O8" i="3"/>
  <c r="O9" i="3" l="1"/>
  <c r="F11" i="3"/>
  <c r="F12" i="3" l="1"/>
  <c r="C20" i="3"/>
  <c r="O20" i="3" l="1"/>
  <c r="F13" i="3"/>
  <c r="C19" i="3"/>
  <c r="O19" i="3" l="1"/>
  <c r="F14" i="3"/>
  <c r="F15" i="3" s="1"/>
  <c r="F16" i="3" s="1"/>
  <c r="F17" i="3" s="1"/>
  <c r="F18" i="3" s="1"/>
  <c r="F19" i="3" s="1"/>
  <c r="C21" i="3"/>
  <c r="C27" i="3" l="1"/>
  <c r="C24" i="3"/>
  <c r="L24" i="3" s="1"/>
  <c r="C22" i="3"/>
  <c r="C18" i="3"/>
  <c r="C17" i="3"/>
  <c r="C25" i="3"/>
  <c r="L25" i="3" s="1"/>
  <c r="C14" i="3"/>
  <c r="C11" i="3"/>
  <c r="L11" i="3" s="1"/>
  <c r="C13" i="3"/>
  <c r="C12" i="3"/>
  <c r="L12" i="3" s="1"/>
  <c r="C10" i="3"/>
  <c r="C15" i="3"/>
  <c r="C23" i="3"/>
  <c r="C26" i="3"/>
  <c r="O21" i="3"/>
  <c r="L10" i="3" l="1"/>
  <c r="M12" i="3" s="1"/>
  <c r="I2" i="3"/>
  <c r="O22" i="3"/>
  <c r="O18" i="3"/>
  <c r="O24" i="3"/>
  <c r="L27" i="3"/>
  <c r="O27" i="3"/>
  <c r="O17" i="3"/>
  <c r="O25" i="3"/>
  <c r="O15" i="3"/>
  <c r="L26" i="3"/>
  <c r="O26" i="3"/>
  <c r="O14" i="3"/>
  <c r="O23" i="3"/>
  <c r="O16" i="3"/>
  <c r="O10" i="3"/>
  <c r="I13" i="3"/>
  <c r="I19" i="3"/>
  <c r="C14" i="5" s="1"/>
  <c r="I15" i="3"/>
  <c r="C10" i="5" s="1"/>
  <c r="I4" i="3"/>
  <c r="I9" i="3"/>
  <c r="I12" i="3"/>
  <c r="I6" i="3"/>
  <c r="I5" i="3"/>
  <c r="I7" i="3"/>
  <c r="I18" i="3"/>
  <c r="C13" i="5" s="1"/>
  <c r="I14" i="3"/>
  <c r="I10" i="3"/>
  <c r="C7" i="5" s="1"/>
  <c r="I11" i="3"/>
  <c r="C8" i="5" s="1"/>
  <c r="I17" i="3"/>
  <c r="C12" i="5" s="1"/>
  <c r="I8" i="3"/>
  <c r="I3" i="3"/>
  <c r="I16" i="3"/>
  <c r="C11" i="5" s="1"/>
  <c r="O12" i="3"/>
  <c r="O13" i="3"/>
  <c r="O11" i="3"/>
  <c r="M11" i="3" l="1"/>
  <c r="M10" i="3"/>
  <c r="P10" i="3" s="1"/>
  <c r="M7" i="3"/>
  <c r="P7" i="3" s="1"/>
  <c r="M9" i="3"/>
  <c r="P9" i="3" s="1"/>
  <c r="M3" i="3"/>
  <c r="P3" i="3" s="1"/>
  <c r="M4" i="3"/>
  <c r="M6" i="3"/>
  <c r="M8" i="3"/>
  <c r="P8" i="3" s="1"/>
  <c r="M5" i="3"/>
  <c r="P5" i="3" s="1"/>
  <c r="G2" i="4"/>
  <c r="G4" i="4"/>
  <c r="P11" i="3"/>
  <c r="C5" i="5"/>
  <c r="P13" i="3"/>
  <c r="P24" i="3"/>
  <c r="P14" i="3"/>
  <c r="C9" i="5"/>
  <c r="P6" i="3"/>
  <c r="P20" i="3"/>
  <c r="P19" i="3"/>
  <c r="P12" i="3"/>
  <c r="P21" i="3"/>
  <c r="P26" i="3"/>
  <c r="P22" i="3"/>
  <c r="P17" i="3"/>
  <c r="P25" i="3"/>
  <c r="P16" i="3"/>
  <c r="P15" i="3"/>
  <c r="P27" i="3"/>
  <c r="C3" i="5"/>
  <c r="C6" i="5"/>
  <c r="P23" i="3"/>
  <c r="P18" i="3"/>
  <c r="C15" i="5" l="1"/>
  <c r="B99" i="12"/>
  <c r="C82" i="12"/>
  <c r="C92" i="12"/>
  <c r="B89" i="12"/>
  <c r="D85" i="12"/>
  <c r="B81" i="12"/>
  <c r="D73" i="12"/>
  <c r="D74" i="12"/>
  <c r="B73" i="12"/>
  <c r="D79" i="12"/>
  <c r="B76" i="12"/>
  <c r="D98" i="12"/>
  <c r="B96" i="12"/>
  <c r="C91" i="12"/>
  <c r="C90" i="12"/>
  <c r="C83" i="12"/>
  <c r="B94" i="12"/>
  <c r="D100" i="12"/>
  <c r="B86" i="12"/>
  <c r="C88" i="12"/>
  <c r="C101" i="12"/>
  <c r="B95" i="12"/>
  <c r="B84" i="12"/>
  <c r="B87" i="12"/>
  <c r="C98" i="12"/>
  <c r="D101" i="12"/>
  <c r="B98" i="12"/>
  <c r="C77" i="12"/>
  <c r="B80" i="12"/>
  <c r="C79" i="12"/>
  <c r="B75" i="12"/>
  <c r="C99" i="12"/>
  <c r="B74" i="12"/>
  <c r="B78" i="12"/>
  <c r="D86" i="12"/>
  <c r="D80" i="12"/>
  <c r="B100" i="12"/>
  <c r="B77" i="12"/>
  <c r="D90" i="12"/>
  <c r="C76" i="12"/>
  <c r="B102" i="12"/>
  <c r="B83" i="12"/>
  <c r="B92" i="12"/>
  <c r="D87" i="12"/>
  <c r="D78" i="12"/>
  <c r="B93" i="12"/>
  <c r="C93" i="12"/>
  <c r="B79" i="12"/>
  <c r="D82" i="12"/>
  <c r="C87" i="12"/>
  <c r="D84" i="12"/>
  <c r="B97" i="12"/>
  <c r="D88" i="12"/>
  <c r="D91" i="12"/>
  <c r="B91" i="12"/>
  <c r="D89" i="12"/>
  <c r="C86" i="12"/>
  <c r="D81" i="12"/>
  <c r="C100" i="12"/>
  <c r="C96" i="12"/>
  <c r="C84" i="12"/>
  <c r="D95" i="12"/>
  <c r="B88" i="12"/>
  <c r="C94" i="12"/>
  <c r="D75" i="12"/>
  <c r="D97" i="12"/>
  <c r="B90" i="12"/>
  <c r="D102" i="12"/>
  <c r="D96" i="12"/>
  <c r="D94" i="12"/>
  <c r="D99" i="12"/>
  <c r="C85" i="12"/>
  <c r="C97" i="12"/>
  <c r="C74" i="12"/>
  <c r="D76" i="12"/>
  <c r="D93" i="12"/>
  <c r="D77" i="12"/>
  <c r="C80" i="12"/>
  <c r="D92" i="12"/>
  <c r="B101" i="12"/>
  <c r="C81" i="12"/>
  <c r="C75" i="12"/>
  <c r="C102" i="12"/>
  <c r="C78" i="12"/>
  <c r="C95" i="12"/>
  <c r="C73" i="12"/>
  <c r="B82" i="12"/>
  <c r="C89" i="12"/>
  <c r="B85" i="12"/>
  <c r="D83" i="12"/>
  <c r="G3" i="4"/>
  <c r="F3" i="5"/>
  <c r="E7" i="5"/>
  <c r="E8" i="5"/>
  <c r="E9" i="5"/>
  <c r="E10" i="5"/>
  <c r="E5" i="5"/>
  <c r="E13" i="5"/>
  <c r="E12" i="5"/>
  <c r="E6" i="5"/>
  <c r="E14" i="5"/>
  <c r="E11" i="5"/>
  <c r="P4" i="3"/>
  <c r="Q19" i="3" s="1"/>
  <c r="B40" i="12"/>
  <c r="B5" i="12"/>
  <c r="B29" i="12"/>
  <c r="B47" i="12"/>
  <c r="B18" i="12"/>
  <c r="B12" i="12"/>
  <c r="B71" i="12"/>
  <c r="C25" i="12"/>
  <c r="D56" i="12"/>
  <c r="C23" i="12"/>
  <c r="B39" i="12"/>
  <c r="B10" i="12"/>
  <c r="B28" i="12"/>
  <c r="B9" i="12"/>
  <c r="B8" i="12"/>
  <c r="B11" i="12"/>
  <c r="B70" i="12"/>
  <c r="B58" i="12"/>
  <c r="B51" i="12"/>
  <c r="C38" i="12"/>
  <c r="D32" i="12"/>
  <c r="D68" i="12"/>
  <c r="C44" i="12"/>
  <c r="B38" i="12"/>
  <c r="B64" i="12"/>
  <c r="B27" i="12"/>
  <c r="B24" i="12"/>
  <c r="B60" i="12"/>
  <c r="B65" i="12"/>
  <c r="B69" i="12"/>
  <c r="B48" i="12"/>
  <c r="B50" i="12"/>
  <c r="D66" i="12"/>
  <c r="C46" i="12"/>
  <c r="C41" i="12"/>
  <c r="C37" i="12"/>
  <c r="D53" i="12"/>
  <c r="C17" i="12"/>
  <c r="C16" i="12"/>
  <c r="C35" i="12"/>
  <c r="C9" i="12"/>
  <c r="D27" i="12"/>
  <c r="D39" i="12"/>
  <c r="D59" i="12"/>
  <c r="C60" i="12"/>
  <c r="C59" i="12"/>
  <c r="D38" i="12"/>
  <c r="D62" i="12"/>
  <c r="C71" i="12"/>
  <c r="C21" i="12"/>
  <c r="C10" i="12"/>
  <c r="C61" i="12"/>
  <c r="B37" i="12"/>
  <c r="B59" i="12"/>
  <c r="B26" i="12"/>
  <c r="B23" i="12"/>
  <c r="B44" i="12"/>
  <c r="B62" i="12"/>
  <c r="B68" i="12"/>
  <c r="B42" i="12"/>
  <c r="B41" i="12"/>
  <c r="D36" i="12"/>
  <c r="C62" i="12"/>
  <c r="D29" i="12"/>
  <c r="C8" i="12"/>
  <c r="D65" i="12"/>
  <c r="C54" i="12"/>
  <c r="C5" i="12"/>
  <c r="C33" i="12"/>
  <c r="C65" i="12"/>
  <c r="D40" i="12"/>
  <c r="C49" i="12"/>
  <c r="C51" i="12"/>
  <c r="D33" i="12"/>
  <c r="C29" i="12"/>
  <c r="D61" i="12"/>
  <c r="C30" i="12"/>
  <c r="C39" i="12"/>
  <c r="D64" i="12"/>
  <c r="C66" i="12"/>
  <c r="B36" i="12"/>
  <c r="B45" i="12"/>
  <c r="B17" i="12"/>
  <c r="B22" i="12"/>
  <c r="B16" i="12"/>
  <c r="B4" i="12"/>
  <c r="B67" i="12"/>
  <c r="B56" i="12"/>
  <c r="B3" i="12"/>
  <c r="C43" i="12"/>
  <c r="D55" i="12"/>
  <c r="D46" i="12"/>
  <c r="C34" i="12"/>
  <c r="C53" i="12"/>
  <c r="D44" i="12"/>
  <c r="D72" i="12"/>
  <c r="C47" i="12"/>
  <c r="D37" i="12"/>
  <c r="D41" i="12"/>
  <c r="C18" i="12"/>
  <c r="C19" i="12"/>
  <c r="D49" i="12"/>
  <c r="C42" i="12"/>
  <c r="C58" i="12"/>
  <c r="C64" i="12"/>
  <c r="C6" i="12"/>
  <c r="C72" i="12"/>
  <c r="C50" i="12"/>
  <c r="B35" i="12"/>
  <c r="B32" i="12"/>
  <c r="B6" i="12"/>
  <c r="B21" i="12"/>
  <c r="B15" i="12"/>
  <c r="B46" i="12"/>
  <c r="B66" i="12"/>
  <c r="B55" i="12"/>
  <c r="B43" i="12"/>
  <c r="C15" i="12"/>
  <c r="D30" i="12"/>
  <c r="C57" i="12"/>
  <c r="C69" i="12"/>
  <c r="D71" i="12"/>
  <c r="D45" i="12"/>
  <c r="C32" i="12"/>
  <c r="C22" i="12"/>
  <c r="D48" i="12"/>
  <c r="C11" i="12"/>
  <c r="C24" i="12"/>
  <c r="D43" i="12"/>
  <c r="D51" i="12"/>
  <c r="D54" i="12"/>
  <c r="B52" i="12"/>
  <c r="C40" i="12"/>
  <c r="D69" i="12"/>
  <c r="D58" i="12"/>
  <c r="B34" i="12"/>
  <c r="B31" i="12"/>
  <c r="B61" i="12"/>
  <c r="B20" i="12"/>
  <c r="B14" i="12"/>
  <c r="B33" i="12"/>
  <c r="B57" i="12"/>
  <c r="B54" i="12"/>
  <c r="D52" i="12"/>
  <c r="C68" i="12"/>
  <c r="C56" i="12"/>
  <c r="C52" i="12"/>
  <c r="C26" i="12"/>
  <c r="D60" i="12"/>
  <c r="C55" i="12"/>
  <c r="C3" i="12"/>
  <c r="C27" i="12"/>
  <c r="C45" i="12"/>
  <c r="C67" i="12"/>
  <c r="D28" i="12"/>
  <c r="C12" i="12"/>
  <c r="C13" i="12"/>
  <c r="C7" i="12"/>
  <c r="D70" i="12"/>
  <c r="B25" i="12"/>
  <c r="B30" i="12"/>
  <c r="B49" i="12"/>
  <c r="B19" i="12"/>
  <c r="B13" i="12"/>
  <c r="B72" i="12"/>
  <c r="B7" i="12"/>
  <c r="B53" i="12"/>
  <c r="C48" i="12"/>
  <c r="C4" i="12"/>
  <c r="D67" i="12"/>
  <c r="C31" i="12"/>
  <c r="D34" i="12"/>
  <c r="C20" i="12"/>
  <c r="C70" i="12"/>
  <c r="C14" i="12"/>
  <c r="C36" i="12"/>
  <c r="D31" i="12"/>
  <c r="D63" i="12"/>
  <c r="C28" i="12"/>
  <c r="D42" i="12"/>
  <c r="D47" i="12"/>
  <c r="C63" i="12"/>
  <c r="B63" i="12"/>
  <c r="D57" i="12"/>
  <c r="D50" i="12"/>
  <c r="D35" i="12"/>
  <c r="E3" i="5"/>
  <c r="E4" i="5" s="1"/>
  <c r="C4" i="5"/>
  <c r="Q14" i="3" l="1"/>
  <c r="Q4" i="3"/>
  <c r="Q3" i="3"/>
  <c r="Q40" i="3"/>
  <c r="Q69" i="3"/>
  <c r="Q2" i="3"/>
  <c r="Q34" i="3"/>
  <c r="Q78" i="3"/>
  <c r="Q90" i="3"/>
  <c r="Q84" i="3"/>
  <c r="Q76" i="3"/>
  <c r="Q30" i="3"/>
  <c r="Q53" i="3"/>
  <c r="Q47" i="3"/>
  <c r="Q65" i="3"/>
  <c r="Q100" i="3"/>
  <c r="Q37" i="3"/>
  <c r="Q80" i="3"/>
  <c r="Q87" i="3"/>
  <c r="Q32" i="3"/>
  <c r="Q101" i="3"/>
  <c r="Q54" i="3"/>
  <c r="Q57" i="3"/>
  <c r="Q82" i="3"/>
  <c r="Q28" i="3"/>
  <c r="Q50" i="3"/>
  <c r="Q49" i="3"/>
  <c r="Q74" i="3"/>
  <c r="Q91" i="3"/>
  <c r="Q99" i="3"/>
  <c r="Q94" i="3"/>
  <c r="Q38" i="3"/>
  <c r="Q75" i="3"/>
  <c r="Q35" i="3"/>
  <c r="Q58" i="3"/>
  <c r="Q96" i="3"/>
  <c r="Q29" i="3"/>
  <c r="Q85" i="3"/>
  <c r="Q97" i="3"/>
  <c r="Q89" i="3"/>
  <c r="Q95" i="3"/>
  <c r="Q61" i="3"/>
  <c r="Q79" i="3"/>
  <c r="Q83" i="3"/>
  <c r="Q52" i="3"/>
  <c r="Q86" i="3"/>
  <c r="Q46" i="3"/>
  <c r="Q98" i="3"/>
  <c r="Q31" i="3"/>
  <c r="Q60" i="3"/>
  <c r="Q67" i="3"/>
  <c r="Q48" i="3"/>
  <c r="Q43" i="3"/>
  <c r="Q93" i="3"/>
  <c r="Q68" i="3"/>
  <c r="Q63" i="3"/>
  <c r="Q59" i="3"/>
  <c r="Q77" i="3"/>
  <c r="Q71" i="3"/>
  <c r="Q42" i="3"/>
  <c r="Q92" i="3"/>
  <c r="Q55" i="3"/>
  <c r="Q33" i="3"/>
  <c r="Q70" i="3"/>
  <c r="Q41" i="3"/>
  <c r="Q39" i="3"/>
  <c r="Q56" i="3"/>
  <c r="Q45" i="3"/>
  <c r="Q44" i="3"/>
  <c r="Q88" i="3"/>
  <c r="Q66" i="3"/>
  <c r="Q62" i="3"/>
  <c r="Q51" i="3"/>
  <c r="Q36" i="3"/>
  <c r="Q72" i="3"/>
  <c r="Q73" i="3"/>
  <c r="Q64" i="3"/>
  <c r="Q81" i="3"/>
  <c r="Q13" i="3"/>
  <c r="Q6" i="3"/>
  <c r="Q8" i="3"/>
  <c r="Q9" i="3"/>
  <c r="Q25" i="3"/>
  <c r="Q26" i="3"/>
  <c r="Q22" i="3"/>
  <c r="Q27" i="3"/>
  <c r="Q10" i="3"/>
  <c r="Q23" i="3"/>
  <c r="Q21" i="3"/>
  <c r="Q15" i="3"/>
  <c r="Q18" i="3"/>
  <c r="Q7" i="3"/>
  <c r="Q5" i="3"/>
  <c r="Q24" i="3"/>
  <c r="Q20" i="3"/>
  <c r="Q12" i="3"/>
  <c r="Q17" i="3"/>
  <c r="Q16" i="3"/>
  <c r="Q11" i="3"/>
  <c r="B8" i="5"/>
  <c r="Y5" i="3" s="1"/>
  <c r="B14" i="5"/>
  <c r="Y9" i="3" s="1"/>
  <c r="B11" i="5"/>
  <c r="F11" i="5" s="1"/>
  <c r="B9" i="5"/>
  <c r="Y6" i="3" s="1"/>
  <c r="B7" i="5"/>
  <c r="Y4" i="3" s="1"/>
  <c r="B6" i="5"/>
  <c r="F6" i="5" s="1"/>
  <c r="B10" i="5"/>
  <c r="F10" i="5" s="1"/>
  <c r="B13" i="5"/>
  <c r="Y8" i="3" s="1"/>
  <c r="B5" i="5"/>
  <c r="B12" i="5"/>
  <c r="F12" i="5" s="1"/>
  <c r="E15" i="5"/>
  <c r="F4" i="5"/>
  <c r="D26" i="12"/>
  <c r="B15" i="5" l="1"/>
  <c r="D17" i="12"/>
  <c r="D23" i="12"/>
  <c r="D25" i="12"/>
  <c r="D5" i="12"/>
  <c r="D13" i="12"/>
  <c r="D4" i="12"/>
  <c r="D3" i="12"/>
  <c r="D8" i="12"/>
  <c r="D20" i="12"/>
  <c r="D15" i="12"/>
  <c r="D12" i="12"/>
  <c r="D18" i="12"/>
  <c r="D6" i="12"/>
  <c r="D21" i="12"/>
  <c r="F14" i="5"/>
  <c r="F8" i="5"/>
  <c r="F13" i="5"/>
  <c r="F7" i="5"/>
  <c r="F9" i="5"/>
  <c r="F5" i="5"/>
  <c r="D11" i="12"/>
  <c r="Y7" i="3"/>
  <c r="D7" i="12"/>
  <c r="D22" i="12"/>
  <c r="D14" i="12"/>
  <c r="D19" i="12"/>
  <c r="D10" i="12"/>
  <c r="D9" i="12"/>
  <c r="D24" i="12"/>
  <c r="D16" i="12"/>
  <c r="Y2" i="3"/>
  <c r="Y3" i="3"/>
</calcChain>
</file>

<file path=xl/sharedStrings.xml><?xml version="1.0" encoding="utf-8"?>
<sst xmlns="http://schemas.openxmlformats.org/spreadsheetml/2006/main" count="359" uniqueCount="178">
  <si>
    <t>← preencher célula azul</t>
  </si>
  <si>
    <t>Renda Variável</t>
  </si>
  <si>
    <t>Ativo 1</t>
  </si>
  <si>
    <t>Ativo 2</t>
  </si>
  <si>
    <t>Ativo 3</t>
  </si>
  <si>
    <t>Ativo 4</t>
  </si>
  <si>
    <t>Ativo 5</t>
  </si>
  <si>
    <t>Ativo 6</t>
  </si>
  <si>
    <t>Ativo 7</t>
  </si>
  <si>
    <t>Ativo 8</t>
  </si>
  <si>
    <t>Ativo 9</t>
  </si>
  <si>
    <t>Ativo 10</t>
  </si>
  <si>
    <t>Ativo 11</t>
  </si>
  <si>
    <t>Ativo 12</t>
  </si>
  <si>
    <t>Ativo 13</t>
  </si>
  <si>
    <t>Ativo 14</t>
  </si>
  <si>
    <t>Ativo 15</t>
  </si>
  <si>
    <t>Ativo 16</t>
  </si>
  <si>
    <t>Ativo 17</t>
  </si>
  <si>
    <t>Ativo 18</t>
  </si>
  <si>
    <t>Ativo 19</t>
  </si>
  <si>
    <t>Ativo 20</t>
  </si>
  <si>
    <t>Ativo 21</t>
  </si>
  <si>
    <t>Ativo 22</t>
  </si>
  <si>
    <t>Ativo 23</t>
  </si>
  <si>
    <t>Ativo 24</t>
  </si>
  <si>
    <t>Ativo 25</t>
  </si>
  <si>
    <t>Ativo 26</t>
  </si>
  <si>
    <t>Ativo 27</t>
  </si>
  <si>
    <t>Ativo 28</t>
  </si>
  <si>
    <t>Ativo 29</t>
  </si>
  <si>
    <t>Ativo 30</t>
  </si>
  <si>
    <t>Característica do Ativo</t>
  </si>
  <si>
    <t>Nome do Ativo (Opcional)</t>
  </si>
  <si>
    <t xml:space="preserve">Característica do </t>
  </si>
  <si>
    <t>Valor Aplicado (R$)</t>
  </si>
  <si>
    <t>Selecione o Ativo</t>
  </si>
  <si>
    <t>Cód</t>
  </si>
  <si>
    <t>Caixa</t>
  </si>
  <si>
    <t>Ativo</t>
  </si>
  <si>
    <t>Cód Form.</t>
  </si>
  <si>
    <t>Valor</t>
  </si>
  <si>
    <t>%</t>
  </si>
  <si>
    <t>Valor Sugerido (R$)</t>
  </si>
  <si>
    <t>Ativo 31</t>
  </si>
  <si>
    <t>Ativo 32</t>
  </si>
  <si>
    <t>Ativo 33</t>
  </si>
  <si>
    <t>Ativo 34</t>
  </si>
  <si>
    <t>Ativo 35</t>
  </si>
  <si>
    <t>Ativo 36</t>
  </si>
  <si>
    <t>Ativo 37</t>
  </si>
  <si>
    <t>Ativo 38</t>
  </si>
  <si>
    <t>Ativo 39</t>
  </si>
  <si>
    <t>Ativo 40</t>
  </si>
  <si>
    <t>Ativo 41</t>
  </si>
  <si>
    <t>Ativo 42</t>
  </si>
  <si>
    <t>Ativo 43</t>
  </si>
  <si>
    <t>Ativo 44</t>
  </si>
  <si>
    <t>Ativo 45</t>
  </si>
  <si>
    <t>Ativo 46</t>
  </si>
  <si>
    <t>Ativo 47</t>
  </si>
  <si>
    <t>Ativo 48</t>
  </si>
  <si>
    <t>Ativo 49</t>
  </si>
  <si>
    <t>Ativo 50</t>
  </si>
  <si>
    <t>Reserva de Emergência ¹</t>
  </si>
  <si>
    <r>
      <t xml:space="preserve">Reserva de Emergência </t>
    </r>
    <r>
      <rPr>
        <sz val="14"/>
        <color theme="1"/>
        <rFont val="Calibri"/>
        <family val="2"/>
        <scheme val="minor"/>
      </rPr>
      <t>¹</t>
    </r>
  </si>
  <si>
    <t>Ativo 51</t>
  </si>
  <si>
    <t>Ativo 52</t>
  </si>
  <si>
    <t>Ativo 53</t>
  </si>
  <si>
    <t>Ativo 54</t>
  </si>
  <si>
    <t>Ativo 55</t>
  </si>
  <si>
    <t>Ativo 56</t>
  </si>
  <si>
    <t>Ativo 57</t>
  </si>
  <si>
    <t>Ativo 58</t>
  </si>
  <si>
    <t>Ativo 59</t>
  </si>
  <si>
    <t>Ativo 60</t>
  </si>
  <si>
    <t>Ativo 61</t>
  </si>
  <si>
    <t>Ativo 62</t>
  </si>
  <si>
    <t>Ativo 63</t>
  </si>
  <si>
    <t>Ativo 64</t>
  </si>
  <si>
    <t>Ativo 65</t>
  </si>
  <si>
    <t>Ativo 66</t>
  </si>
  <si>
    <t>Ativo 67</t>
  </si>
  <si>
    <t>Ativo 68</t>
  </si>
  <si>
    <t>Ativo 69</t>
  </si>
  <si>
    <t>Ativo 70</t>
  </si>
  <si>
    <t>Previdência - SuperPrev</t>
  </si>
  <si>
    <t>Total da Carteira</t>
  </si>
  <si>
    <t>2. DADA A SUA ATUAL CONDIÇÃO, QUANTOS MESES DE GASTOS CONSIDERA ADEQUADO MANTER NA RESERVA DE EMERGÊNCIA / OPORTUNIDADE ?</t>
  </si>
  <si>
    <t>Carteira na alocação estrutural</t>
  </si>
  <si>
    <t>Peso (%)</t>
  </si>
  <si>
    <t>ATENÇÃO</t>
  </si>
  <si>
    <t>Reserva de Emergência</t>
  </si>
  <si>
    <t>Consolidação</t>
  </si>
  <si>
    <t>Valor aplicado (R$)</t>
  </si>
  <si>
    <t>Patrimônio total</t>
  </si>
  <si>
    <t>Nome do Fundo / Ativo</t>
  </si>
  <si>
    <t>Previdência - Renda Fixa 4</t>
  </si>
  <si>
    <t>Previdência - Multimercados 4</t>
  </si>
  <si>
    <t>Previdência - Renda Variável 4</t>
  </si>
  <si>
    <t>1. QUAL O VALOR DE SEUS GASTOS MENSAIS (EM R$) ?</t>
  </si>
  <si>
    <t>¹ A Reserva de Emergência não faz parte da alocação estrutural, ela deve ser construída e mantida como algo à parte.</t>
  </si>
  <si>
    <t>Carteira</t>
  </si>
  <si>
    <t>Renda Fixa Pós - Fundo de crédito privado pós</t>
  </si>
  <si>
    <t>Renda Fixa Pós - Título público ou título privado</t>
  </si>
  <si>
    <t>Renda Fixa Dinâmica - Fundo de renda fixa</t>
  </si>
  <si>
    <t>Renda Fixa Dinâmica - Fundo de infra (listado em bolsa)</t>
  </si>
  <si>
    <t>Renda Fixa Dinâmica - Título público ou título privado</t>
  </si>
  <si>
    <t>Fundo Multimercado</t>
  </si>
  <si>
    <t>Fundo Imobiliário (FII)</t>
  </si>
  <si>
    <t>Renda Variável - Fundo long biased</t>
  </si>
  <si>
    <t>Alternativos</t>
  </si>
  <si>
    <t>Renda Fixa Pós</t>
  </si>
  <si>
    <t>Renda Fixa Dinâmica</t>
  </si>
  <si>
    <t>Renda Variável - Ação local</t>
  </si>
  <si>
    <t>Alocação Estrutural</t>
  </si>
  <si>
    <t>Minha carteira</t>
  </si>
  <si>
    <t>Escolhendo sua alocação teórica</t>
  </si>
  <si>
    <t>Escolha sua alocação</t>
  </si>
  <si>
    <t>Adaptada para fundos</t>
  </si>
  <si>
    <t xml:space="preserve"> </t>
  </si>
  <si>
    <t>Minha Carteira</t>
  </si>
  <si>
    <t>Carteira Sugerida</t>
  </si>
  <si>
    <t>Investimento Global</t>
  </si>
  <si>
    <t>Ouro</t>
  </si>
  <si>
    <t>VISÃO GRÁFICA</t>
  </si>
  <si>
    <r>
      <t xml:space="preserve">Gráfico abaixo </t>
    </r>
    <r>
      <rPr>
        <b/>
        <sz val="11"/>
        <rFont val="Calibri"/>
        <family val="2"/>
      </rPr>
      <t>↓↓↓↓↓</t>
    </r>
  </si>
  <si>
    <t>Spiti One Original</t>
  </si>
  <si>
    <t>POR FAVOR, PREENCHA AS INFORMAÇÕES ABAIXO PARA QUE POSSAMOS TE AJUDAR COM SUA ALOCAÇÃO ESTRUTURAL</t>
  </si>
  <si>
    <t>Patrimônio para alocar</t>
  </si>
  <si>
    <t>Reserva de Emergência / Oportunidade - Fundo taxa zero</t>
  </si>
  <si>
    <t>Reserva de Emergência / Oportunidade - Outros</t>
  </si>
  <si>
    <t>Internacional - Renda variável</t>
  </si>
  <si>
    <t>Internacional - Reits</t>
  </si>
  <si>
    <t>Internacional - Renda fixa</t>
  </si>
  <si>
    <t>Internacional - Ouro</t>
  </si>
  <si>
    <t>Renda Variável - Fundo de Ações</t>
  </si>
  <si>
    <t>Adaptada para fundos (sem FII e Alternativos)</t>
  </si>
  <si>
    <t>Investimento Global: Depende da classe de ativo. Para renda fixa e multiativos, pelo menos 3 anos e, para renda variável, pelo menos 5 anos.</t>
  </si>
  <si>
    <t>Horizonte de investimento:</t>
  </si>
  <si>
    <t>Renda Fixa Pós: Pelo menos 1 ano.</t>
  </si>
  <si>
    <t>Renda Fixa Dinâmica: Pelo menos 3 anos.</t>
  </si>
  <si>
    <t>Fundo Multimercado: Pelo menos 3 anos.</t>
  </si>
  <si>
    <t>Fundo Imobiliário (FII): Pelo menos 3 anos.</t>
  </si>
  <si>
    <t>Renda Variável: Pelo menos 5 anos.</t>
  </si>
  <si>
    <t>Ouro: Sempre.</t>
  </si>
  <si>
    <t>Alternativos: Pelo menos 5 anos.</t>
  </si>
  <si>
    <t>Reseva de Emergência/Oportunidade: Sempre.</t>
  </si>
  <si>
    <t>Ativo 71</t>
  </si>
  <si>
    <t>Ativo 72</t>
  </si>
  <si>
    <t>Ativo 73</t>
  </si>
  <si>
    <t>Ativo 74</t>
  </si>
  <si>
    <t>Ativo 75</t>
  </si>
  <si>
    <t>Ativo 76</t>
  </si>
  <si>
    <t>Ativo 77</t>
  </si>
  <si>
    <t>Ativo 78</t>
  </si>
  <si>
    <t>Ativo 79</t>
  </si>
  <si>
    <t>Ativo 80</t>
  </si>
  <si>
    <t>Ativo 81</t>
  </si>
  <si>
    <t>Ativo 82</t>
  </si>
  <si>
    <t>Ativo 83</t>
  </si>
  <si>
    <t>Ativo 84</t>
  </si>
  <si>
    <t>Ativo 85</t>
  </si>
  <si>
    <t>Ativo 86</t>
  </si>
  <si>
    <t>Ativo 87</t>
  </si>
  <si>
    <t>Ativo 88</t>
  </si>
  <si>
    <t>Ativo 89</t>
  </si>
  <si>
    <t>Ativo 90</t>
  </si>
  <si>
    <t>Ativo 91</t>
  </si>
  <si>
    <t>Ativo 92</t>
  </si>
  <si>
    <t>Ativo 93</t>
  </si>
  <si>
    <t>Ativo 94</t>
  </si>
  <si>
    <t>Ativo 95</t>
  </si>
  <si>
    <t>Ativo 96</t>
  </si>
  <si>
    <t>Ativo 97</t>
  </si>
  <si>
    <t>Ativo 98</t>
  </si>
  <si>
    <t>Ativo 99</t>
  </si>
  <si>
    <t>Ativo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</si>
</sst>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%"/>
    <numFmt numFmtId="165" formatCode="#,##0.00_ ;\-#,##0.00\ 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D0C5"/>
        <bgColor indexed="64"/>
      </patternFill>
    </fill>
  </fills>
  <borders count="42">
    <border>
      <left/>
      <right/>
      <top/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 style="mediumDash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Dashed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Dashed">
        <color auto="1"/>
      </right>
      <top style="thin">
        <color auto="1"/>
      </top>
      <bottom/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 style="mediumDashed">
        <color auto="1"/>
      </left>
      <right/>
      <top style="thin">
        <color auto="1"/>
      </top>
      <bottom style="thin">
        <color auto="1"/>
      </bottom>
      <diagonal/>
    </border>
    <border>
      <left/>
      <right style="mediumDashed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Dashed">
        <color auto="1"/>
      </right>
      <top/>
      <bottom style="thin">
        <color auto="1"/>
      </bottom>
      <diagonal/>
    </border>
    <border>
      <left style="mediumDash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mediumDashed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Dashed">
        <color auto="1"/>
      </top>
      <bottom style="dotted">
        <color auto="1"/>
      </bottom>
      <diagonal/>
    </border>
    <border>
      <left style="mediumDashed">
        <color auto="1"/>
      </left>
      <right style="dotted">
        <color auto="1"/>
      </right>
      <top style="mediumDashed">
        <color auto="1"/>
      </top>
      <bottom style="dotted">
        <color auto="1"/>
      </bottom>
      <diagonal/>
    </border>
    <border>
      <left style="dotted">
        <color auto="1"/>
      </left>
      <right style="mediumDashed">
        <color auto="1"/>
      </right>
      <top style="mediumDash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Dashed">
        <color auto="1"/>
      </left>
      <right style="dotted">
        <color auto="1"/>
      </right>
      <top style="dotted">
        <color auto="1"/>
      </top>
      <bottom style="mediumDashed">
        <color auto="1"/>
      </bottom>
      <diagonal/>
    </border>
    <border>
      <left style="thin">
        <color auto="1"/>
      </left>
      <right/>
      <top style="dotted">
        <color auto="1"/>
      </top>
      <bottom style="mediumDashed">
        <color auto="1"/>
      </bottom>
      <diagonal/>
    </border>
    <border>
      <left style="dotted">
        <color auto="1"/>
      </left>
      <right/>
      <top style="dotted">
        <color auto="1"/>
      </top>
      <bottom style="mediumDash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 style="mediumDash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 style="dotted">
        <color auto="1"/>
      </left>
      <right style="mediumDashed">
        <color auto="1"/>
      </right>
      <top style="dotted">
        <color auto="1"/>
      </top>
      <bottom style="thin">
        <color auto="1"/>
      </bottom>
      <diagonal/>
    </border>
    <border>
      <left style="mediumDashed">
        <color auto="1"/>
      </left>
      <right style="thin">
        <color auto="1"/>
      </right>
      <top style="thin">
        <color auto="1"/>
      </top>
      <bottom/>
      <diagonal/>
    </border>
    <border>
      <left style="mediumDashed">
        <color auto="1"/>
      </left>
      <right style="thin">
        <color auto="1"/>
      </right>
      <top/>
      <bottom style="thin">
        <color auto="1"/>
      </bottom>
      <diagonal/>
    </border>
    <border>
      <left style="mediumDash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mediumDashed">
        <color auto="1"/>
      </left>
      <right style="thin">
        <color auto="1"/>
      </right>
      <top style="dotted">
        <color auto="1"/>
      </top>
      <bottom style="mediumDashed">
        <color auto="1"/>
      </bottom>
      <diagonal/>
    </border>
    <border>
      <left style="dotted">
        <color auto="1"/>
      </left>
      <right/>
      <top style="mediumDashed">
        <color auto="1"/>
      </top>
      <bottom style="dotted">
        <color auto="1"/>
      </bottom>
      <diagonal/>
    </border>
    <border>
      <left style="mediumDashed">
        <color auto="1"/>
      </left>
      <right style="thin">
        <color auto="1"/>
      </right>
      <top style="mediumDashed">
        <color auto="1"/>
      </top>
      <bottom style="dotted">
        <color auto="1"/>
      </bottom>
      <diagonal/>
    </border>
    <border>
      <left style="mediumDashed">
        <color auto="1"/>
      </left>
      <right style="thin">
        <color auto="1"/>
      </right>
      <top style="mediumDashed">
        <color auto="1"/>
      </top>
      <bottom style="thin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mediumDash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mediumDash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 style="mediumDash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/>
      <top style="dotted">
        <color auto="1"/>
      </top>
      <bottom/>
      <diagonal/>
    </border>
    <border>
      <left style="mediumDash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/>
      <top style="dotted">
        <color auto="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vertical="center"/>
    </xf>
    <xf numFmtId="0" fontId="7" fillId="2" borderId="2" xfId="0" applyFont="1" applyFill="1" applyBorder="1" applyAlignment="1" applyProtection="1">
      <alignment horizontal="center" vertical="center"/>
      <protection locked="0"/>
    </xf>
    <xf numFmtId="0" fontId="7" fillId="2" borderId="0" xfId="0" applyFont="1" applyFill="1" applyAlignment="1" applyProtection="1">
      <alignment horizontal="center" vertical="center"/>
      <protection locked="0"/>
    </xf>
    <xf numFmtId="0" fontId="6" fillId="3" borderId="2" xfId="0" applyFont="1" applyFill="1" applyBorder="1" applyAlignment="1" applyProtection="1">
      <alignment vertical="center"/>
      <protection locked="0"/>
    </xf>
    <xf numFmtId="0" fontId="6" fillId="0" borderId="0" xfId="0" applyFont="1" applyProtection="1">
      <protection locked="0"/>
    </xf>
    <xf numFmtId="4" fontId="6" fillId="3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1" xfId="0" applyFill="1" applyBorder="1" applyAlignment="1" applyProtection="1">
      <alignment vertical="center"/>
      <protection locked="0"/>
    </xf>
    <xf numFmtId="0" fontId="0" fillId="2" borderId="0" xfId="0" applyFill="1" applyAlignment="1" applyProtection="1">
      <alignment vertical="center"/>
      <protection locked="0"/>
    </xf>
    <xf numFmtId="0" fontId="0" fillId="0" borderId="0" xfId="0" applyAlignment="1" applyProtection="1">
      <alignment vertical="center"/>
      <protection locked="0"/>
    </xf>
    <xf numFmtId="4" fontId="0" fillId="0" borderId="0" xfId="0" applyNumberFormat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43" fontId="0" fillId="0" borderId="0" xfId="0" applyNumberFormat="1" applyProtection="1">
      <protection locked="0"/>
    </xf>
    <xf numFmtId="0" fontId="0" fillId="0" borderId="0" xfId="0" quotePrefix="1" applyProtection="1">
      <protection locked="0"/>
    </xf>
    <xf numFmtId="0" fontId="2" fillId="0" borderId="0" xfId="0" quotePrefix="1" applyFont="1" applyProtection="1">
      <protection locked="0"/>
    </xf>
    <xf numFmtId="4" fontId="0" fillId="0" borderId="0" xfId="0" applyNumberFormat="1" applyProtection="1">
      <protection locked="0"/>
    </xf>
    <xf numFmtId="164" fontId="0" fillId="6" borderId="3" xfId="2" quotePrefix="1" applyNumberFormat="1" applyFont="1" applyFill="1" applyBorder="1" applyAlignment="1" applyProtection="1">
      <alignment horizontal="center" vertical="center"/>
    </xf>
    <xf numFmtId="164" fontId="11" fillId="6" borderId="18" xfId="2" quotePrefix="1" applyNumberFormat="1" applyFont="1" applyFill="1" applyBorder="1" applyAlignment="1" applyProtection="1">
      <alignment horizontal="center" vertical="center"/>
    </xf>
    <xf numFmtId="164" fontId="12" fillId="6" borderId="18" xfId="2" quotePrefix="1" applyNumberFormat="1" applyFont="1" applyFill="1" applyBorder="1" applyAlignment="1" applyProtection="1">
      <alignment horizontal="center" vertical="center"/>
    </xf>
    <xf numFmtId="164" fontId="0" fillId="0" borderId="15" xfId="2" applyNumberFormat="1" applyFont="1" applyBorder="1" applyAlignment="1" applyProtection="1">
      <alignment horizontal="center" vertical="center"/>
    </xf>
    <xf numFmtId="164" fontId="0" fillId="0" borderId="3" xfId="2" applyNumberFormat="1" applyFont="1" applyBorder="1" applyAlignment="1" applyProtection="1">
      <alignment horizontal="center" vertical="center"/>
    </xf>
    <xf numFmtId="164" fontId="0" fillId="6" borderId="24" xfId="2" quotePrefix="1" applyNumberFormat="1" applyFont="1" applyFill="1" applyBorder="1" applyAlignment="1" applyProtection="1">
      <alignment horizontal="center" vertical="center"/>
    </xf>
    <xf numFmtId="0" fontId="0" fillId="0" borderId="0" xfId="0" applyAlignment="1" applyProtection="1">
      <alignment horizontal="center"/>
      <protection locked="0"/>
    </xf>
    <xf numFmtId="164" fontId="0" fillId="0" borderId="0" xfId="2" applyNumberFormat="1" applyFont="1" applyAlignment="1" applyProtection="1">
      <alignment horizontal="center" vertical="center"/>
    </xf>
    <xf numFmtId="164" fontId="0" fillId="0" borderId="35" xfId="2" applyNumberFormat="1" applyFont="1" applyBorder="1" applyAlignment="1" applyProtection="1">
      <alignment horizontal="center" vertical="center"/>
    </xf>
    <xf numFmtId="164" fontId="0" fillId="0" borderId="40" xfId="2" applyNumberFormat="1" applyFont="1" applyBorder="1" applyAlignment="1" applyProtection="1">
      <alignment horizontal="center" vertical="center"/>
    </xf>
    <xf numFmtId="164" fontId="0" fillId="0" borderId="0" xfId="0" quotePrefix="1" applyNumberFormat="1" applyProtection="1">
      <protection locked="0"/>
    </xf>
    <xf numFmtId="164" fontId="1" fillId="6" borderId="24" xfId="2" quotePrefix="1" applyNumberFormat="1" applyFont="1" applyFill="1" applyBorder="1" applyAlignment="1" applyProtection="1">
      <alignment horizontal="center" vertical="center"/>
    </xf>
    <xf numFmtId="164" fontId="11" fillId="0" borderId="15" xfId="2" applyNumberFormat="1" applyFont="1" applyFill="1" applyBorder="1" applyAlignment="1" applyProtection="1">
      <alignment horizontal="center" vertical="center"/>
    </xf>
    <xf numFmtId="164" fontId="11" fillId="0" borderId="35" xfId="2" applyNumberFormat="1" applyFont="1" applyFill="1" applyBorder="1" applyAlignment="1" applyProtection="1">
      <alignment horizontal="center" vertical="center"/>
    </xf>
    <xf numFmtId="164" fontId="11" fillId="0" borderId="3" xfId="2" applyNumberFormat="1" applyFont="1" applyFill="1" applyBorder="1" applyAlignment="1" applyProtection="1">
      <alignment horizontal="center" vertical="center"/>
    </xf>
    <xf numFmtId="164" fontId="11" fillId="0" borderId="40" xfId="2" applyNumberFormat="1" applyFont="1" applyFill="1" applyBorder="1" applyAlignment="1" applyProtection="1">
      <alignment horizontal="center" vertical="center"/>
    </xf>
    <xf numFmtId="4" fontId="0" fillId="3" borderId="17" xfId="1" applyNumberFormat="1" applyFont="1" applyFill="1" applyBorder="1" applyAlignment="1" applyProtection="1">
      <alignment horizontal="center" vertical="center"/>
      <protection locked="0"/>
    </xf>
    <xf numFmtId="3" fontId="0" fillId="3" borderId="17" xfId="0" quotePrefix="1" applyNumberForma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2" fillId="0" borderId="0" xfId="0" applyFont="1" applyProtection="1">
      <protection locked="0"/>
    </xf>
    <xf numFmtId="0" fontId="11" fillId="0" borderId="0" xfId="0" applyFont="1" applyAlignment="1" applyProtection="1">
      <alignment vertical="center"/>
      <protection locked="0"/>
    </xf>
    <xf numFmtId="0" fontId="8" fillId="0" borderId="0" xfId="0" applyFont="1" applyAlignment="1">
      <alignment vertical="center"/>
    </xf>
    <xf numFmtId="0" fontId="7" fillId="8" borderId="0" xfId="0" applyFont="1" applyFill="1" applyAlignment="1">
      <alignment vertical="center"/>
    </xf>
    <xf numFmtId="0" fontId="6" fillId="0" borderId="0" xfId="0" applyFont="1" applyAlignment="1">
      <alignment horizontal="left" vertical="center" indent="1"/>
    </xf>
    <xf numFmtId="164" fontId="0" fillId="0" borderId="0" xfId="2" applyNumberFormat="1" applyFont="1" applyAlignment="1" applyProtection="1">
      <alignment vertic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left"/>
    </xf>
    <xf numFmtId="0" fontId="0" fillId="7" borderId="0" xfId="0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" fontId="0" fillId="0" borderId="0" xfId="0" applyNumberFormat="1" applyAlignment="1">
      <alignment horizontal="center"/>
    </xf>
    <xf numFmtId="43" fontId="0" fillId="0" borderId="0" xfId="1" applyFont="1" applyProtection="1"/>
    <xf numFmtId="4" fontId="0" fillId="0" borderId="0" xfId="0" applyNumberFormat="1"/>
    <xf numFmtId="9" fontId="0" fillId="0" borderId="0" xfId="2" applyFont="1" applyAlignment="1" applyProtection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/>
    </xf>
    <xf numFmtId="0" fontId="8" fillId="0" borderId="12" xfId="0" applyFont="1" applyBorder="1" applyAlignment="1">
      <alignment vertical="center"/>
    </xf>
    <xf numFmtId="0" fontId="0" fillId="0" borderId="13" xfId="0" applyBorder="1"/>
    <xf numFmtId="0" fontId="9" fillId="5" borderId="17" xfId="0" applyFont="1" applyFill="1" applyBorder="1" applyAlignment="1">
      <alignment horizontal="left" vertical="center"/>
    </xf>
    <xf numFmtId="0" fontId="3" fillId="5" borderId="17" xfId="0" applyFont="1" applyFill="1" applyBorder="1" applyAlignment="1">
      <alignment horizontal="center" vertical="center" wrapText="1"/>
    </xf>
    <xf numFmtId="0" fontId="0" fillId="0" borderId="17" xfId="0" applyBorder="1" applyAlignment="1">
      <alignment vertical="center"/>
    </xf>
    <xf numFmtId="165" fontId="0" fillId="0" borderId="17" xfId="0" applyNumberFormat="1" applyBorder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 applyProtection="1">
      <alignment horizontal="center" vertical="center"/>
      <protection locked="0"/>
    </xf>
    <xf numFmtId="0" fontId="7" fillId="2" borderId="5" xfId="0" applyFont="1" applyFill="1" applyBorder="1" applyAlignment="1" applyProtection="1">
      <alignment horizontal="center" vertical="center"/>
    </xf>
    <xf numFmtId="0" fontId="3" fillId="2" borderId="7" xfId="0" applyFont="1" applyFill="1" applyBorder="1" applyAlignment="1" applyProtection="1">
      <alignment horizontal="center" vertical="center"/>
    </xf>
    <xf numFmtId="0" fontId="3" fillId="2" borderId="8" xfId="0" applyFont="1" applyFill="1" applyBorder="1" applyAlignment="1" applyProtection="1">
      <alignment horizontal="center" vertical="center"/>
    </xf>
    <xf numFmtId="0" fontId="3" fillId="2" borderId="21" xfId="0" applyFont="1" applyFill="1" applyBorder="1" applyAlignment="1" applyProtection="1">
      <alignment horizontal="center" vertical="center"/>
    </xf>
    <xf numFmtId="0" fontId="3" fillId="2" borderId="27" xfId="0" applyFont="1" applyFill="1" applyBorder="1" applyAlignment="1" applyProtection="1">
      <alignment horizontal="center" vertical="center"/>
    </xf>
    <xf numFmtId="0" fontId="7" fillId="2" borderId="9" xfId="0" applyFont="1" applyFill="1" applyBorder="1" applyAlignment="1" applyProtection="1">
      <alignment horizontal="center" vertical="center"/>
    </xf>
    <xf numFmtId="0" fontId="3" fillId="2" borderId="10" xfId="0" applyFont="1" applyFill="1" applyBorder="1" applyAlignment="1" applyProtection="1">
      <alignment horizontal="center" vertical="center"/>
    </xf>
    <xf numFmtId="0" fontId="3" fillId="2" borderId="11" xfId="0" applyFont="1" applyFill="1" applyBorder="1" applyAlignment="1" applyProtection="1">
      <alignment horizontal="center" vertical="center"/>
    </xf>
    <xf numFmtId="0" fontId="3" fillId="2" borderId="22" xfId="0" applyFont="1" applyFill="1" applyBorder="1" applyAlignment="1" applyProtection="1">
      <alignment horizontal="center" vertical="center"/>
    </xf>
    <xf numFmtId="0" fontId="3" fillId="2" borderId="28" xfId="0" applyFont="1" applyFill="1" applyBorder="1" applyAlignment="1" applyProtection="1">
      <alignment horizontal="center" vertical="center"/>
    </xf>
    <xf numFmtId="0" fontId="0" fillId="6" borderId="6" xfId="0" applyFill="1" applyBorder="1" applyAlignment="1" applyProtection="1">
      <alignment vertical="center"/>
    </xf>
    <xf numFmtId="4" fontId="0" fillId="6" borderId="4" xfId="0" applyNumberFormat="1" applyFill="1" applyBorder="1" applyAlignment="1" applyProtection="1">
      <alignment horizontal="center" vertical="center"/>
    </xf>
    <xf numFmtId="4" fontId="0" fillId="6" borderId="2" xfId="0" applyNumberFormat="1" applyFill="1" applyBorder="1" applyAlignment="1" applyProtection="1">
      <alignment horizontal="center" vertical="center"/>
    </xf>
    <xf numFmtId="0" fontId="0" fillId="0" borderId="29" xfId="0" applyBorder="1" applyAlignment="1" applyProtection="1">
      <alignment horizontal="center" vertical="center"/>
    </xf>
    <xf numFmtId="0" fontId="11" fillId="6" borderId="19" xfId="0" applyFont="1" applyFill="1" applyBorder="1" applyAlignment="1" applyProtection="1">
      <alignment vertical="center"/>
    </xf>
    <xf numFmtId="4" fontId="11" fillId="6" borderId="20" xfId="0" quotePrefix="1" applyNumberFormat="1" applyFont="1" applyFill="1" applyBorder="1" applyAlignment="1" applyProtection="1">
      <alignment horizontal="center" vertical="center"/>
    </xf>
    <xf numFmtId="0" fontId="11" fillId="0" borderId="30" xfId="0" applyFont="1" applyBorder="1" applyAlignment="1" applyProtection="1">
      <alignment horizontal="left" vertical="center"/>
    </xf>
    <xf numFmtId="0" fontId="3" fillId="0" borderId="14" xfId="0" applyFont="1" applyBorder="1" applyAlignment="1" applyProtection="1">
      <alignment horizontal="left" vertical="center" indent="2"/>
    </xf>
    <xf numFmtId="4" fontId="0" fillId="0" borderId="16" xfId="0" applyNumberFormat="1" applyBorder="1" applyAlignment="1" applyProtection="1">
      <alignment horizontal="center" vertical="center"/>
    </xf>
    <xf numFmtId="4" fontId="0" fillId="0" borderId="31" xfId="0" applyNumberFormat="1" applyBorder="1" applyAlignment="1" applyProtection="1">
      <alignment horizontal="center" vertical="center"/>
    </xf>
    <xf numFmtId="0" fontId="0" fillId="0" borderId="32" xfId="0" applyBorder="1" applyAlignment="1" applyProtection="1">
      <alignment horizontal="center" vertical="center"/>
    </xf>
    <xf numFmtId="0" fontId="3" fillId="0" borderId="34" xfId="0" applyFont="1" applyBorder="1" applyAlignment="1" applyProtection="1">
      <alignment horizontal="left" vertical="center" indent="2"/>
    </xf>
    <xf numFmtId="4" fontId="0" fillId="0" borderId="36" xfId="0" applyNumberFormat="1" applyBorder="1" applyAlignment="1" applyProtection="1">
      <alignment horizontal="center" vertical="center"/>
    </xf>
    <xf numFmtId="4" fontId="0" fillId="0" borderId="37" xfId="0" applyNumberFormat="1" applyBorder="1" applyAlignment="1" applyProtection="1">
      <alignment horizontal="center" vertical="center"/>
    </xf>
    <xf numFmtId="0" fontId="0" fillId="0" borderId="38" xfId="0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left" vertical="center" indent="2"/>
    </xf>
    <xf numFmtId="4" fontId="0" fillId="0" borderId="4" xfId="0" applyNumberFormat="1" applyBorder="1" applyAlignment="1" applyProtection="1">
      <alignment horizontal="center" vertical="center"/>
    </xf>
    <xf numFmtId="4" fontId="0" fillId="0" borderId="2" xfId="0" applyNumberFormat="1" applyBorder="1" applyAlignment="1" applyProtection="1">
      <alignment horizontal="center" vertical="center"/>
    </xf>
    <xf numFmtId="0" fontId="3" fillId="0" borderId="39" xfId="0" applyFont="1" applyBorder="1" applyAlignment="1" applyProtection="1">
      <alignment horizontal="left" vertical="center" indent="2"/>
    </xf>
    <xf numFmtId="4" fontId="0" fillId="0" borderId="41" xfId="0" applyNumberFormat="1" applyBorder="1" applyAlignment="1" applyProtection="1">
      <alignment horizontal="center" vertical="center"/>
    </xf>
    <xf numFmtId="0" fontId="0" fillId="6" borderId="23" xfId="0" applyFill="1" applyBorder="1" applyAlignment="1" applyProtection="1">
      <alignment vertical="center"/>
    </xf>
    <xf numFmtId="4" fontId="0" fillId="6" borderId="25" xfId="0" quotePrefix="1" applyNumberFormat="1" applyFill="1" applyBorder="1" applyAlignment="1" applyProtection="1">
      <alignment horizontal="center" vertical="center"/>
    </xf>
    <xf numFmtId="4" fontId="0" fillId="6" borderId="26" xfId="0" quotePrefix="1" applyNumberFormat="1" applyFill="1" applyBorder="1" applyAlignment="1" applyProtection="1">
      <alignment horizontal="center" vertical="center"/>
    </xf>
    <xf numFmtId="0" fontId="8" fillId="0" borderId="33" xfId="0" applyFont="1" applyBorder="1" applyAlignment="1" applyProtection="1">
      <alignment vertical="center"/>
    </xf>
    <xf numFmtId="0" fontId="0" fillId="0" borderId="0" xfId="0" quotePrefix="1" applyProtection="1"/>
    <xf numFmtId="0" fontId="0" fillId="0" borderId="0" xfId="0" applyAlignment="1" applyProtection="1">
      <alignment vertical="center"/>
    </xf>
    <xf numFmtId="0" fontId="0" fillId="0" borderId="0" xfId="0" applyProtection="1"/>
    <xf numFmtId="0" fontId="12" fillId="2" borderId="0" xfId="0" applyFont="1" applyFill="1" applyAlignment="1" applyProtection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colors>
    <mruColors>
      <color rgb="FF00D0C5"/>
      <color rgb="FFFF99FF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000254626317692"/>
          <c:y val="3.7943925233644857E-2"/>
          <c:w val="0.87697193532976536"/>
          <c:h val="0.77821129835406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Cálculos!$X$2</c:f>
              <c:strCache>
                <c:ptCount val="1"/>
                <c:pt idx="0">
                  <c:v>Renda Fixa Pós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20000"/>
                  <a:lumOff val="8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Cálculos!$Y$1:$Z$1</c:f>
              <c:strCache>
                <c:ptCount val="2"/>
                <c:pt idx="0">
                  <c:v>Minha Carteira</c:v>
                </c:pt>
                <c:pt idx="1">
                  <c:v>Carteira Sugerida</c:v>
                </c:pt>
              </c:strCache>
            </c:strRef>
          </c:cat>
          <c:val>
            <c:numRef>
              <c:f>Cálculos!$Y$2:$Z$2</c:f>
              <c:numCache>
                <c:formatCode>0%</c:formatCode>
                <c:ptCount val="2"/>
                <c:pt idx="0">
                  <c:v>0</c:v>
                </c:pt>
                <c:pt idx="1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87-4D00-B36B-F6FE19FF6122}"/>
            </c:ext>
          </c:extLst>
        </c:ser>
        <c:ser>
          <c:idx val="1"/>
          <c:order val="1"/>
          <c:tx>
            <c:strRef>
              <c:f>Cálculos!$X$3</c:f>
              <c:strCache>
                <c:ptCount val="1"/>
                <c:pt idx="0">
                  <c:v>Renda Fixa Dinâmica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Cálculos!$Y$1:$Z$1</c:f>
              <c:strCache>
                <c:ptCount val="2"/>
                <c:pt idx="0">
                  <c:v>Minha Carteira</c:v>
                </c:pt>
                <c:pt idx="1">
                  <c:v>Carteira Sugerida</c:v>
                </c:pt>
              </c:strCache>
            </c:strRef>
          </c:cat>
          <c:val>
            <c:numRef>
              <c:f>Cálculos!$Y$3:$Z$3</c:f>
              <c:numCache>
                <c:formatCode>0%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87-4D00-B36B-F6FE19FF6122}"/>
            </c:ext>
          </c:extLst>
        </c:ser>
        <c:ser>
          <c:idx val="2"/>
          <c:order val="2"/>
          <c:tx>
            <c:strRef>
              <c:f>Cálculos!$X$4</c:f>
              <c:strCache>
                <c:ptCount val="1"/>
                <c:pt idx="0">
                  <c:v>Fundo Multimercado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solidFill>
                <a:schemeClr val="accent4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Cálculos!$Y$1:$Z$1</c:f>
              <c:strCache>
                <c:ptCount val="2"/>
                <c:pt idx="0">
                  <c:v>Minha Carteira</c:v>
                </c:pt>
                <c:pt idx="1">
                  <c:v>Carteira Sugerida</c:v>
                </c:pt>
              </c:strCache>
            </c:strRef>
          </c:cat>
          <c:val>
            <c:numRef>
              <c:f>Cálculos!$Y$4:$Z$4</c:f>
              <c:numCache>
                <c:formatCode>0%</c:formatCode>
                <c:ptCount val="2"/>
                <c:pt idx="0">
                  <c:v>0</c:v>
                </c:pt>
                <c:pt idx="1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87-4D00-B36B-F6FE19FF6122}"/>
            </c:ext>
          </c:extLst>
        </c:ser>
        <c:ser>
          <c:idx val="3"/>
          <c:order val="3"/>
          <c:tx>
            <c:strRef>
              <c:f>Cálculos!$X$5</c:f>
              <c:strCache>
                <c:ptCount val="1"/>
                <c:pt idx="0">
                  <c:v>Fundo Imobiliário (FII)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dLbl>
              <c:idx val="1"/>
              <c:layout>
                <c:manualLayout>
                  <c:x val="2.4638127502309825E-3"/>
                  <c:y val="-2.7568603830900437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4F-4B63-BC5B-4BB1B6FB15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Cálculos!$Y$1:$Z$1</c:f>
              <c:strCache>
                <c:ptCount val="2"/>
                <c:pt idx="0">
                  <c:v>Minha Carteira</c:v>
                </c:pt>
                <c:pt idx="1">
                  <c:v>Carteira Sugerida</c:v>
                </c:pt>
              </c:strCache>
            </c:strRef>
          </c:cat>
          <c:val>
            <c:numRef>
              <c:f>Cálculos!$Y$5:$Z$5</c:f>
              <c:numCache>
                <c:formatCode>0%</c:formatCode>
                <c:ptCount val="2"/>
                <c:pt idx="0">
                  <c:v>0</c:v>
                </c:pt>
                <c:pt idx="1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87-4D00-B36B-F6FE19FF6122}"/>
            </c:ext>
          </c:extLst>
        </c:ser>
        <c:ser>
          <c:idx val="4"/>
          <c:order val="4"/>
          <c:tx>
            <c:strRef>
              <c:f>Cálculos!$X$6</c:f>
              <c:strCache>
                <c:ptCount val="1"/>
                <c:pt idx="0">
                  <c:v>Renda Variável</c:v>
                </c:pt>
              </c:strCache>
            </c:strRef>
          </c:tx>
          <c:spPr>
            <a:solidFill>
              <a:srgbClr val="FF99FF"/>
            </a:solidFill>
            <a:ln>
              <a:solidFill>
                <a:srgbClr val="FF99FF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Cálculos!$Y$1:$Z$1</c:f>
              <c:strCache>
                <c:ptCount val="2"/>
                <c:pt idx="0">
                  <c:v>Minha Carteira</c:v>
                </c:pt>
                <c:pt idx="1">
                  <c:v>Carteira Sugerida</c:v>
                </c:pt>
              </c:strCache>
            </c:strRef>
          </c:cat>
          <c:val>
            <c:numRef>
              <c:f>Cálculos!$Y$6:$Z$6</c:f>
              <c:numCache>
                <c:formatCode>0%</c:formatCode>
                <c:ptCount val="2"/>
                <c:pt idx="0">
                  <c:v>0</c:v>
                </c:pt>
                <c:pt idx="1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87-4D00-B36B-F6FE19FF6122}"/>
            </c:ext>
          </c:extLst>
        </c:ser>
        <c:ser>
          <c:idx val="5"/>
          <c:order val="5"/>
          <c:tx>
            <c:strRef>
              <c:f>Cálculos!$X$7</c:f>
              <c:strCache>
                <c:ptCount val="1"/>
                <c:pt idx="0">
                  <c:v>Investimento Global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>
                  <a:lumMod val="60000"/>
                  <a:lumOff val="40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Cálculos!$Y$1:$Z$1</c:f>
              <c:strCache>
                <c:ptCount val="2"/>
                <c:pt idx="0">
                  <c:v>Minha Carteira</c:v>
                </c:pt>
                <c:pt idx="1">
                  <c:v>Carteira Sugerida</c:v>
                </c:pt>
              </c:strCache>
            </c:strRef>
          </c:cat>
          <c:val>
            <c:numRef>
              <c:f>Cálculos!$Y$7:$Z$7</c:f>
              <c:numCache>
                <c:formatCode>0%</c:formatCode>
                <c:ptCount val="2"/>
                <c:pt idx="0">
                  <c:v>0</c:v>
                </c:pt>
                <c:pt idx="1">
                  <c:v>0.17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E87-4D00-B36B-F6FE19FF6122}"/>
            </c:ext>
          </c:extLst>
        </c:ser>
        <c:ser>
          <c:idx val="6"/>
          <c:order val="6"/>
          <c:tx>
            <c:strRef>
              <c:f>Cálculos!$X$8</c:f>
              <c:strCache>
                <c:ptCount val="1"/>
                <c:pt idx="0">
                  <c:v>Ouro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dLbls>
            <c:dLbl>
              <c:idx val="1"/>
              <c:layout>
                <c:manualLayout>
                  <c:x val="-3.6957191253464737E-3"/>
                  <c:y val="-2.7568603830900437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4F-4B63-BC5B-4BB1B6FB15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Cálculos!$Y$1:$Z$1</c:f>
              <c:strCache>
                <c:ptCount val="2"/>
                <c:pt idx="0">
                  <c:v>Minha Carteira</c:v>
                </c:pt>
                <c:pt idx="1">
                  <c:v>Carteira Sugerida</c:v>
                </c:pt>
              </c:strCache>
            </c:strRef>
          </c:cat>
          <c:val>
            <c:numRef>
              <c:f>Cálculos!$Y$8:$Z$8</c:f>
              <c:numCache>
                <c:formatCode>0%</c:formatCode>
                <c:ptCount val="2"/>
                <c:pt idx="0">
                  <c:v>0</c:v>
                </c:pt>
                <c:pt idx="1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87-4D00-B36B-F6FE19FF6122}"/>
            </c:ext>
          </c:extLst>
        </c:ser>
        <c:ser>
          <c:idx val="7"/>
          <c:order val="7"/>
          <c:tx>
            <c:strRef>
              <c:f>Cálculos!$X$9</c:f>
              <c:strCache>
                <c:ptCount val="1"/>
                <c:pt idx="0">
                  <c:v>Alternativos</c:v>
                </c:pt>
              </c:strCache>
            </c:strRef>
          </c:tx>
          <c:spPr>
            <a:solidFill>
              <a:srgbClr val="FF9966"/>
            </a:solidFill>
            <a:ln>
              <a:solidFill>
                <a:srgbClr val="FF9966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3.69571912534647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4F-4B63-BC5B-4BB1B6FB15A2}"/>
                </c:ext>
              </c:extLst>
            </c:dLbl>
            <c:dLbl>
              <c:idx val="1"/>
              <c:layout>
                <c:manualLayout>
                  <c:x val="1.2642075422740313E-3"/>
                  <c:y val="-2.7568603830900437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4F-4B63-BC5B-4BB1B6FB15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Cálculos!$Y$1:$Z$1</c:f>
              <c:strCache>
                <c:ptCount val="2"/>
                <c:pt idx="0">
                  <c:v>Minha Carteira</c:v>
                </c:pt>
                <c:pt idx="1">
                  <c:v>Carteira Sugerida</c:v>
                </c:pt>
              </c:strCache>
            </c:strRef>
          </c:cat>
          <c:val>
            <c:numRef>
              <c:f>Cálculos!$Y$9:$Z$9</c:f>
              <c:numCache>
                <c:formatCode>0%</c:formatCode>
                <c:ptCount val="2"/>
                <c:pt idx="0">
                  <c:v>0</c:v>
                </c:pt>
                <c:pt idx="1">
                  <c:v>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E87-4D00-B36B-F6FE19FF61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611449199"/>
        <c:axId val="611450031"/>
      </c:barChart>
      <c:catAx>
        <c:axId val="6114491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450031"/>
        <c:crosses val="autoZero"/>
        <c:auto val="1"/>
        <c:lblAlgn val="ctr"/>
        <c:lblOffset val="100"/>
        <c:noMultiLvlLbl val="0"/>
      </c:catAx>
      <c:valAx>
        <c:axId val="611450031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611449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3582311009639038E-2"/>
          <c:y val="0.81615522358770576"/>
          <c:w val="0.98032936418223071"/>
          <c:h val="0.1464615988422007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31" fmlaLink="Cálculos!$B$2" fmlaRange="Cálculos!$G$2:$G$19" noThreeD="1" sel="1" val="0"/>
</file>

<file path=xl/ctrlProps/ctrlProp2.xml><?xml version="1.0" encoding="utf-8"?>
<formControlPr xmlns="http://schemas.microsoft.com/office/spreadsheetml/2009/9/main" objectType="Drop" dropStyle="combo" dx="31" fmlaLink="Cálculos!$B$3" fmlaRange="Cálculos!$G$2:$G$19" noThreeD="1" sel="1" val="0"/>
</file>

<file path=xl/ctrlProps/ctrlProp3.xml><?xml version="1.0" encoding="utf-8"?>
<formControlPr xmlns="http://schemas.microsoft.com/office/spreadsheetml/2009/9/main" objectType="Drop" dropStyle="combo" dx="31" fmlaLink="Cálculos!$B$4" fmlaRange="Cálculos!$G$2:$G$19" noThreeD="1" sel="1" val="0"/>
</file>

<file path=xl/ctrlProps/ctrlProp4.xml><?xml version="1.0" encoding="utf-8"?>
<formControlPr xmlns="http://schemas.microsoft.com/office/spreadsheetml/2009/9/main" objectType="Drop" dropStyle="combo" dx="31" fmlaLink="Cálculos!$B$5" fmlaRange="Cálculos!$G$2:$G$19" noThreeD="1" sel="1" val="0"/>
</file>

<file path=xl/ctrlProps/ctrlProp5.xml><?xml version="1.0" encoding="utf-8"?>
<formControlPr xmlns="http://schemas.microsoft.com/office/spreadsheetml/2009/9/main" objectType="Drop" dropStyle="combo" dx="31" fmlaLink="Cálculos!$B$6" fmlaRange="Cálculos!$G$2:$G$19" noThreeD="1" sel="1" val="0"/>
</file>

<file path=xl/ctrlProps/ctrlProp6.xml><?xml version="1.0" encoding="utf-8"?>
<formControlPr xmlns="http://schemas.microsoft.com/office/spreadsheetml/2009/9/main" objectType="Drop" dropStyle="combo" dx="31" fmlaLink="Cálculos!$B$7" fmlaRange="Cálculos!$G$2:$G$19" noThreeD="1" sel="1" val="0"/>
</file>

<file path=xl/ctrlProps/ctrlProp7.xml><?xml version="1.0" encoding="utf-8"?>
<formControlPr xmlns="http://schemas.microsoft.com/office/spreadsheetml/2009/9/main" objectType="Drop" dropStyle="combo" dx="31" fmlaLink="Cálculos!$B$8" fmlaRange="Cálculos!$G$2:$G$19" noThreeD="1" sel="1" val="0"/>
</file>

<file path=xl/ctrlProps/ctrlProp8.xml><?xml version="1.0" encoding="utf-8"?>
<formControlPr xmlns="http://schemas.microsoft.com/office/spreadsheetml/2009/9/main" objectType="Drop" dropStyle="combo" dx="31" fmlaLink="Cálculos!$B$9" fmlaRange="Cálculos!$G$2:$G$19" noThreeD="1" sel="1" val="0"/>
</file>

<file path=xl/ctrlProps/ctrlProp9.xml><?xml version="1.0" encoding="utf-8"?>
<formControlPr xmlns="http://schemas.microsoft.com/office/spreadsheetml/2009/9/main" objectType="Drop" dropStyle="combo" dx="31" fmlaLink="Cálculos!$B$10" fmlaRange="Cálculos!$G$2:$G$19" noThreeD="1" sel="1" val="0"/>
</file>

<file path=xl/ctrlProps/ctrlProp10.xml><?xml version="1.0" encoding="utf-8"?>
<formControlPr xmlns="http://schemas.microsoft.com/office/spreadsheetml/2009/9/main" objectType="Drop" dropStyle="combo" dx="31" fmlaLink="Cálculos!$B$11" fmlaRange="Cálculos!$G$2:$G$19" noThreeD="1" sel="1" val="0"/>
</file>

<file path=xl/ctrlProps/ctrlProp11.xml><?xml version="1.0" encoding="utf-8"?>
<formControlPr xmlns="http://schemas.microsoft.com/office/spreadsheetml/2009/9/main" objectType="Drop" dropStyle="combo" dx="31" fmlaLink="Cálculos!$B$12" fmlaRange="Cálculos!$G$2:$G$19" noThreeD="1" sel="1" val="0"/>
</file>

<file path=xl/ctrlProps/ctrlProp12.xml><?xml version="1.0" encoding="utf-8"?>
<formControlPr xmlns="http://schemas.microsoft.com/office/spreadsheetml/2009/9/main" objectType="Drop" dropStyle="combo" dx="31" fmlaLink="Cálculos!$B$13" fmlaRange="Cálculos!$G$2:$G$19" noThreeD="1" sel="1" val="0"/>
</file>

<file path=xl/ctrlProps/ctrlProp13.xml><?xml version="1.0" encoding="utf-8"?>
<formControlPr xmlns="http://schemas.microsoft.com/office/spreadsheetml/2009/9/main" objectType="Drop" dropStyle="combo" dx="31" fmlaLink="Cálculos!$B$14" fmlaRange="Cálculos!$G$2:$G$19" noThreeD="1" sel="1" val="0"/>
</file>

<file path=xl/ctrlProps/ctrlProp14.xml><?xml version="1.0" encoding="utf-8"?>
<formControlPr xmlns="http://schemas.microsoft.com/office/spreadsheetml/2009/9/main" objectType="Drop" dropStyle="combo" dx="31" fmlaLink="Cálculos!$B$15" fmlaRange="Cálculos!$G$2:$G$19" noThreeD="1" sel="1" val="0"/>
</file>

<file path=xl/ctrlProps/ctrlProp15.xml><?xml version="1.0" encoding="utf-8"?>
<formControlPr xmlns="http://schemas.microsoft.com/office/spreadsheetml/2009/9/main" objectType="Drop" dropStyle="combo" dx="31" fmlaLink="Cálculos!$B$16" fmlaRange="Cálculos!$G$2:$G$19" noThreeD="1" sel="1" val="0"/>
</file>

<file path=xl/ctrlProps/ctrlProp16.xml><?xml version="1.0" encoding="utf-8"?>
<formControlPr xmlns="http://schemas.microsoft.com/office/spreadsheetml/2009/9/main" objectType="Drop" dropStyle="combo" dx="31" fmlaLink="Cálculos!$B$17" fmlaRange="Cálculos!$G$2:$G$19" noThreeD="1" sel="1" val="0"/>
</file>

<file path=xl/ctrlProps/ctrlProp17.xml><?xml version="1.0" encoding="utf-8"?>
<formControlPr xmlns="http://schemas.microsoft.com/office/spreadsheetml/2009/9/main" objectType="Drop" dropStyle="combo" dx="31" fmlaLink="Cálculos!$B$18" fmlaRange="Cálculos!$G$2:$G$19" noThreeD="1" sel="1" val="0"/>
</file>

<file path=xl/ctrlProps/ctrlProp18.xml><?xml version="1.0" encoding="utf-8"?>
<formControlPr xmlns="http://schemas.microsoft.com/office/spreadsheetml/2009/9/main" objectType="Drop" dropStyle="combo" dx="31" fmlaLink="Cálculos!$B$19" fmlaRange="Cálculos!$G$2:$G$19" noThreeD="1" sel="1" val="0"/>
</file>

<file path=xl/ctrlProps/ctrlProp19.xml><?xml version="1.0" encoding="utf-8"?>
<formControlPr xmlns="http://schemas.microsoft.com/office/spreadsheetml/2009/9/main" objectType="Drop" dropStyle="combo" dx="31" fmlaLink="Cálculos!$B$20" fmlaRange="Cálculos!$G$2:$G$19" noThreeD="1" sel="1" val="0"/>
</file>

<file path=xl/ctrlProps/ctrlProp20.xml><?xml version="1.0" encoding="utf-8"?>
<formControlPr xmlns="http://schemas.microsoft.com/office/spreadsheetml/2009/9/main" objectType="Drop" dropStyle="combo" dx="31" fmlaLink="Cálculos!$B$21" fmlaRange="Cálculos!$G$2:$G$19" noThreeD="1" sel="1" val="0"/>
</file>

<file path=xl/ctrlProps/ctrlProp21.xml><?xml version="1.0" encoding="utf-8"?>
<formControlPr xmlns="http://schemas.microsoft.com/office/spreadsheetml/2009/9/main" objectType="Drop" dropStyle="combo" dx="31" fmlaLink="Cálculos!$B$22" fmlaRange="Cálculos!$G$2:$G$19" noThreeD="1" sel="1" val="0"/>
</file>

<file path=xl/ctrlProps/ctrlProp22.xml><?xml version="1.0" encoding="utf-8"?>
<formControlPr xmlns="http://schemas.microsoft.com/office/spreadsheetml/2009/9/main" objectType="Drop" dropStyle="combo" dx="31" fmlaLink="Cálculos!$B$23" fmlaRange="Cálculos!$G$2:$G$19" noThreeD="1" sel="1" val="0"/>
</file>

<file path=xl/ctrlProps/ctrlProp23.xml><?xml version="1.0" encoding="utf-8"?>
<formControlPr xmlns="http://schemas.microsoft.com/office/spreadsheetml/2009/9/main" objectType="Drop" dropStyle="combo" dx="31" fmlaLink="Cálculos!$B$24" fmlaRange="Cálculos!$G$2:$G$19" noThreeD="1" sel="1" val="0"/>
</file>

<file path=xl/ctrlProps/ctrlProp24.xml><?xml version="1.0" encoding="utf-8"?>
<formControlPr xmlns="http://schemas.microsoft.com/office/spreadsheetml/2009/9/main" objectType="Drop" dropStyle="combo" dx="31" fmlaLink="Cálculos!$B$25" fmlaRange="Cálculos!$G$2:$G$19" noThreeD="1" sel="1" val="0"/>
</file>

<file path=xl/ctrlProps/ctrlProp25.xml><?xml version="1.0" encoding="utf-8"?>
<formControlPr xmlns="http://schemas.microsoft.com/office/spreadsheetml/2009/9/main" objectType="Drop" dropStyle="combo" dx="31" fmlaLink="Cálculos!$B$26" fmlaRange="Cálculos!$G$2:$G$19" noThreeD="1" sel="1" val="0"/>
</file>

<file path=xl/ctrlProps/ctrlProp26.xml><?xml version="1.0" encoding="utf-8"?>
<formControlPr xmlns="http://schemas.microsoft.com/office/spreadsheetml/2009/9/main" objectType="Drop" dropStyle="combo" dx="31" fmlaLink="Cálculos!$B$27" fmlaRange="Cálculos!$G$2:$G$19" noThreeD="1" sel="1" val="0"/>
</file>

<file path=xl/ctrlProps/ctrlProp27.xml><?xml version="1.0" encoding="utf-8"?>
<formControlPr xmlns="http://schemas.microsoft.com/office/spreadsheetml/2009/9/main" objectType="Drop" dropStyle="combo" dx="31" fmlaLink="Cálculos!$B$28" fmlaRange="Cálculos!$G$2:$G$19" noThreeD="1" sel="1" val="0"/>
</file>

<file path=xl/ctrlProps/ctrlProp28.xml><?xml version="1.0" encoding="utf-8"?>
<formControlPr xmlns="http://schemas.microsoft.com/office/spreadsheetml/2009/9/main" objectType="Drop" dropStyle="combo" dx="31" fmlaLink="Cálculos!$B$29" fmlaRange="Cálculos!$G$2:$G$19" noThreeD="1" sel="1" val="0"/>
</file>

<file path=xl/ctrlProps/ctrlProp29.xml><?xml version="1.0" encoding="utf-8"?>
<formControlPr xmlns="http://schemas.microsoft.com/office/spreadsheetml/2009/9/main" objectType="Drop" dropStyle="combo" dx="31" fmlaLink="Cálculos!$B$30" fmlaRange="Cálculos!$G$2:$G$19" noThreeD="1" sel="1" val="0"/>
</file>

<file path=xl/ctrlProps/ctrlProp30.xml><?xml version="1.0" encoding="utf-8"?>
<formControlPr xmlns="http://schemas.microsoft.com/office/spreadsheetml/2009/9/main" objectType="Drop" dropStyle="combo" dx="31" fmlaLink="Cálculos!$B$31" fmlaRange="Cálculos!$G$2:$G$19" noThreeD="1" sel="1" val="0"/>
</file>

<file path=xl/ctrlProps/ctrlProp31.xml><?xml version="1.0" encoding="utf-8"?>
<formControlPr xmlns="http://schemas.microsoft.com/office/spreadsheetml/2009/9/main" objectType="Drop" dropStyle="combo" dx="31" fmlaLink="Cálculos!$B$32" fmlaRange="Cálculos!$G$2:$G$19" noThreeD="1" sel="1" val="0"/>
</file>

<file path=xl/ctrlProps/ctrlProp32.xml><?xml version="1.0" encoding="utf-8"?>
<formControlPr xmlns="http://schemas.microsoft.com/office/spreadsheetml/2009/9/main" objectType="Drop" dropStyle="combo" dx="31" fmlaLink="Cálculos!$B$33" fmlaRange="Cálculos!$G$2:$G$19" noThreeD="1" sel="1" val="0"/>
</file>

<file path=xl/ctrlProps/ctrlProp33.xml><?xml version="1.0" encoding="utf-8"?>
<formControlPr xmlns="http://schemas.microsoft.com/office/spreadsheetml/2009/9/main" objectType="Drop" dropStyle="combo" dx="31" fmlaLink="Cálculos!$B$34" fmlaRange="Cálculos!$G$2:$G$19" noThreeD="1" sel="1" val="0"/>
</file>

<file path=xl/ctrlProps/ctrlProp34.xml><?xml version="1.0" encoding="utf-8"?>
<formControlPr xmlns="http://schemas.microsoft.com/office/spreadsheetml/2009/9/main" objectType="Drop" dropStyle="combo" dx="31" fmlaLink="Cálculos!$B$35" fmlaRange="Cálculos!$G$2:$G$19" noThreeD="1" sel="1" val="0"/>
</file>

<file path=xl/ctrlProps/ctrlProp35.xml><?xml version="1.0" encoding="utf-8"?>
<formControlPr xmlns="http://schemas.microsoft.com/office/spreadsheetml/2009/9/main" objectType="Drop" dropStyle="combo" dx="31" fmlaLink="Cálculos!$B$36" fmlaRange="Cálculos!$G$2:$G$19" noThreeD="1" sel="1" val="0"/>
</file>

<file path=xl/ctrlProps/ctrlProp36.xml><?xml version="1.0" encoding="utf-8"?>
<formControlPr xmlns="http://schemas.microsoft.com/office/spreadsheetml/2009/9/main" objectType="Drop" dropStyle="combo" dx="31" fmlaLink="Cálculos!$B$37" fmlaRange="Cálculos!$G$2:$G$19" noThreeD="1" sel="1" val="0"/>
</file>

<file path=xl/ctrlProps/ctrlProp37.xml><?xml version="1.0" encoding="utf-8"?>
<formControlPr xmlns="http://schemas.microsoft.com/office/spreadsheetml/2009/9/main" objectType="Drop" dropStyle="combo" dx="31" fmlaLink="Cálculos!$B$38" fmlaRange="Cálculos!$G$2:$G$19" noThreeD="1" sel="1" val="0"/>
</file>

<file path=xl/ctrlProps/ctrlProp38.xml><?xml version="1.0" encoding="utf-8"?>
<formControlPr xmlns="http://schemas.microsoft.com/office/spreadsheetml/2009/9/main" objectType="Drop" dropStyle="combo" dx="31" fmlaLink="Cálculos!$B$39" fmlaRange="Cálculos!$G$2:$G$19" noThreeD="1" sel="1" val="0"/>
</file>

<file path=xl/ctrlProps/ctrlProp39.xml><?xml version="1.0" encoding="utf-8"?>
<formControlPr xmlns="http://schemas.microsoft.com/office/spreadsheetml/2009/9/main" objectType="Drop" dropStyle="combo" dx="31" fmlaLink="Cálculos!$B$40" fmlaRange="Cálculos!$G$2:$G$19" noThreeD="1" sel="1" val="0"/>
</file>

<file path=xl/ctrlProps/ctrlProp40.xml><?xml version="1.0" encoding="utf-8"?>
<formControlPr xmlns="http://schemas.microsoft.com/office/spreadsheetml/2009/9/main" objectType="Drop" dropStyle="combo" dx="31" fmlaLink="Cálculos!$B$41" fmlaRange="Cálculos!$G$2:$G$19" noThreeD="1" sel="1" val="0"/>
</file>

<file path=xl/ctrlProps/ctrlProp41.xml><?xml version="1.0" encoding="utf-8"?>
<formControlPr xmlns="http://schemas.microsoft.com/office/spreadsheetml/2009/9/main" objectType="Drop" dropStyle="combo" dx="31" fmlaLink="Cálculos!$B$42" fmlaRange="Cálculos!$G$2:$G$19" noThreeD="1" sel="1" val="0"/>
</file>

<file path=xl/ctrlProps/ctrlProp42.xml><?xml version="1.0" encoding="utf-8"?>
<formControlPr xmlns="http://schemas.microsoft.com/office/spreadsheetml/2009/9/main" objectType="Drop" dropStyle="combo" dx="31" fmlaLink="Cálculos!$B$43" fmlaRange="Cálculos!$G$2:$G$19" noThreeD="1" sel="1" val="0"/>
</file>

<file path=xl/ctrlProps/ctrlProp43.xml><?xml version="1.0" encoding="utf-8"?>
<formControlPr xmlns="http://schemas.microsoft.com/office/spreadsheetml/2009/9/main" objectType="Drop" dropStyle="combo" dx="31" fmlaLink="Cálculos!$B$44" fmlaRange="Cálculos!$G$2:$G$19" noThreeD="1" sel="1" val="0"/>
</file>

<file path=xl/ctrlProps/ctrlProp44.xml><?xml version="1.0" encoding="utf-8"?>
<formControlPr xmlns="http://schemas.microsoft.com/office/spreadsheetml/2009/9/main" objectType="Drop" dropStyle="combo" dx="31" fmlaLink="Cálculos!$B$45" fmlaRange="Cálculos!$G$2:$G$19" noThreeD="1" sel="1" val="0"/>
</file>

<file path=xl/ctrlProps/ctrlProp45.xml><?xml version="1.0" encoding="utf-8"?>
<formControlPr xmlns="http://schemas.microsoft.com/office/spreadsheetml/2009/9/main" objectType="Drop" dropStyle="combo" dx="31" fmlaLink="Cálculos!$B$46" fmlaRange="Cálculos!$G$2:$G$19" noThreeD="1" sel="1" val="0"/>
</file>

<file path=xl/ctrlProps/ctrlProp46.xml><?xml version="1.0" encoding="utf-8"?>
<formControlPr xmlns="http://schemas.microsoft.com/office/spreadsheetml/2009/9/main" objectType="Drop" dropStyle="combo" dx="31" fmlaLink="Cálculos!$B$47" fmlaRange="Cálculos!$G$2:$G$19" noThreeD="1" sel="1" val="0"/>
</file>

<file path=xl/ctrlProps/ctrlProp47.xml><?xml version="1.0" encoding="utf-8"?>
<formControlPr xmlns="http://schemas.microsoft.com/office/spreadsheetml/2009/9/main" objectType="Drop" dropStyle="combo" dx="31" fmlaLink="Cálculos!$B$48" fmlaRange="Cálculos!$G$2:$G$19" noThreeD="1" sel="1" val="0"/>
</file>

<file path=xl/ctrlProps/ctrlProp48.xml><?xml version="1.0" encoding="utf-8"?>
<formControlPr xmlns="http://schemas.microsoft.com/office/spreadsheetml/2009/9/main" objectType="Drop" dropStyle="combo" dx="31" fmlaLink="Cálculos!$B$49" fmlaRange="Cálculos!$G$2:$G$19" noThreeD="1" sel="1" val="0"/>
</file>

<file path=xl/ctrlProps/ctrlProp49.xml><?xml version="1.0" encoding="utf-8"?>
<formControlPr xmlns="http://schemas.microsoft.com/office/spreadsheetml/2009/9/main" objectType="Drop" dropStyle="combo" dx="31" fmlaLink="Cálculos!$B$50" fmlaRange="Cálculos!$G$2:$G$19" noThreeD="1" sel="1" val="0"/>
</file>

<file path=xl/ctrlProps/ctrlProp50.xml><?xml version="1.0" encoding="utf-8"?>
<formControlPr xmlns="http://schemas.microsoft.com/office/spreadsheetml/2009/9/main" objectType="Drop" dropStyle="combo" dx="31" fmlaLink="Cálculos!$B$51" fmlaRange="Cálculos!$G$2:$G$19" noThreeD="1" sel="1" val="0"/>
</file>

<file path=xl/ctrlProps/ctrlProp51.xml><?xml version="1.0" encoding="utf-8"?>
<formControlPr xmlns="http://schemas.microsoft.com/office/spreadsheetml/2009/9/main" objectType="Drop" dropStyle="combo" dx="31" fmlaLink="Cálculos!$B$52" fmlaRange="Cálculos!$G$2:$G$19" noThreeD="1" sel="1" val="0"/>
</file>

<file path=xl/ctrlProps/ctrlProp52.xml><?xml version="1.0" encoding="utf-8"?>
<formControlPr xmlns="http://schemas.microsoft.com/office/spreadsheetml/2009/9/main" objectType="Drop" dropStyle="combo" dx="31" fmlaLink="Cálculos!$B$53" fmlaRange="Cálculos!$G$2:$G$19" noThreeD="1" sel="1" val="0"/>
</file>

<file path=xl/ctrlProps/ctrlProp53.xml><?xml version="1.0" encoding="utf-8"?>
<formControlPr xmlns="http://schemas.microsoft.com/office/spreadsheetml/2009/9/main" objectType="Drop" dropStyle="combo" dx="31" fmlaLink="Cálculos!$B$54" fmlaRange="Cálculos!$G$2:$G$19" noThreeD="1" sel="1" val="0"/>
</file>

<file path=xl/ctrlProps/ctrlProp54.xml><?xml version="1.0" encoding="utf-8"?>
<formControlPr xmlns="http://schemas.microsoft.com/office/spreadsheetml/2009/9/main" objectType="Drop" dropStyle="combo" dx="31" fmlaLink="Cálculos!$B$55" fmlaRange="Cálculos!$G$2:$G$19" noThreeD="1" sel="1" val="0"/>
</file>

<file path=xl/ctrlProps/ctrlProp55.xml><?xml version="1.0" encoding="utf-8"?>
<formControlPr xmlns="http://schemas.microsoft.com/office/spreadsheetml/2009/9/main" objectType="Drop" dropStyle="combo" dx="31" fmlaLink="Cálculos!$B$56" fmlaRange="Cálculos!$G$2:$G$19" noThreeD="1" sel="1" val="0"/>
</file>

<file path=xl/ctrlProps/ctrlProp56.xml><?xml version="1.0" encoding="utf-8"?>
<formControlPr xmlns="http://schemas.microsoft.com/office/spreadsheetml/2009/9/main" objectType="Drop" dropStyle="combo" dx="31" fmlaLink="Cálculos!$B$57" fmlaRange="Cálculos!$G$2:$G$19" noThreeD="1" sel="1" val="0"/>
</file>

<file path=xl/ctrlProps/ctrlProp57.xml><?xml version="1.0" encoding="utf-8"?>
<formControlPr xmlns="http://schemas.microsoft.com/office/spreadsheetml/2009/9/main" objectType="Drop" dropStyle="combo" dx="31" fmlaLink="Cálculos!$B$58" fmlaRange="Cálculos!$G$2:$G$19" noThreeD="1" sel="1" val="0"/>
</file>

<file path=xl/ctrlProps/ctrlProp58.xml><?xml version="1.0" encoding="utf-8"?>
<formControlPr xmlns="http://schemas.microsoft.com/office/spreadsheetml/2009/9/main" objectType="Drop" dropStyle="combo" dx="31" fmlaLink="Cálculos!$B$59" fmlaRange="Cálculos!$G$2:$G$19" noThreeD="1" sel="1" val="0"/>
</file>

<file path=xl/ctrlProps/ctrlProp59.xml><?xml version="1.0" encoding="utf-8"?>
<formControlPr xmlns="http://schemas.microsoft.com/office/spreadsheetml/2009/9/main" objectType="Drop" dropStyle="combo" dx="31" fmlaLink="Cálculos!$B$60" fmlaRange="Cálculos!$G$2:$G$19" noThreeD="1" sel="1" val="0"/>
</file>

<file path=xl/ctrlProps/ctrlProp60.xml><?xml version="1.0" encoding="utf-8"?>
<formControlPr xmlns="http://schemas.microsoft.com/office/spreadsheetml/2009/9/main" objectType="Drop" dropStyle="combo" dx="31" fmlaLink="Cálculos!$B$61" fmlaRange="Cálculos!$G$2:$G$19" noThreeD="1" sel="1" val="0"/>
</file>

<file path=xl/ctrlProps/ctrlProp61.xml><?xml version="1.0" encoding="utf-8"?>
<formControlPr xmlns="http://schemas.microsoft.com/office/spreadsheetml/2009/9/main" objectType="Drop" dropStyle="combo" dx="31" fmlaLink="Cálculos!$B$62" fmlaRange="Cálculos!$G$2:$G$19" noThreeD="1" sel="1" val="0"/>
</file>

<file path=xl/ctrlProps/ctrlProp62.xml><?xml version="1.0" encoding="utf-8"?>
<formControlPr xmlns="http://schemas.microsoft.com/office/spreadsheetml/2009/9/main" objectType="Drop" dropStyle="combo" dx="31" fmlaLink="Cálculos!$B$63" fmlaRange="Cálculos!$G$2:$G$19" noThreeD="1" sel="1" val="0"/>
</file>

<file path=xl/ctrlProps/ctrlProp63.xml><?xml version="1.0" encoding="utf-8"?>
<formControlPr xmlns="http://schemas.microsoft.com/office/spreadsheetml/2009/9/main" objectType="Drop" dropStyle="combo" dx="31" fmlaLink="Cálculos!$B$64" fmlaRange="Cálculos!$G$2:$G$19" noThreeD="1" sel="1" val="0"/>
</file>

<file path=xl/ctrlProps/ctrlProp64.xml><?xml version="1.0" encoding="utf-8"?>
<formControlPr xmlns="http://schemas.microsoft.com/office/spreadsheetml/2009/9/main" objectType="Drop" dropStyle="combo" dx="31" fmlaLink="Cálculos!$B$65" fmlaRange="Cálculos!$G$2:$G$19" noThreeD="1" sel="1" val="0"/>
</file>

<file path=xl/ctrlProps/ctrlProp65.xml><?xml version="1.0" encoding="utf-8"?>
<formControlPr xmlns="http://schemas.microsoft.com/office/spreadsheetml/2009/9/main" objectType="Drop" dropStyle="combo" dx="31" fmlaLink="Cálculos!$B$66" fmlaRange="Cálculos!$G$2:$G$19" noThreeD="1" sel="1" val="0"/>
</file>

<file path=xl/ctrlProps/ctrlProp66.xml><?xml version="1.0" encoding="utf-8"?>
<formControlPr xmlns="http://schemas.microsoft.com/office/spreadsheetml/2009/9/main" objectType="Drop" dropStyle="combo" dx="31" fmlaLink="Cálculos!$B$67" fmlaRange="Cálculos!$G$2:$G$19" noThreeD="1" sel="1" val="0"/>
</file>

<file path=xl/ctrlProps/ctrlProp67.xml><?xml version="1.0" encoding="utf-8"?>
<formControlPr xmlns="http://schemas.microsoft.com/office/spreadsheetml/2009/9/main" objectType="Drop" dropStyle="combo" dx="31" fmlaLink="Cálculos!$B$68" fmlaRange="Cálculos!$G$2:$G$19" noThreeD="1" sel="1" val="0"/>
</file>

<file path=xl/ctrlProps/ctrlProp68.xml><?xml version="1.0" encoding="utf-8"?>
<formControlPr xmlns="http://schemas.microsoft.com/office/spreadsheetml/2009/9/main" objectType="Drop" dropStyle="combo" dx="31" fmlaLink="Cálculos!$B$69" fmlaRange="Cálculos!$G$2:$G$19" noThreeD="1" sel="1" val="0"/>
</file>

<file path=xl/ctrlProps/ctrlProp69.xml><?xml version="1.0" encoding="utf-8"?>
<formControlPr xmlns="http://schemas.microsoft.com/office/spreadsheetml/2009/9/main" objectType="Drop" dropStyle="combo" dx="31" fmlaLink="Cálculos!$B$70" fmlaRange="Cálculos!$G$2:$G$19" noThreeD="1" sel="1" val="0"/>
</file>

<file path=xl/ctrlProps/ctrlProp70.xml><?xml version="1.0" encoding="utf-8"?>
<formControlPr xmlns="http://schemas.microsoft.com/office/spreadsheetml/2009/9/main" objectType="Drop" dropStyle="combo" dx="31" fmlaLink="Cálculos!$B$71" fmlaRange="Cálculos!$G$2:$G$19" noThreeD="1" sel="1" val="0"/>
</file>

<file path=xl/ctrlProps/ctrlProp71.xml><?xml version="1.0" encoding="utf-8"?>
<formControlPr xmlns="http://schemas.microsoft.com/office/spreadsheetml/2009/9/main" objectType="Drop" dropStyle="combo" dx="31" fmlaLink="Cálculos!$B$72" fmlaRange="Cálculos!$G$2:$G$19" noThreeD="1" sel="1" val="0"/>
</file>

<file path=xl/ctrlProps/ctrlProp72.xml><?xml version="1.0" encoding="utf-8"?>
<formControlPr xmlns="http://schemas.microsoft.com/office/spreadsheetml/2009/9/main" objectType="Drop" dropStyle="combo" dx="31" fmlaLink="Cálculos!$B$73" fmlaRange="Cálculos!$G$2:$G$19" noThreeD="1" sel="1" val="0"/>
</file>

<file path=xl/ctrlProps/ctrlProp73.xml><?xml version="1.0" encoding="utf-8"?>
<formControlPr xmlns="http://schemas.microsoft.com/office/spreadsheetml/2009/9/main" objectType="Drop" dropStyle="combo" dx="31" fmlaLink="Cálculos!$B$74" fmlaRange="Cálculos!$G$2:$G$19" noThreeD="1" sel="1" val="0"/>
</file>

<file path=xl/ctrlProps/ctrlProp74.xml><?xml version="1.0" encoding="utf-8"?>
<formControlPr xmlns="http://schemas.microsoft.com/office/spreadsheetml/2009/9/main" objectType="Drop" dropStyle="combo" dx="31" fmlaLink="Cálculos!$B$75" fmlaRange="Cálculos!$G$2:$G$19" noThreeD="1" sel="1" val="0"/>
</file>

<file path=xl/ctrlProps/ctrlProp75.xml><?xml version="1.0" encoding="utf-8"?>
<formControlPr xmlns="http://schemas.microsoft.com/office/spreadsheetml/2009/9/main" objectType="Drop" dropStyle="combo" dx="31" fmlaLink="Cálculos!$B$76" fmlaRange="Cálculos!$G$2:$G$19" noThreeD="1" sel="1" val="0"/>
</file>

<file path=xl/ctrlProps/ctrlProp76.xml><?xml version="1.0" encoding="utf-8"?>
<formControlPr xmlns="http://schemas.microsoft.com/office/spreadsheetml/2009/9/main" objectType="Drop" dropStyle="combo" dx="31" fmlaLink="Cálculos!$B$77" fmlaRange="Cálculos!$G$2:$G$19" noThreeD="1" sel="1" val="0"/>
</file>

<file path=xl/ctrlProps/ctrlProp77.xml><?xml version="1.0" encoding="utf-8"?>
<formControlPr xmlns="http://schemas.microsoft.com/office/spreadsheetml/2009/9/main" objectType="Drop" dropStyle="combo" dx="31" fmlaLink="Cálculos!$B$78" fmlaRange="Cálculos!$G$2:$G$19" noThreeD="1" sel="1" val="0"/>
</file>

<file path=xl/ctrlProps/ctrlProp78.xml><?xml version="1.0" encoding="utf-8"?>
<formControlPr xmlns="http://schemas.microsoft.com/office/spreadsheetml/2009/9/main" objectType="Drop" dropStyle="combo" dx="31" fmlaLink="Cálculos!$B$79" fmlaRange="Cálculos!$G$2:$G$19" noThreeD="1" sel="1" val="0"/>
</file>

<file path=xl/ctrlProps/ctrlProp79.xml><?xml version="1.0" encoding="utf-8"?>
<formControlPr xmlns="http://schemas.microsoft.com/office/spreadsheetml/2009/9/main" objectType="Drop" dropStyle="combo" dx="31" fmlaLink="Cálculos!$B$80" fmlaRange="Cálculos!$G$2:$G$19" noThreeD="1" sel="1" val="0"/>
</file>

<file path=xl/ctrlProps/ctrlProp80.xml><?xml version="1.0" encoding="utf-8"?>
<formControlPr xmlns="http://schemas.microsoft.com/office/spreadsheetml/2009/9/main" objectType="Drop" dropStyle="combo" dx="31" fmlaLink="Cálculos!$B$81" fmlaRange="Cálculos!$G$2:$G$19" noThreeD="1" sel="1" val="0"/>
</file>

<file path=xl/ctrlProps/ctrlProp81.xml><?xml version="1.0" encoding="utf-8"?>
<formControlPr xmlns="http://schemas.microsoft.com/office/spreadsheetml/2009/9/main" objectType="Drop" dropStyle="combo" dx="31" fmlaLink="Cálculos!$B$82" fmlaRange="Cálculos!$G$2:$G$19" noThreeD="1" sel="1" val="0"/>
</file>

<file path=xl/ctrlProps/ctrlProp82.xml><?xml version="1.0" encoding="utf-8"?>
<formControlPr xmlns="http://schemas.microsoft.com/office/spreadsheetml/2009/9/main" objectType="Drop" dropStyle="combo" dx="31" fmlaLink="Cálculos!$B$83" fmlaRange="Cálculos!$G$2:$G$19" noThreeD="1" sel="1" val="0"/>
</file>

<file path=xl/ctrlProps/ctrlProp83.xml><?xml version="1.0" encoding="utf-8"?>
<formControlPr xmlns="http://schemas.microsoft.com/office/spreadsheetml/2009/9/main" objectType="Drop" dropStyle="combo" dx="31" fmlaLink="Cálculos!$B$84" fmlaRange="Cálculos!$G$2:$G$19" noThreeD="1" sel="1" val="0"/>
</file>

<file path=xl/ctrlProps/ctrlProp84.xml><?xml version="1.0" encoding="utf-8"?>
<formControlPr xmlns="http://schemas.microsoft.com/office/spreadsheetml/2009/9/main" objectType="Drop" dropStyle="combo" dx="31" fmlaLink="Cálculos!$B$85" fmlaRange="Cálculos!$G$2:$G$19" noThreeD="1" sel="1" val="0"/>
</file>

<file path=xl/ctrlProps/ctrlProp85.xml><?xml version="1.0" encoding="utf-8"?>
<formControlPr xmlns="http://schemas.microsoft.com/office/spreadsheetml/2009/9/main" objectType="Drop" dropStyle="combo" dx="31" fmlaLink="Cálculos!$B$86" fmlaRange="Cálculos!$G$2:$G$19" noThreeD="1" sel="1" val="0"/>
</file>

<file path=xl/ctrlProps/ctrlProp86.xml><?xml version="1.0" encoding="utf-8"?>
<formControlPr xmlns="http://schemas.microsoft.com/office/spreadsheetml/2009/9/main" objectType="Drop" dropStyle="combo" dx="31" fmlaLink="Cálculos!$B$87" fmlaRange="Cálculos!$G$2:$G$19" noThreeD="1" sel="1" val="0"/>
</file>

<file path=xl/ctrlProps/ctrlProp87.xml><?xml version="1.0" encoding="utf-8"?>
<formControlPr xmlns="http://schemas.microsoft.com/office/spreadsheetml/2009/9/main" objectType="Drop" dropStyle="combo" dx="31" fmlaLink="Cálculos!$B$88" fmlaRange="Cálculos!$G$2:$G$19" noThreeD="1" sel="1" val="0"/>
</file>

<file path=xl/ctrlProps/ctrlProp88.xml><?xml version="1.0" encoding="utf-8"?>
<formControlPr xmlns="http://schemas.microsoft.com/office/spreadsheetml/2009/9/main" objectType="Drop" dropStyle="combo" dx="31" fmlaLink="Cálculos!$B$89" fmlaRange="Cálculos!$G$2:$G$19" noThreeD="1" sel="1" val="0"/>
</file>

<file path=xl/ctrlProps/ctrlProp89.xml><?xml version="1.0" encoding="utf-8"?>
<formControlPr xmlns="http://schemas.microsoft.com/office/spreadsheetml/2009/9/main" objectType="Drop" dropStyle="combo" dx="31" fmlaLink="Cálculos!$B$90" fmlaRange="Cálculos!$G$2:$G$19" noThreeD="1" sel="1" val="0"/>
</file>

<file path=xl/ctrlProps/ctrlProp90.xml><?xml version="1.0" encoding="utf-8"?>
<formControlPr xmlns="http://schemas.microsoft.com/office/spreadsheetml/2009/9/main" objectType="Drop" dropStyle="combo" dx="31" fmlaLink="Cálculos!$B$91" fmlaRange="Cálculos!$G$2:$G$19" noThreeD="1" sel="1" val="0"/>
</file>

<file path=xl/ctrlProps/ctrlProp91.xml><?xml version="1.0" encoding="utf-8"?>
<formControlPr xmlns="http://schemas.microsoft.com/office/spreadsheetml/2009/9/main" objectType="Drop" dropStyle="combo" dx="31" fmlaLink="Cálculos!$B$92" fmlaRange="Cálculos!$G$2:$G$19" noThreeD="1" sel="1" val="0"/>
</file>

<file path=xl/ctrlProps/ctrlProp92.xml><?xml version="1.0" encoding="utf-8"?>
<formControlPr xmlns="http://schemas.microsoft.com/office/spreadsheetml/2009/9/main" objectType="Drop" dropStyle="combo" dx="31" fmlaLink="Cálculos!$B$93" fmlaRange="Cálculos!$G$2:$G$19" noThreeD="1" sel="1" val="0"/>
</file>

<file path=xl/ctrlProps/ctrlProp93.xml><?xml version="1.0" encoding="utf-8"?>
<formControlPr xmlns="http://schemas.microsoft.com/office/spreadsheetml/2009/9/main" objectType="Drop" dropStyle="combo" dx="31" fmlaLink="Cálculos!$B$94" fmlaRange="Cálculos!$G$2:$G$19" noThreeD="1" sel="1" val="0"/>
</file>

<file path=xl/ctrlProps/ctrlProp94.xml><?xml version="1.0" encoding="utf-8"?>
<formControlPr xmlns="http://schemas.microsoft.com/office/spreadsheetml/2009/9/main" objectType="Drop" dropStyle="combo" dx="31" fmlaLink="Cálculos!$B$95" fmlaRange="Cálculos!$G$2:$G$19" noThreeD="1" sel="1" val="0"/>
</file>

<file path=xl/ctrlProps/ctrlProp95.xml><?xml version="1.0" encoding="utf-8"?>
<formControlPr xmlns="http://schemas.microsoft.com/office/spreadsheetml/2009/9/main" objectType="Drop" dropStyle="combo" dx="31" fmlaLink="Cálculos!$B$96" fmlaRange="Cálculos!$G$2:$G$19" noThreeD="1" sel="1" val="0"/>
</file>

<file path=xl/ctrlProps/ctrlProp96.xml><?xml version="1.0" encoding="utf-8"?>
<formControlPr xmlns="http://schemas.microsoft.com/office/spreadsheetml/2009/9/main" objectType="Drop" dropStyle="combo" dx="31" fmlaLink="Cálculos!$B$97" fmlaRange="Cálculos!$G$2:$G$19" noThreeD="1" sel="1" val="0"/>
</file>

<file path=xl/ctrlProps/ctrlProp97.xml><?xml version="1.0" encoding="utf-8"?>
<formControlPr xmlns="http://schemas.microsoft.com/office/spreadsheetml/2009/9/main" objectType="Drop" dropStyle="combo" dx="31" fmlaLink="Cálculos!$B$98" fmlaRange="Cálculos!$G$2:$G$19" noThreeD="1" sel="1" val="0"/>
</file>

<file path=xl/ctrlProps/ctrlProp98.xml><?xml version="1.0" encoding="utf-8"?>
<formControlPr xmlns="http://schemas.microsoft.com/office/spreadsheetml/2009/9/main" objectType="Drop" dropStyle="combo" dx="31" fmlaLink="Cálculos!$B$99" fmlaRange="Cálculos!$G$2:$G$19" noThreeD="1" sel="1" val="0"/>
</file>

<file path=xl/ctrlProps/ctrlProp99.xml><?xml version="1.0" encoding="utf-8"?>
<formControlPr xmlns="http://schemas.microsoft.com/office/spreadsheetml/2009/9/main" objectType="Drop" dropStyle="combo" dx="31" fmlaLink="Cálculos!$B$100" fmlaRange="Cálculos!$G$2:$G$19" noThreeD="1" sel="1" val="0"/>
</file>

<file path=xl/ctrlProps/ctrlProp100.xml><?xml version="1.0" encoding="utf-8"?>
<formControlPr xmlns="http://schemas.microsoft.com/office/spreadsheetml/2009/9/main" objectType="Drop" dropStyle="combo" dx="31" fmlaLink="Cálculos!$B$101" fmlaRange="Cálculos!$G$2:$G$19" noThreeD="1" sel="1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</xdr:row>
          <xdr:rowOff>12700</xdr:rowOff>
        </xdr:from>
        <xdr:to>
          <xdr:col>2</xdr:col>
          <xdr:colOff>3200400</xdr:colOff>
          <xdr:row>1</xdr:row>
          <xdr:rowOff>304800</xdr:rowOff>
        </xdr:to>
        <xdr:sp macro="" textlink="">
          <xdr:nvSpPr>
            <xdr:cNvPr id="3219" name="Drop Down 147" hidden="1">
              <a:extLst>
                <a:ext uri="{63B3BB69-23CF-44E3-9099-C40C66FF867C}">
                  <a14:compatExt spid="_x0000_s3219"/>
                </a:ext>
                <a:ext uri="{FF2B5EF4-FFF2-40B4-BE49-F238E27FC236}">
                  <a16:creationId xmlns:a16="http://schemas.microsoft.com/office/drawing/2014/main" id="{00000000-0008-0000-0100-00009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</xdr:row>
          <xdr:rowOff>12700</xdr:rowOff>
        </xdr:from>
        <xdr:to>
          <xdr:col>2</xdr:col>
          <xdr:colOff>3200400</xdr:colOff>
          <xdr:row>2</xdr:row>
          <xdr:rowOff>304800</xdr:rowOff>
        </xdr:to>
        <xdr:sp macro="" textlink="">
          <xdr:nvSpPr>
            <xdr:cNvPr id="3270" name="Drop Down 198" hidden="1">
              <a:extLst>
                <a:ext uri="{63B3BB69-23CF-44E3-9099-C40C66FF867C}">
                  <a14:compatExt spid="_x0000_s3270"/>
                </a:ext>
                <a:ext uri="{FF2B5EF4-FFF2-40B4-BE49-F238E27FC236}">
                  <a16:creationId xmlns:a16="http://schemas.microsoft.com/office/drawing/2014/main" id="{00000000-0008-0000-0100-0000C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</xdr:row>
          <xdr:rowOff>12700</xdr:rowOff>
        </xdr:from>
        <xdr:to>
          <xdr:col>2</xdr:col>
          <xdr:colOff>3200400</xdr:colOff>
          <xdr:row>3</xdr:row>
          <xdr:rowOff>304800</xdr:rowOff>
        </xdr:to>
        <xdr:sp macro="" textlink="">
          <xdr:nvSpPr>
            <xdr:cNvPr id="3271" name="Drop Down 199" hidden="1">
              <a:extLst>
                <a:ext uri="{63B3BB69-23CF-44E3-9099-C40C66FF867C}">
                  <a14:compatExt spid="_x0000_s3271"/>
                </a:ext>
                <a:ext uri="{FF2B5EF4-FFF2-40B4-BE49-F238E27FC236}">
                  <a16:creationId xmlns:a16="http://schemas.microsoft.com/office/drawing/2014/main" id="{00000000-0008-0000-0100-0000C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</xdr:row>
          <xdr:rowOff>12700</xdr:rowOff>
        </xdr:from>
        <xdr:to>
          <xdr:col>2</xdr:col>
          <xdr:colOff>3200400</xdr:colOff>
          <xdr:row>4</xdr:row>
          <xdr:rowOff>304800</xdr:rowOff>
        </xdr:to>
        <xdr:sp macro="" textlink="">
          <xdr:nvSpPr>
            <xdr:cNvPr id="3272" name="Drop Down 200" hidden="1">
              <a:extLst>
                <a:ext uri="{63B3BB69-23CF-44E3-9099-C40C66FF867C}">
                  <a14:compatExt spid="_x0000_s3272"/>
                </a:ext>
                <a:ext uri="{FF2B5EF4-FFF2-40B4-BE49-F238E27FC236}">
                  <a16:creationId xmlns:a16="http://schemas.microsoft.com/office/drawing/2014/main" id="{00000000-0008-0000-0100-0000C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</xdr:row>
          <xdr:rowOff>12700</xdr:rowOff>
        </xdr:from>
        <xdr:to>
          <xdr:col>2</xdr:col>
          <xdr:colOff>3200400</xdr:colOff>
          <xdr:row>5</xdr:row>
          <xdr:rowOff>304800</xdr:rowOff>
        </xdr:to>
        <xdr:sp macro="" textlink="">
          <xdr:nvSpPr>
            <xdr:cNvPr id="3273" name="Drop Down 201" hidden="1">
              <a:extLst>
                <a:ext uri="{63B3BB69-23CF-44E3-9099-C40C66FF867C}">
                  <a14:compatExt spid="_x0000_s3273"/>
                </a:ext>
                <a:ext uri="{FF2B5EF4-FFF2-40B4-BE49-F238E27FC236}">
                  <a16:creationId xmlns:a16="http://schemas.microsoft.com/office/drawing/2014/main" id="{00000000-0008-0000-0100-0000C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</xdr:row>
          <xdr:rowOff>12700</xdr:rowOff>
        </xdr:from>
        <xdr:to>
          <xdr:col>2</xdr:col>
          <xdr:colOff>3200400</xdr:colOff>
          <xdr:row>6</xdr:row>
          <xdr:rowOff>304800</xdr:rowOff>
        </xdr:to>
        <xdr:sp macro="" textlink="">
          <xdr:nvSpPr>
            <xdr:cNvPr id="3274" name="Drop Down 202" hidden="1">
              <a:extLst>
                <a:ext uri="{63B3BB69-23CF-44E3-9099-C40C66FF867C}">
                  <a14:compatExt spid="_x0000_s3274"/>
                </a:ext>
                <a:ext uri="{FF2B5EF4-FFF2-40B4-BE49-F238E27FC236}">
                  <a16:creationId xmlns:a16="http://schemas.microsoft.com/office/drawing/2014/main" id="{00000000-0008-0000-0100-0000C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</xdr:row>
          <xdr:rowOff>12700</xdr:rowOff>
        </xdr:from>
        <xdr:to>
          <xdr:col>2</xdr:col>
          <xdr:colOff>3200400</xdr:colOff>
          <xdr:row>7</xdr:row>
          <xdr:rowOff>304800</xdr:rowOff>
        </xdr:to>
        <xdr:sp macro="" textlink="">
          <xdr:nvSpPr>
            <xdr:cNvPr id="3275" name="Drop Down 203" hidden="1">
              <a:extLst>
                <a:ext uri="{63B3BB69-23CF-44E3-9099-C40C66FF867C}">
                  <a14:compatExt spid="_x0000_s3275"/>
                </a:ext>
                <a:ext uri="{FF2B5EF4-FFF2-40B4-BE49-F238E27FC236}">
                  <a16:creationId xmlns:a16="http://schemas.microsoft.com/office/drawing/2014/main" id="{00000000-0008-0000-0100-0000C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</xdr:row>
          <xdr:rowOff>12700</xdr:rowOff>
        </xdr:from>
        <xdr:to>
          <xdr:col>2</xdr:col>
          <xdr:colOff>3200400</xdr:colOff>
          <xdr:row>8</xdr:row>
          <xdr:rowOff>304800</xdr:rowOff>
        </xdr:to>
        <xdr:sp macro="" textlink="">
          <xdr:nvSpPr>
            <xdr:cNvPr id="3276" name="Drop Down 204" hidden="1">
              <a:extLst>
                <a:ext uri="{63B3BB69-23CF-44E3-9099-C40C66FF867C}">
                  <a14:compatExt spid="_x0000_s3276"/>
                </a:ext>
                <a:ext uri="{FF2B5EF4-FFF2-40B4-BE49-F238E27FC236}">
                  <a16:creationId xmlns:a16="http://schemas.microsoft.com/office/drawing/2014/main" id="{00000000-0008-0000-0100-0000C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</xdr:row>
          <xdr:rowOff>12700</xdr:rowOff>
        </xdr:from>
        <xdr:to>
          <xdr:col>2</xdr:col>
          <xdr:colOff>3200400</xdr:colOff>
          <xdr:row>9</xdr:row>
          <xdr:rowOff>304800</xdr:rowOff>
        </xdr:to>
        <xdr:sp macro="" textlink="">
          <xdr:nvSpPr>
            <xdr:cNvPr id="3277" name="Drop Down 205" hidden="1">
              <a:extLst>
                <a:ext uri="{63B3BB69-23CF-44E3-9099-C40C66FF867C}">
                  <a14:compatExt spid="_x0000_s3277"/>
                </a:ext>
                <a:ext uri="{FF2B5EF4-FFF2-40B4-BE49-F238E27FC236}">
                  <a16:creationId xmlns:a16="http://schemas.microsoft.com/office/drawing/2014/main" id="{00000000-0008-0000-0100-0000C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10</xdr:row>
          <xdr:rowOff>12700</xdr:rowOff>
        </xdr:from>
        <xdr:to>
          <xdr:col>2</xdr:col>
          <xdr:colOff>3200400</xdr:colOff>
          <xdr:row>10</xdr:row>
          <xdr:rowOff>304800</xdr:rowOff>
        </xdr:to>
        <xdr:sp macro="" textlink="">
          <xdr:nvSpPr>
            <xdr:cNvPr id="3278" name="Drop Down 206" hidden="1">
              <a:extLst>
                <a:ext uri="{63B3BB69-23CF-44E3-9099-C40C66FF867C}">
                  <a14:compatExt spid="_x0000_s3278"/>
                </a:ext>
                <a:ext uri="{FF2B5EF4-FFF2-40B4-BE49-F238E27FC236}">
                  <a16:creationId xmlns:a16="http://schemas.microsoft.com/office/drawing/2014/main" id="{00000000-0008-0000-0100-0000C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11</xdr:row>
          <xdr:rowOff>12700</xdr:rowOff>
        </xdr:from>
        <xdr:to>
          <xdr:col>2</xdr:col>
          <xdr:colOff>3200400</xdr:colOff>
          <xdr:row>11</xdr:row>
          <xdr:rowOff>304800</xdr:rowOff>
        </xdr:to>
        <xdr:sp macro="" textlink="">
          <xdr:nvSpPr>
            <xdr:cNvPr id="3279" name="Drop Down 207" hidden="1">
              <a:extLst>
                <a:ext uri="{63B3BB69-23CF-44E3-9099-C40C66FF867C}">
                  <a14:compatExt spid="_x0000_s3279"/>
                </a:ext>
                <a:ext uri="{FF2B5EF4-FFF2-40B4-BE49-F238E27FC236}">
                  <a16:creationId xmlns:a16="http://schemas.microsoft.com/office/drawing/2014/main" id="{00000000-0008-0000-0100-0000C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12</xdr:row>
          <xdr:rowOff>12700</xdr:rowOff>
        </xdr:from>
        <xdr:to>
          <xdr:col>2</xdr:col>
          <xdr:colOff>3200400</xdr:colOff>
          <xdr:row>12</xdr:row>
          <xdr:rowOff>304800</xdr:rowOff>
        </xdr:to>
        <xdr:sp macro="" textlink="">
          <xdr:nvSpPr>
            <xdr:cNvPr id="3280" name="Drop Down 208" hidden="1">
              <a:extLst>
                <a:ext uri="{63B3BB69-23CF-44E3-9099-C40C66FF867C}">
                  <a14:compatExt spid="_x0000_s3280"/>
                </a:ext>
                <a:ext uri="{FF2B5EF4-FFF2-40B4-BE49-F238E27FC236}">
                  <a16:creationId xmlns:a16="http://schemas.microsoft.com/office/drawing/2014/main" id="{00000000-0008-0000-0100-0000D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13</xdr:row>
          <xdr:rowOff>12700</xdr:rowOff>
        </xdr:from>
        <xdr:to>
          <xdr:col>2</xdr:col>
          <xdr:colOff>3200400</xdr:colOff>
          <xdr:row>13</xdr:row>
          <xdr:rowOff>304800</xdr:rowOff>
        </xdr:to>
        <xdr:sp macro="" textlink="">
          <xdr:nvSpPr>
            <xdr:cNvPr id="3281" name="Drop Down 209" hidden="1">
              <a:extLst>
                <a:ext uri="{63B3BB69-23CF-44E3-9099-C40C66FF867C}">
                  <a14:compatExt spid="_x0000_s3281"/>
                </a:ext>
                <a:ext uri="{FF2B5EF4-FFF2-40B4-BE49-F238E27FC236}">
                  <a16:creationId xmlns:a16="http://schemas.microsoft.com/office/drawing/2014/main" id="{00000000-0008-0000-0100-0000D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14</xdr:row>
          <xdr:rowOff>12700</xdr:rowOff>
        </xdr:from>
        <xdr:to>
          <xdr:col>2</xdr:col>
          <xdr:colOff>3200400</xdr:colOff>
          <xdr:row>14</xdr:row>
          <xdr:rowOff>304800</xdr:rowOff>
        </xdr:to>
        <xdr:sp macro="" textlink="">
          <xdr:nvSpPr>
            <xdr:cNvPr id="3282" name="Drop Down 210" hidden="1">
              <a:extLst>
                <a:ext uri="{63B3BB69-23CF-44E3-9099-C40C66FF867C}">
                  <a14:compatExt spid="_x0000_s3282"/>
                </a:ext>
                <a:ext uri="{FF2B5EF4-FFF2-40B4-BE49-F238E27FC236}">
                  <a16:creationId xmlns:a16="http://schemas.microsoft.com/office/drawing/2014/main" id="{00000000-0008-0000-0100-0000D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15</xdr:row>
          <xdr:rowOff>12700</xdr:rowOff>
        </xdr:from>
        <xdr:to>
          <xdr:col>2</xdr:col>
          <xdr:colOff>3200400</xdr:colOff>
          <xdr:row>15</xdr:row>
          <xdr:rowOff>304800</xdr:rowOff>
        </xdr:to>
        <xdr:sp macro="" textlink="">
          <xdr:nvSpPr>
            <xdr:cNvPr id="3283" name="Drop Down 211" hidden="1">
              <a:extLst>
                <a:ext uri="{63B3BB69-23CF-44E3-9099-C40C66FF867C}">
                  <a14:compatExt spid="_x0000_s3283"/>
                </a:ext>
                <a:ext uri="{FF2B5EF4-FFF2-40B4-BE49-F238E27FC236}">
                  <a16:creationId xmlns:a16="http://schemas.microsoft.com/office/drawing/2014/main" id="{00000000-0008-0000-0100-0000D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16</xdr:row>
          <xdr:rowOff>12700</xdr:rowOff>
        </xdr:from>
        <xdr:to>
          <xdr:col>2</xdr:col>
          <xdr:colOff>3200400</xdr:colOff>
          <xdr:row>16</xdr:row>
          <xdr:rowOff>304800</xdr:rowOff>
        </xdr:to>
        <xdr:sp macro="" textlink="">
          <xdr:nvSpPr>
            <xdr:cNvPr id="3284" name="Drop Down 212" hidden="1">
              <a:extLst>
                <a:ext uri="{63B3BB69-23CF-44E3-9099-C40C66FF867C}">
                  <a14:compatExt spid="_x0000_s3284"/>
                </a:ext>
                <a:ext uri="{FF2B5EF4-FFF2-40B4-BE49-F238E27FC236}">
                  <a16:creationId xmlns:a16="http://schemas.microsoft.com/office/drawing/2014/main" id="{00000000-0008-0000-0100-0000D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17</xdr:row>
          <xdr:rowOff>12700</xdr:rowOff>
        </xdr:from>
        <xdr:to>
          <xdr:col>2</xdr:col>
          <xdr:colOff>3200400</xdr:colOff>
          <xdr:row>17</xdr:row>
          <xdr:rowOff>304800</xdr:rowOff>
        </xdr:to>
        <xdr:sp macro="" textlink="">
          <xdr:nvSpPr>
            <xdr:cNvPr id="3285" name="Drop Down 213" hidden="1">
              <a:extLst>
                <a:ext uri="{63B3BB69-23CF-44E3-9099-C40C66FF867C}">
                  <a14:compatExt spid="_x0000_s3285"/>
                </a:ext>
                <a:ext uri="{FF2B5EF4-FFF2-40B4-BE49-F238E27FC236}">
                  <a16:creationId xmlns:a16="http://schemas.microsoft.com/office/drawing/2014/main" id="{00000000-0008-0000-0100-0000D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18</xdr:row>
          <xdr:rowOff>12700</xdr:rowOff>
        </xdr:from>
        <xdr:to>
          <xdr:col>2</xdr:col>
          <xdr:colOff>3200400</xdr:colOff>
          <xdr:row>18</xdr:row>
          <xdr:rowOff>304800</xdr:rowOff>
        </xdr:to>
        <xdr:sp macro="" textlink="">
          <xdr:nvSpPr>
            <xdr:cNvPr id="3286" name="Drop Down 214" hidden="1">
              <a:extLst>
                <a:ext uri="{63B3BB69-23CF-44E3-9099-C40C66FF867C}">
                  <a14:compatExt spid="_x0000_s3286"/>
                </a:ext>
                <a:ext uri="{FF2B5EF4-FFF2-40B4-BE49-F238E27FC236}">
                  <a16:creationId xmlns:a16="http://schemas.microsoft.com/office/drawing/2014/main" id="{00000000-0008-0000-0100-0000D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19</xdr:row>
          <xdr:rowOff>12700</xdr:rowOff>
        </xdr:from>
        <xdr:to>
          <xdr:col>2</xdr:col>
          <xdr:colOff>3200400</xdr:colOff>
          <xdr:row>19</xdr:row>
          <xdr:rowOff>304800</xdr:rowOff>
        </xdr:to>
        <xdr:sp macro="" textlink="">
          <xdr:nvSpPr>
            <xdr:cNvPr id="3287" name="Drop Down 215" hidden="1">
              <a:extLst>
                <a:ext uri="{63B3BB69-23CF-44E3-9099-C40C66FF867C}">
                  <a14:compatExt spid="_x0000_s3287"/>
                </a:ext>
                <a:ext uri="{FF2B5EF4-FFF2-40B4-BE49-F238E27FC236}">
                  <a16:creationId xmlns:a16="http://schemas.microsoft.com/office/drawing/2014/main" id="{00000000-0008-0000-0100-0000D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20</xdr:row>
          <xdr:rowOff>12700</xdr:rowOff>
        </xdr:from>
        <xdr:to>
          <xdr:col>2</xdr:col>
          <xdr:colOff>3200400</xdr:colOff>
          <xdr:row>20</xdr:row>
          <xdr:rowOff>304800</xdr:rowOff>
        </xdr:to>
        <xdr:sp macro="" textlink="">
          <xdr:nvSpPr>
            <xdr:cNvPr id="3288" name="Drop Down 216" hidden="1">
              <a:extLst>
                <a:ext uri="{63B3BB69-23CF-44E3-9099-C40C66FF867C}">
                  <a14:compatExt spid="_x0000_s3288"/>
                </a:ext>
                <a:ext uri="{FF2B5EF4-FFF2-40B4-BE49-F238E27FC236}">
                  <a16:creationId xmlns:a16="http://schemas.microsoft.com/office/drawing/2014/main" id="{00000000-0008-0000-0100-0000D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21</xdr:row>
          <xdr:rowOff>12700</xdr:rowOff>
        </xdr:from>
        <xdr:to>
          <xdr:col>2</xdr:col>
          <xdr:colOff>3200400</xdr:colOff>
          <xdr:row>21</xdr:row>
          <xdr:rowOff>304800</xdr:rowOff>
        </xdr:to>
        <xdr:sp macro="" textlink="">
          <xdr:nvSpPr>
            <xdr:cNvPr id="3289" name="Drop Down 217" hidden="1">
              <a:extLst>
                <a:ext uri="{63B3BB69-23CF-44E3-9099-C40C66FF867C}">
                  <a14:compatExt spid="_x0000_s3289"/>
                </a:ext>
                <a:ext uri="{FF2B5EF4-FFF2-40B4-BE49-F238E27FC236}">
                  <a16:creationId xmlns:a16="http://schemas.microsoft.com/office/drawing/2014/main" id="{00000000-0008-0000-0100-0000D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22</xdr:row>
          <xdr:rowOff>12700</xdr:rowOff>
        </xdr:from>
        <xdr:to>
          <xdr:col>2</xdr:col>
          <xdr:colOff>3200400</xdr:colOff>
          <xdr:row>22</xdr:row>
          <xdr:rowOff>304800</xdr:rowOff>
        </xdr:to>
        <xdr:sp macro="" textlink="">
          <xdr:nvSpPr>
            <xdr:cNvPr id="3290" name="Drop Down 218" hidden="1">
              <a:extLst>
                <a:ext uri="{63B3BB69-23CF-44E3-9099-C40C66FF867C}">
                  <a14:compatExt spid="_x0000_s3290"/>
                </a:ext>
                <a:ext uri="{FF2B5EF4-FFF2-40B4-BE49-F238E27FC236}">
                  <a16:creationId xmlns:a16="http://schemas.microsoft.com/office/drawing/2014/main" id="{00000000-0008-0000-0100-0000D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23</xdr:row>
          <xdr:rowOff>12700</xdr:rowOff>
        </xdr:from>
        <xdr:to>
          <xdr:col>2</xdr:col>
          <xdr:colOff>3200400</xdr:colOff>
          <xdr:row>23</xdr:row>
          <xdr:rowOff>304800</xdr:rowOff>
        </xdr:to>
        <xdr:sp macro="" textlink="">
          <xdr:nvSpPr>
            <xdr:cNvPr id="3291" name="Drop Down 219" hidden="1">
              <a:extLst>
                <a:ext uri="{63B3BB69-23CF-44E3-9099-C40C66FF867C}">
                  <a14:compatExt spid="_x0000_s3291"/>
                </a:ext>
                <a:ext uri="{FF2B5EF4-FFF2-40B4-BE49-F238E27FC236}">
                  <a16:creationId xmlns:a16="http://schemas.microsoft.com/office/drawing/2014/main" id="{00000000-0008-0000-0100-0000D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24</xdr:row>
          <xdr:rowOff>12700</xdr:rowOff>
        </xdr:from>
        <xdr:to>
          <xdr:col>2</xdr:col>
          <xdr:colOff>3200400</xdr:colOff>
          <xdr:row>24</xdr:row>
          <xdr:rowOff>304800</xdr:rowOff>
        </xdr:to>
        <xdr:sp macro="" textlink="">
          <xdr:nvSpPr>
            <xdr:cNvPr id="3292" name="Drop Down 220" hidden="1">
              <a:extLst>
                <a:ext uri="{63B3BB69-23CF-44E3-9099-C40C66FF867C}">
                  <a14:compatExt spid="_x0000_s3292"/>
                </a:ext>
                <a:ext uri="{FF2B5EF4-FFF2-40B4-BE49-F238E27FC236}">
                  <a16:creationId xmlns:a16="http://schemas.microsoft.com/office/drawing/2014/main" id="{00000000-0008-0000-0100-0000D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25</xdr:row>
          <xdr:rowOff>12700</xdr:rowOff>
        </xdr:from>
        <xdr:to>
          <xdr:col>2</xdr:col>
          <xdr:colOff>3200400</xdr:colOff>
          <xdr:row>25</xdr:row>
          <xdr:rowOff>304800</xdr:rowOff>
        </xdr:to>
        <xdr:sp macro="" textlink="">
          <xdr:nvSpPr>
            <xdr:cNvPr id="3293" name="Drop Down 221" hidden="1">
              <a:extLst>
                <a:ext uri="{63B3BB69-23CF-44E3-9099-C40C66FF867C}">
                  <a14:compatExt spid="_x0000_s3293"/>
                </a:ext>
                <a:ext uri="{FF2B5EF4-FFF2-40B4-BE49-F238E27FC236}">
                  <a16:creationId xmlns:a16="http://schemas.microsoft.com/office/drawing/2014/main" id="{00000000-0008-0000-0100-0000D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26</xdr:row>
          <xdr:rowOff>12700</xdr:rowOff>
        </xdr:from>
        <xdr:to>
          <xdr:col>2</xdr:col>
          <xdr:colOff>3200400</xdr:colOff>
          <xdr:row>26</xdr:row>
          <xdr:rowOff>304800</xdr:rowOff>
        </xdr:to>
        <xdr:sp macro="" textlink="">
          <xdr:nvSpPr>
            <xdr:cNvPr id="3294" name="Drop Down 222" hidden="1">
              <a:extLst>
                <a:ext uri="{63B3BB69-23CF-44E3-9099-C40C66FF867C}">
                  <a14:compatExt spid="_x0000_s3294"/>
                </a:ext>
                <a:ext uri="{FF2B5EF4-FFF2-40B4-BE49-F238E27FC236}">
                  <a16:creationId xmlns:a16="http://schemas.microsoft.com/office/drawing/2014/main" id="{00000000-0008-0000-0100-0000D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27</xdr:row>
          <xdr:rowOff>12700</xdr:rowOff>
        </xdr:from>
        <xdr:to>
          <xdr:col>2</xdr:col>
          <xdr:colOff>3200400</xdr:colOff>
          <xdr:row>27</xdr:row>
          <xdr:rowOff>304800</xdr:rowOff>
        </xdr:to>
        <xdr:sp macro="" textlink="">
          <xdr:nvSpPr>
            <xdr:cNvPr id="3295" name="Drop Down 223" hidden="1">
              <a:extLst>
                <a:ext uri="{63B3BB69-23CF-44E3-9099-C40C66FF867C}">
                  <a14:compatExt spid="_x0000_s3295"/>
                </a:ext>
                <a:ext uri="{FF2B5EF4-FFF2-40B4-BE49-F238E27FC236}">
                  <a16:creationId xmlns:a16="http://schemas.microsoft.com/office/drawing/2014/main" id="{00000000-0008-0000-0100-0000D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28</xdr:row>
          <xdr:rowOff>12700</xdr:rowOff>
        </xdr:from>
        <xdr:to>
          <xdr:col>2</xdr:col>
          <xdr:colOff>3200400</xdr:colOff>
          <xdr:row>28</xdr:row>
          <xdr:rowOff>304800</xdr:rowOff>
        </xdr:to>
        <xdr:sp macro="" textlink="">
          <xdr:nvSpPr>
            <xdr:cNvPr id="3296" name="Drop Down 224" hidden="1">
              <a:extLst>
                <a:ext uri="{63B3BB69-23CF-44E3-9099-C40C66FF867C}">
                  <a14:compatExt spid="_x0000_s3296"/>
                </a:ext>
                <a:ext uri="{FF2B5EF4-FFF2-40B4-BE49-F238E27FC236}">
                  <a16:creationId xmlns:a16="http://schemas.microsoft.com/office/drawing/2014/main" id="{00000000-0008-0000-0100-0000E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29</xdr:row>
          <xdr:rowOff>12700</xdr:rowOff>
        </xdr:from>
        <xdr:to>
          <xdr:col>2</xdr:col>
          <xdr:colOff>3200400</xdr:colOff>
          <xdr:row>29</xdr:row>
          <xdr:rowOff>304800</xdr:rowOff>
        </xdr:to>
        <xdr:sp macro="" textlink="">
          <xdr:nvSpPr>
            <xdr:cNvPr id="3297" name="Drop Down 225" hidden="1">
              <a:extLst>
                <a:ext uri="{63B3BB69-23CF-44E3-9099-C40C66FF867C}">
                  <a14:compatExt spid="_x0000_s3297"/>
                </a:ext>
                <a:ext uri="{FF2B5EF4-FFF2-40B4-BE49-F238E27FC236}">
                  <a16:creationId xmlns:a16="http://schemas.microsoft.com/office/drawing/2014/main" id="{00000000-0008-0000-0100-0000E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30</xdr:row>
          <xdr:rowOff>12700</xdr:rowOff>
        </xdr:from>
        <xdr:to>
          <xdr:col>2</xdr:col>
          <xdr:colOff>3200400</xdr:colOff>
          <xdr:row>30</xdr:row>
          <xdr:rowOff>304800</xdr:rowOff>
        </xdr:to>
        <xdr:sp macro="" textlink="">
          <xdr:nvSpPr>
            <xdr:cNvPr id="3298" name="Drop Down 226" hidden="1">
              <a:extLst>
                <a:ext uri="{63B3BB69-23CF-44E3-9099-C40C66FF867C}">
                  <a14:compatExt spid="_x0000_s3298"/>
                </a:ext>
                <a:ext uri="{FF2B5EF4-FFF2-40B4-BE49-F238E27FC236}">
                  <a16:creationId xmlns:a16="http://schemas.microsoft.com/office/drawing/2014/main" id="{00000000-0008-0000-0100-0000E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31</xdr:row>
          <xdr:rowOff>12700</xdr:rowOff>
        </xdr:from>
        <xdr:to>
          <xdr:col>2</xdr:col>
          <xdr:colOff>3200400</xdr:colOff>
          <xdr:row>31</xdr:row>
          <xdr:rowOff>304800</xdr:rowOff>
        </xdr:to>
        <xdr:sp macro="" textlink="">
          <xdr:nvSpPr>
            <xdr:cNvPr id="3299" name="Drop Down 227" hidden="1">
              <a:extLst>
                <a:ext uri="{63B3BB69-23CF-44E3-9099-C40C66FF867C}">
                  <a14:compatExt spid="_x0000_s3299"/>
                </a:ext>
                <a:ext uri="{FF2B5EF4-FFF2-40B4-BE49-F238E27FC236}">
                  <a16:creationId xmlns:a16="http://schemas.microsoft.com/office/drawing/2014/main" id="{00000000-0008-0000-0100-0000E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32</xdr:row>
          <xdr:rowOff>12700</xdr:rowOff>
        </xdr:from>
        <xdr:to>
          <xdr:col>2</xdr:col>
          <xdr:colOff>3200400</xdr:colOff>
          <xdr:row>32</xdr:row>
          <xdr:rowOff>304800</xdr:rowOff>
        </xdr:to>
        <xdr:sp macro="" textlink="">
          <xdr:nvSpPr>
            <xdr:cNvPr id="3300" name="Drop Down 228" hidden="1">
              <a:extLst>
                <a:ext uri="{63B3BB69-23CF-44E3-9099-C40C66FF867C}">
                  <a14:compatExt spid="_x0000_s3300"/>
                </a:ext>
                <a:ext uri="{FF2B5EF4-FFF2-40B4-BE49-F238E27FC236}">
                  <a16:creationId xmlns:a16="http://schemas.microsoft.com/office/drawing/2014/main" id="{00000000-0008-0000-0100-0000E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33</xdr:row>
          <xdr:rowOff>12700</xdr:rowOff>
        </xdr:from>
        <xdr:to>
          <xdr:col>2</xdr:col>
          <xdr:colOff>3200400</xdr:colOff>
          <xdr:row>33</xdr:row>
          <xdr:rowOff>304800</xdr:rowOff>
        </xdr:to>
        <xdr:sp macro="" textlink="">
          <xdr:nvSpPr>
            <xdr:cNvPr id="3301" name="Drop Down 229" hidden="1">
              <a:extLst>
                <a:ext uri="{63B3BB69-23CF-44E3-9099-C40C66FF867C}">
                  <a14:compatExt spid="_x0000_s3301"/>
                </a:ext>
                <a:ext uri="{FF2B5EF4-FFF2-40B4-BE49-F238E27FC236}">
                  <a16:creationId xmlns:a16="http://schemas.microsoft.com/office/drawing/2014/main" id="{00000000-0008-0000-0100-0000E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34</xdr:row>
          <xdr:rowOff>12700</xdr:rowOff>
        </xdr:from>
        <xdr:to>
          <xdr:col>2</xdr:col>
          <xdr:colOff>3200400</xdr:colOff>
          <xdr:row>34</xdr:row>
          <xdr:rowOff>304800</xdr:rowOff>
        </xdr:to>
        <xdr:sp macro="" textlink="">
          <xdr:nvSpPr>
            <xdr:cNvPr id="3302" name="Drop Down 230" hidden="1">
              <a:extLst>
                <a:ext uri="{63B3BB69-23CF-44E3-9099-C40C66FF867C}">
                  <a14:compatExt spid="_x0000_s3302"/>
                </a:ext>
                <a:ext uri="{FF2B5EF4-FFF2-40B4-BE49-F238E27FC236}">
                  <a16:creationId xmlns:a16="http://schemas.microsoft.com/office/drawing/2014/main" id="{00000000-0008-0000-0100-0000E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35</xdr:row>
          <xdr:rowOff>12700</xdr:rowOff>
        </xdr:from>
        <xdr:to>
          <xdr:col>2</xdr:col>
          <xdr:colOff>3200400</xdr:colOff>
          <xdr:row>35</xdr:row>
          <xdr:rowOff>304800</xdr:rowOff>
        </xdr:to>
        <xdr:sp macro="" textlink="">
          <xdr:nvSpPr>
            <xdr:cNvPr id="3303" name="Drop Down 231" hidden="1">
              <a:extLst>
                <a:ext uri="{63B3BB69-23CF-44E3-9099-C40C66FF867C}">
                  <a14:compatExt spid="_x0000_s3303"/>
                </a:ext>
                <a:ext uri="{FF2B5EF4-FFF2-40B4-BE49-F238E27FC236}">
                  <a16:creationId xmlns:a16="http://schemas.microsoft.com/office/drawing/2014/main" id="{00000000-0008-0000-0100-0000E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36</xdr:row>
          <xdr:rowOff>12700</xdr:rowOff>
        </xdr:from>
        <xdr:to>
          <xdr:col>2</xdr:col>
          <xdr:colOff>3200400</xdr:colOff>
          <xdr:row>36</xdr:row>
          <xdr:rowOff>304800</xdr:rowOff>
        </xdr:to>
        <xdr:sp macro="" textlink="">
          <xdr:nvSpPr>
            <xdr:cNvPr id="3304" name="Drop Down 232" hidden="1">
              <a:extLst>
                <a:ext uri="{63B3BB69-23CF-44E3-9099-C40C66FF867C}">
                  <a14:compatExt spid="_x0000_s3304"/>
                </a:ext>
                <a:ext uri="{FF2B5EF4-FFF2-40B4-BE49-F238E27FC236}">
                  <a16:creationId xmlns:a16="http://schemas.microsoft.com/office/drawing/2014/main" id="{00000000-0008-0000-0100-0000E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37</xdr:row>
          <xdr:rowOff>12700</xdr:rowOff>
        </xdr:from>
        <xdr:to>
          <xdr:col>2</xdr:col>
          <xdr:colOff>3200400</xdr:colOff>
          <xdr:row>37</xdr:row>
          <xdr:rowOff>304800</xdr:rowOff>
        </xdr:to>
        <xdr:sp macro="" textlink="">
          <xdr:nvSpPr>
            <xdr:cNvPr id="3305" name="Drop Down 233" hidden="1">
              <a:extLst>
                <a:ext uri="{63B3BB69-23CF-44E3-9099-C40C66FF867C}">
                  <a14:compatExt spid="_x0000_s3305"/>
                </a:ext>
                <a:ext uri="{FF2B5EF4-FFF2-40B4-BE49-F238E27FC236}">
                  <a16:creationId xmlns:a16="http://schemas.microsoft.com/office/drawing/2014/main" id="{00000000-0008-0000-0100-0000E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38</xdr:row>
          <xdr:rowOff>12700</xdr:rowOff>
        </xdr:from>
        <xdr:to>
          <xdr:col>2</xdr:col>
          <xdr:colOff>3200400</xdr:colOff>
          <xdr:row>38</xdr:row>
          <xdr:rowOff>304800</xdr:rowOff>
        </xdr:to>
        <xdr:sp macro="" textlink="">
          <xdr:nvSpPr>
            <xdr:cNvPr id="3306" name="Drop Down 234" hidden="1">
              <a:extLst>
                <a:ext uri="{63B3BB69-23CF-44E3-9099-C40C66FF867C}">
                  <a14:compatExt spid="_x0000_s3306"/>
                </a:ext>
                <a:ext uri="{FF2B5EF4-FFF2-40B4-BE49-F238E27FC236}">
                  <a16:creationId xmlns:a16="http://schemas.microsoft.com/office/drawing/2014/main" id="{00000000-0008-0000-0100-0000E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39</xdr:row>
          <xdr:rowOff>12700</xdr:rowOff>
        </xdr:from>
        <xdr:to>
          <xdr:col>2</xdr:col>
          <xdr:colOff>3200400</xdr:colOff>
          <xdr:row>39</xdr:row>
          <xdr:rowOff>304800</xdr:rowOff>
        </xdr:to>
        <xdr:sp macro="" textlink="">
          <xdr:nvSpPr>
            <xdr:cNvPr id="3307" name="Drop Down 235" hidden="1">
              <a:extLst>
                <a:ext uri="{63B3BB69-23CF-44E3-9099-C40C66FF867C}">
                  <a14:compatExt spid="_x0000_s3307"/>
                </a:ext>
                <a:ext uri="{FF2B5EF4-FFF2-40B4-BE49-F238E27FC236}">
                  <a16:creationId xmlns:a16="http://schemas.microsoft.com/office/drawing/2014/main" id="{00000000-0008-0000-0100-0000E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40</xdr:row>
          <xdr:rowOff>12700</xdr:rowOff>
        </xdr:from>
        <xdr:to>
          <xdr:col>2</xdr:col>
          <xdr:colOff>3200400</xdr:colOff>
          <xdr:row>40</xdr:row>
          <xdr:rowOff>304800</xdr:rowOff>
        </xdr:to>
        <xdr:sp macro="" textlink="">
          <xdr:nvSpPr>
            <xdr:cNvPr id="3308" name="Drop Down 236" hidden="1">
              <a:extLst>
                <a:ext uri="{63B3BB69-23CF-44E3-9099-C40C66FF867C}">
                  <a14:compatExt spid="_x0000_s3308"/>
                </a:ext>
                <a:ext uri="{FF2B5EF4-FFF2-40B4-BE49-F238E27FC236}">
                  <a16:creationId xmlns:a16="http://schemas.microsoft.com/office/drawing/2014/main" id="{00000000-0008-0000-0100-0000E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41</xdr:row>
          <xdr:rowOff>12700</xdr:rowOff>
        </xdr:from>
        <xdr:to>
          <xdr:col>2</xdr:col>
          <xdr:colOff>3200400</xdr:colOff>
          <xdr:row>41</xdr:row>
          <xdr:rowOff>304800</xdr:rowOff>
        </xdr:to>
        <xdr:sp macro="" textlink="">
          <xdr:nvSpPr>
            <xdr:cNvPr id="3309" name="Drop Down 237" hidden="1">
              <a:extLst>
                <a:ext uri="{63B3BB69-23CF-44E3-9099-C40C66FF867C}">
                  <a14:compatExt spid="_x0000_s3309"/>
                </a:ext>
                <a:ext uri="{FF2B5EF4-FFF2-40B4-BE49-F238E27FC236}">
                  <a16:creationId xmlns:a16="http://schemas.microsoft.com/office/drawing/2014/main" id="{00000000-0008-0000-0100-0000E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42</xdr:row>
          <xdr:rowOff>12700</xdr:rowOff>
        </xdr:from>
        <xdr:to>
          <xdr:col>2</xdr:col>
          <xdr:colOff>3200400</xdr:colOff>
          <xdr:row>42</xdr:row>
          <xdr:rowOff>304800</xdr:rowOff>
        </xdr:to>
        <xdr:sp macro="" textlink="">
          <xdr:nvSpPr>
            <xdr:cNvPr id="3310" name="Drop Down 238" hidden="1">
              <a:extLst>
                <a:ext uri="{63B3BB69-23CF-44E3-9099-C40C66FF867C}">
                  <a14:compatExt spid="_x0000_s3310"/>
                </a:ext>
                <a:ext uri="{FF2B5EF4-FFF2-40B4-BE49-F238E27FC236}">
                  <a16:creationId xmlns:a16="http://schemas.microsoft.com/office/drawing/2014/main" id="{00000000-0008-0000-0100-0000E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43</xdr:row>
          <xdr:rowOff>12700</xdr:rowOff>
        </xdr:from>
        <xdr:to>
          <xdr:col>2</xdr:col>
          <xdr:colOff>3200400</xdr:colOff>
          <xdr:row>43</xdr:row>
          <xdr:rowOff>304800</xdr:rowOff>
        </xdr:to>
        <xdr:sp macro="" textlink="">
          <xdr:nvSpPr>
            <xdr:cNvPr id="3311" name="Drop Down 239" hidden="1">
              <a:extLst>
                <a:ext uri="{63B3BB69-23CF-44E3-9099-C40C66FF867C}">
                  <a14:compatExt spid="_x0000_s3311"/>
                </a:ext>
                <a:ext uri="{FF2B5EF4-FFF2-40B4-BE49-F238E27FC236}">
                  <a16:creationId xmlns:a16="http://schemas.microsoft.com/office/drawing/2014/main" id="{00000000-0008-0000-0100-0000E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44</xdr:row>
          <xdr:rowOff>12700</xdr:rowOff>
        </xdr:from>
        <xdr:to>
          <xdr:col>2</xdr:col>
          <xdr:colOff>3200400</xdr:colOff>
          <xdr:row>44</xdr:row>
          <xdr:rowOff>304800</xdr:rowOff>
        </xdr:to>
        <xdr:sp macro="" textlink="">
          <xdr:nvSpPr>
            <xdr:cNvPr id="3312" name="Drop Down 240" hidden="1">
              <a:extLst>
                <a:ext uri="{63B3BB69-23CF-44E3-9099-C40C66FF867C}">
                  <a14:compatExt spid="_x0000_s3312"/>
                </a:ext>
                <a:ext uri="{FF2B5EF4-FFF2-40B4-BE49-F238E27FC236}">
                  <a16:creationId xmlns:a16="http://schemas.microsoft.com/office/drawing/2014/main" id="{00000000-0008-0000-0100-0000F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45</xdr:row>
          <xdr:rowOff>12700</xdr:rowOff>
        </xdr:from>
        <xdr:to>
          <xdr:col>2</xdr:col>
          <xdr:colOff>3200400</xdr:colOff>
          <xdr:row>45</xdr:row>
          <xdr:rowOff>304800</xdr:rowOff>
        </xdr:to>
        <xdr:sp macro="" textlink="">
          <xdr:nvSpPr>
            <xdr:cNvPr id="3313" name="Drop Down 241" hidden="1">
              <a:extLst>
                <a:ext uri="{63B3BB69-23CF-44E3-9099-C40C66FF867C}">
                  <a14:compatExt spid="_x0000_s3313"/>
                </a:ext>
                <a:ext uri="{FF2B5EF4-FFF2-40B4-BE49-F238E27FC236}">
                  <a16:creationId xmlns:a16="http://schemas.microsoft.com/office/drawing/2014/main" id="{00000000-0008-0000-0100-0000F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46</xdr:row>
          <xdr:rowOff>12700</xdr:rowOff>
        </xdr:from>
        <xdr:to>
          <xdr:col>2</xdr:col>
          <xdr:colOff>3200400</xdr:colOff>
          <xdr:row>46</xdr:row>
          <xdr:rowOff>304800</xdr:rowOff>
        </xdr:to>
        <xdr:sp macro="" textlink="">
          <xdr:nvSpPr>
            <xdr:cNvPr id="3314" name="Drop Down 242" hidden="1">
              <a:extLst>
                <a:ext uri="{63B3BB69-23CF-44E3-9099-C40C66FF867C}">
                  <a14:compatExt spid="_x0000_s3314"/>
                </a:ext>
                <a:ext uri="{FF2B5EF4-FFF2-40B4-BE49-F238E27FC236}">
                  <a16:creationId xmlns:a16="http://schemas.microsoft.com/office/drawing/2014/main" id="{00000000-0008-0000-0100-0000F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47</xdr:row>
          <xdr:rowOff>12700</xdr:rowOff>
        </xdr:from>
        <xdr:to>
          <xdr:col>2</xdr:col>
          <xdr:colOff>3200400</xdr:colOff>
          <xdr:row>47</xdr:row>
          <xdr:rowOff>304800</xdr:rowOff>
        </xdr:to>
        <xdr:sp macro="" textlink="">
          <xdr:nvSpPr>
            <xdr:cNvPr id="3315" name="Drop Down 243" hidden="1">
              <a:extLst>
                <a:ext uri="{63B3BB69-23CF-44E3-9099-C40C66FF867C}">
                  <a14:compatExt spid="_x0000_s3315"/>
                </a:ext>
                <a:ext uri="{FF2B5EF4-FFF2-40B4-BE49-F238E27FC236}">
                  <a16:creationId xmlns:a16="http://schemas.microsoft.com/office/drawing/2014/main" id="{00000000-0008-0000-0100-0000F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48</xdr:row>
          <xdr:rowOff>12700</xdr:rowOff>
        </xdr:from>
        <xdr:to>
          <xdr:col>2</xdr:col>
          <xdr:colOff>3200400</xdr:colOff>
          <xdr:row>48</xdr:row>
          <xdr:rowOff>304800</xdr:rowOff>
        </xdr:to>
        <xdr:sp macro="" textlink="">
          <xdr:nvSpPr>
            <xdr:cNvPr id="3316" name="Drop Down 244" hidden="1">
              <a:extLst>
                <a:ext uri="{63B3BB69-23CF-44E3-9099-C40C66FF867C}">
                  <a14:compatExt spid="_x0000_s3316"/>
                </a:ext>
                <a:ext uri="{FF2B5EF4-FFF2-40B4-BE49-F238E27FC236}">
                  <a16:creationId xmlns:a16="http://schemas.microsoft.com/office/drawing/2014/main" id="{00000000-0008-0000-0100-0000F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49</xdr:row>
          <xdr:rowOff>12700</xdr:rowOff>
        </xdr:from>
        <xdr:to>
          <xdr:col>2</xdr:col>
          <xdr:colOff>3200400</xdr:colOff>
          <xdr:row>49</xdr:row>
          <xdr:rowOff>304800</xdr:rowOff>
        </xdr:to>
        <xdr:sp macro="" textlink="">
          <xdr:nvSpPr>
            <xdr:cNvPr id="3317" name="Drop Down 245" hidden="1">
              <a:extLst>
                <a:ext uri="{63B3BB69-23CF-44E3-9099-C40C66FF867C}">
                  <a14:compatExt spid="_x0000_s3317"/>
                </a:ext>
                <a:ext uri="{FF2B5EF4-FFF2-40B4-BE49-F238E27FC236}">
                  <a16:creationId xmlns:a16="http://schemas.microsoft.com/office/drawing/2014/main" id="{00000000-0008-0000-0100-0000F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50</xdr:row>
          <xdr:rowOff>12700</xdr:rowOff>
        </xdr:from>
        <xdr:to>
          <xdr:col>2</xdr:col>
          <xdr:colOff>3200400</xdr:colOff>
          <xdr:row>50</xdr:row>
          <xdr:rowOff>304800</xdr:rowOff>
        </xdr:to>
        <xdr:sp macro="" textlink="">
          <xdr:nvSpPr>
            <xdr:cNvPr id="3318" name="Drop Down 246" hidden="1">
              <a:extLst>
                <a:ext uri="{63B3BB69-23CF-44E3-9099-C40C66FF867C}">
                  <a14:compatExt spid="_x0000_s3318"/>
                </a:ext>
                <a:ext uri="{FF2B5EF4-FFF2-40B4-BE49-F238E27FC236}">
                  <a16:creationId xmlns:a16="http://schemas.microsoft.com/office/drawing/2014/main" id="{00000000-0008-0000-0100-0000F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51</xdr:row>
          <xdr:rowOff>12700</xdr:rowOff>
        </xdr:from>
        <xdr:to>
          <xdr:col>2</xdr:col>
          <xdr:colOff>3200400</xdr:colOff>
          <xdr:row>51</xdr:row>
          <xdr:rowOff>304800</xdr:rowOff>
        </xdr:to>
        <xdr:sp macro="" textlink="">
          <xdr:nvSpPr>
            <xdr:cNvPr id="3322" name="Drop Down 250" hidden="1">
              <a:extLst>
                <a:ext uri="{63B3BB69-23CF-44E3-9099-C40C66FF867C}">
                  <a14:compatExt spid="_x0000_s3322"/>
                </a:ext>
                <a:ext uri="{FF2B5EF4-FFF2-40B4-BE49-F238E27FC236}">
                  <a16:creationId xmlns:a16="http://schemas.microsoft.com/office/drawing/2014/main" id="{00000000-0008-0000-0100-0000F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52</xdr:row>
          <xdr:rowOff>12700</xdr:rowOff>
        </xdr:from>
        <xdr:to>
          <xdr:col>2</xdr:col>
          <xdr:colOff>3200400</xdr:colOff>
          <xdr:row>52</xdr:row>
          <xdr:rowOff>304800</xdr:rowOff>
        </xdr:to>
        <xdr:sp macro="" textlink="">
          <xdr:nvSpPr>
            <xdr:cNvPr id="3323" name="Drop Down 251" hidden="1">
              <a:extLst>
                <a:ext uri="{63B3BB69-23CF-44E3-9099-C40C66FF867C}">
                  <a14:compatExt spid="_x0000_s3323"/>
                </a:ext>
                <a:ext uri="{FF2B5EF4-FFF2-40B4-BE49-F238E27FC236}">
                  <a16:creationId xmlns:a16="http://schemas.microsoft.com/office/drawing/2014/main" id="{00000000-0008-0000-0100-0000F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53</xdr:row>
          <xdr:rowOff>12700</xdr:rowOff>
        </xdr:from>
        <xdr:to>
          <xdr:col>2</xdr:col>
          <xdr:colOff>3200400</xdr:colOff>
          <xdr:row>53</xdr:row>
          <xdr:rowOff>304800</xdr:rowOff>
        </xdr:to>
        <xdr:sp macro="" textlink="">
          <xdr:nvSpPr>
            <xdr:cNvPr id="3324" name="Drop Down 252" hidden="1">
              <a:extLst>
                <a:ext uri="{63B3BB69-23CF-44E3-9099-C40C66FF867C}">
                  <a14:compatExt spid="_x0000_s3324"/>
                </a:ext>
                <a:ext uri="{FF2B5EF4-FFF2-40B4-BE49-F238E27FC236}">
                  <a16:creationId xmlns:a16="http://schemas.microsoft.com/office/drawing/2014/main" id="{00000000-0008-0000-0100-0000F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54</xdr:row>
          <xdr:rowOff>12700</xdr:rowOff>
        </xdr:from>
        <xdr:to>
          <xdr:col>2</xdr:col>
          <xdr:colOff>3200400</xdr:colOff>
          <xdr:row>54</xdr:row>
          <xdr:rowOff>304800</xdr:rowOff>
        </xdr:to>
        <xdr:sp macro="" textlink="">
          <xdr:nvSpPr>
            <xdr:cNvPr id="3325" name="Drop Down 253" hidden="1">
              <a:extLst>
                <a:ext uri="{63B3BB69-23CF-44E3-9099-C40C66FF867C}">
                  <a14:compatExt spid="_x0000_s3325"/>
                </a:ext>
                <a:ext uri="{FF2B5EF4-FFF2-40B4-BE49-F238E27FC236}">
                  <a16:creationId xmlns:a16="http://schemas.microsoft.com/office/drawing/2014/main" id="{00000000-0008-0000-0100-0000F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55</xdr:row>
          <xdr:rowOff>12700</xdr:rowOff>
        </xdr:from>
        <xdr:to>
          <xdr:col>2</xdr:col>
          <xdr:colOff>3200400</xdr:colOff>
          <xdr:row>55</xdr:row>
          <xdr:rowOff>304800</xdr:rowOff>
        </xdr:to>
        <xdr:sp macro="" textlink="">
          <xdr:nvSpPr>
            <xdr:cNvPr id="3326" name="Drop Down 254" hidden="1">
              <a:extLst>
                <a:ext uri="{63B3BB69-23CF-44E3-9099-C40C66FF867C}">
                  <a14:compatExt spid="_x0000_s3326"/>
                </a:ext>
                <a:ext uri="{FF2B5EF4-FFF2-40B4-BE49-F238E27FC236}">
                  <a16:creationId xmlns:a16="http://schemas.microsoft.com/office/drawing/2014/main" id="{00000000-0008-0000-0100-0000F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56</xdr:row>
          <xdr:rowOff>12700</xdr:rowOff>
        </xdr:from>
        <xdr:to>
          <xdr:col>2</xdr:col>
          <xdr:colOff>3200400</xdr:colOff>
          <xdr:row>56</xdr:row>
          <xdr:rowOff>304800</xdr:rowOff>
        </xdr:to>
        <xdr:sp macro="" textlink="">
          <xdr:nvSpPr>
            <xdr:cNvPr id="3327" name="Drop Down 255" hidden="1">
              <a:extLst>
                <a:ext uri="{63B3BB69-23CF-44E3-9099-C40C66FF867C}">
                  <a14:compatExt spid="_x0000_s3327"/>
                </a:ext>
                <a:ext uri="{FF2B5EF4-FFF2-40B4-BE49-F238E27FC236}">
                  <a16:creationId xmlns:a16="http://schemas.microsoft.com/office/drawing/2014/main" id="{00000000-0008-0000-0100-0000F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57</xdr:row>
          <xdr:rowOff>12700</xdr:rowOff>
        </xdr:from>
        <xdr:to>
          <xdr:col>2</xdr:col>
          <xdr:colOff>3200400</xdr:colOff>
          <xdr:row>57</xdr:row>
          <xdr:rowOff>304800</xdr:rowOff>
        </xdr:to>
        <xdr:sp macro="" textlink="">
          <xdr:nvSpPr>
            <xdr:cNvPr id="3328" name="Drop Down 256" hidden="1">
              <a:extLst>
                <a:ext uri="{63B3BB69-23CF-44E3-9099-C40C66FF867C}">
                  <a14:compatExt spid="_x0000_s3328"/>
                </a:ext>
                <a:ext uri="{FF2B5EF4-FFF2-40B4-BE49-F238E27FC236}">
                  <a16:creationId xmlns:a16="http://schemas.microsoft.com/office/drawing/2014/main" id="{00000000-0008-0000-0100-000000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58</xdr:row>
          <xdr:rowOff>12700</xdr:rowOff>
        </xdr:from>
        <xdr:to>
          <xdr:col>2</xdr:col>
          <xdr:colOff>3200400</xdr:colOff>
          <xdr:row>58</xdr:row>
          <xdr:rowOff>304800</xdr:rowOff>
        </xdr:to>
        <xdr:sp macro="" textlink="">
          <xdr:nvSpPr>
            <xdr:cNvPr id="3329" name="Drop Down 257" hidden="1">
              <a:extLst>
                <a:ext uri="{63B3BB69-23CF-44E3-9099-C40C66FF867C}">
                  <a14:compatExt spid="_x0000_s3329"/>
                </a:ext>
                <a:ext uri="{FF2B5EF4-FFF2-40B4-BE49-F238E27FC236}">
                  <a16:creationId xmlns:a16="http://schemas.microsoft.com/office/drawing/2014/main" id="{00000000-0008-0000-0100-000001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59</xdr:row>
          <xdr:rowOff>12700</xdr:rowOff>
        </xdr:from>
        <xdr:to>
          <xdr:col>2</xdr:col>
          <xdr:colOff>3200400</xdr:colOff>
          <xdr:row>59</xdr:row>
          <xdr:rowOff>304800</xdr:rowOff>
        </xdr:to>
        <xdr:sp macro="" textlink="">
          <xdr:nvSpPr>
            <xdr:cNvPr id="3330" name="Drop Down 258" hidden="1">
              <a:extLst>
                <a:ext uri="{63B3BB69-23CF-44E3-9099-C40C66FF867C}">
                  <a14:compatExt spid="_x0000_s3330"/>
                </a:ext>
                <a:ext uri="{FF2B5EF4-FFF2-40B4-BE49-F238E27FC236}">
                  <a16:creationId xmlns:a16="http://schemas.microsoft.com/office/drawing/2014/main" id="{00000000-0008-0000-0100-000002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60</xdr:row>
          <xdr:rowOff>12700</xdr:rowOff>
        </xdr:from>
        <xdr:to>
          <xdr:col>2</xdr:col>
          <xdr:colOff>3200400</xdr:colOff>
          <xdr:row>60</xdr:row>
          <xdr:rowOff>304800</xdr:rowOff>
        </xdr:to>
        <xdr:sp macro="" textlink="">
          <xdr:nvSpPr>
            <xdr:cNvPr id="3331" name="Drop Down 259" hidden="1">
              <a:extLst>
                <a:ext uri="{63B3BB69-23CF-44E3-9099-C40C66FF867C}">
                  <a14:compatExt spid="_x0000_s3331"/>
                </a:ext>
                <a:ext uri="{FF2B5EF4-FFF2-40B4-BE49-F238E27FC236}">
                  <a16:creationId xmlns:a16="http://schemas.microsoft.com/office/drawing/2014/main" id="{00000000-0008-0000-0100-000003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61</xdr:row>
          <xdr:rowOff>12700</xdr:rowOff>
        </xdr:from>
        <xdr:to>
          <xdr:col>2</xdr:col>
          <xdr:colOff>3200400</xdr:colOff>
          <xdr:row>61</xdr:row>
          <xdr:rowOff>304800</xdr:rowOff>
        </xdr:to>
        <xdr:sp macro="" textlink="">
          <xdr:nvSpPr>
            <xdr:cNvPr id="3332" name="Drop Down 260" hidden="1">
              <a:extLst>
                <a:ext uri="{63B3BB69-23CF-44E3-9099-C40C66FF867C}">
                  <a14:compatExt spid="_x0000_s3332"/>
                </a:ext>
                <a:ext uri="{FF2B5EF4-FFF2-40B4-BE49-F238E27FC236}">
                  <a16:creationId xmlns:a16="http://schemas.microsoft.com/office/drawing/2014/main" id="{00000000-0008-0000-0100-000004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62</xdr:row>
          <xdr:rowOff>12700</xdr:rowOff>
        </xdr:from>
        <xdr:to>
          <xdr:col>2</xdr:col>
          <xdr:colOff>3200400</xdr:colOff>
          <xdr:row>62</xdr:row>
          <xdr:rowOff>304800</xdr:rowOff>
        </xdr:to>
        <xdr:sp macro="" textlink="">
          <xdr:nvSpPr>
            <xdr:cNvPr id="3333" name="Drop Down 261" hidden="1">
              <a:extLst>
                <a:ext uri="{63B3BB69-23CF-44E3-9099-C40C66FF867C}">
                  <a14:compatExt spid="_x0000_s3333"/>
                </a:ext>
                <a:ext uri="{FF2B5EF4-FFF2-40B4-BE49-F238E27FC236}">
                  <a16:creationId xmlns:a16="http://schemas.microsoft.com/office/drawing/2014/main" id="{00000000-0008-0000-0100-000005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63</xdr:row>
          <xdr:rowOff>12700</xdr:rowOff>
        </xdr:from>
        <xdr:to>
          <xdr:col>2</xdr:col>
          <xdr:colOff>3200400</xdr:colOff>
          <xdr:row>63</xdr:row>
          <xdr:rowOff>304800</xdr:rowOff>
        </xdr:to>
        <xdr:sp macro="" textlink="">
          <xdr:nvSpPr>
            <xdr:cNvPr id="3334" name="Drop Down 262" hidden="1">
              <a:extLst>
                <a:ext uri="{63B3BB69-23CF-44E3-9099-C40C66FF867C}">
                  <a14:compatExt spid="_x0000_s3334"/>
                </a:ext>
                <a:ext uri="{FF2B5EF4-FFF2-40B4-BE49-F238E27FC236}">
                  <a16:creationId xmlns:a16="http://schemas.microsoft.com/office/drawing/2014/main" id="{00000000-0008-0000-0100-000006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64</xdr:row>
          <xdr:rowOff>12700</xdr:rowOff>
        </xdr:from>
        <xdr:to>
          <xdr:col>2</xdr:col>
          <xdr:colOff>3200400</xdr:colOff>
          <xdr:row>64</xdr:row>
          <xdr:rowOff>304800</xdr:rowOff>
        </xdr:to>
        <xdr:sp macro="" textlink="">
          <xdr:nvSpPr>
            <xdr:cNvPr id="3335" name="Drop Down 263" hidden="1">
              <a:extLst>
                <a:ext uri="{63B3BB69-23CF-44E3-9099-C40C66FF867C}">
                  <a14:compatExt spid="_x0000_s3335"/>
                </a:ext>
                <a:ext uri="{FF2B5EF4-FFF2-40B4-BE49-F238E27FC236}">
                  <a16:creationId xmlns:a16="http://schemas.microsoft.com/office/drawing/2014/main" id="{00000000-0008-0000-0100-000007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65</xdr:row>
          <xdr:rowOff>12700</xdr:rowOff>
        </xdr:from>
        <xdr:to>
          <xdr:col>2</xdr:col>
          <xdr:colOff>3200400</xdr:colOff>
          <xdr:row>65</xdr:row>
          <xdr:rowOff>304800</xdr:rowOff>
        </xdr:to>
        <xdr:sp macro="" textlink="">
          <xdr:nvSpPr>
            <xdr:cNvPr id="3336" name="Drop Down 264" hidden="1">
              <a:extLst>
                <a:ext uri="{63B3BB69-23CF-44E3-9099-C40C66FF867C}">
                  <a14:compatExt spid="_x0000_s3336"/>
                </a:ext>
                <a:ext uri="{FF2B5EF4-FFF2-40B4-BE49-F238E27FC236}">
                  <a16:creationId xmlns:a16="http://schemas.microsoft.com/office/drawing/2014/main" id="{00000000-0008-0000-0100-000008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66</xdr:row>
          <xdr:rowOff>12700</xdr:rowOff>
        </xdr:from>
        <xdr:to>
          <xdr:col>2</xdr:col>
          <xdr:colOff>3200400</xdr:colOff>
          <xdr:row>66</xdr:row>
          <xdr:rowOff>304800</xdr:rowOff>
        </xdr:to>
        <xdr:sp macro="" textlink="">
          <xdr:nvSpPr>
            <xdr:cNvPr id="3337" name="Drop Down 265" hidden="1">
              <a:extLst>
                <a:ext uri="{63B3BB69-23CF-44E3-9099-C40C66FF867C}">
                  <a14:compatExt spid="_x0000_s3337"/>
                </a:ext>
                <a:ext uri="{FF2B5EF4-FFF2-40B4-BE49-F238E27FC236}">
                  <a16:creationId xmlns:a16="http://schemas.microsoft.com/office/drawing/2014/main" id="{00000000-0008-0000-0100-000009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67</xdr:row>
          <xdr:rowOff>12700</xdr:rowOff>
        </xdr:from>
        <xdr:to>
          <xdr:col>2</xdr:col>
          <xdr:colOff>3200400</xdr:colOff>
          <xdr:row>67</xdr:row>
          <xdr:rowOff>304800</xdr:rowOff>
        </xdr:to>
        <xdr:sp macro="" textlink="">
          <xdr:nvSpPr>
            <xdr:cNvPr id="3338" name="Drop Down 266" hidden="1">
              <a:extLst>
                <a:ext uri="{63B3BB69-23CF-44E3-9099-C40C66FF867C}">
                  <a14:compatExt spid="_x0000_s3338"/>
                </a:ext>
                <a:ext uri="{FF2B5EF4-FFF2-40B4-BE49-F238E27FC236}">
                  <a16:creationId xmlns:a16="http://schemas.microsoft.com/office/drawing/2014/main" id="{00000000-0008-0000-0100-00000A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68</xdr:row>
          <xdr:rowOff>12700</xdr:rowOff>
        </xdr:from>
        <xdr:to>
          <xdr:col>2</xdr:col>
          <xdr:colOff>3200400</xdr:colOff>
          <xdr:row>68</xdr:row>
          <xdr:rowOff>304800</xdr:rowOff>
        </xdr:to>
        <xdr:sp macro="" textlink="">
          <xdr:nvSpPr>
            <xdr:cNvPr id="3339" name="Drop Down 267" hidden="1">
              <a:extLst>
                <a:ext uri="{63B3BB69-23CF-44E3-9099-C40C66FF867C}">
                  <a14:compatExt spid="_x0000_s3339"/>
                </a:ext>
                <a:ext uri="{FF2B5EF4-FFF2-40B4-BE49-F238E27FC236}">
                  <a16:creationId xmlns:a16="http://schemas.microsoft.com/office/drawing/2014/main" id="{00000000-0008-0000-0100-00000B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69</xdr:row>
          <xdr:rowOff>12700</xdr:rowOff>
        </xdr:from>
        <xdr:to>
          <xdr:col>2</xdr:col>
          <xdr:colOff>3200400</xdr:colOff>
          <xdr:row>69</xdr:row>
          <xdr:rowOff>304800</xdr:rowOff>
        </xdr:to>
        <xdr:sp macro="" textlink="">
          <xdr:nvSpPr>
            <xdr:cNvPr id="3340" name="Drop Down 268" hidden="1">
              <a:extLst>
                <a:ext uri="{63B3BB69-23CF-44E3-9099-C40C66FF867C}">
                  <a14:compatExt spid="_x0000_s3340"/>
                </a:ext>
                <a:ext uri="{FF2B5EF4-FFF2-40B4-BE49-F238E27FC236}">
                  <a16:creationId xmlns:a16="http://schemas.microsoft.com/office/drawing/2014/main" id="{00000000-0008-0000-0100-00000C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70</xdr:row>
          <xdr:rowOff>12700</xdr:rowOff>
        </xdr:from>
        <xdr:to>
          <xdr:col>2</xdr:col>
          <xdr:colOff>3200400</xdr:colOff>
          <xdr:row>70</xdr:row>
          <xdr:rowOff>304800</xdr:rowOff>
        </xdr:to>
        <xdr:sp macro="" textlink="">
          <xdr:nvSpPr>
            <xdr:cNvPr id="3341" name="Drop Down 269" hidden="1">
              <a:extLst>
                <a:ext uri="{63B3BB69-23CF-44E3-9099-C40C66FF867C}">
                  <a14:compatExt spid="_x0000_s3341"/>
                </a:ext>
                <a:ext uri="{FF2B5EF4-FFF2-40B4-BE49-F238E27FC236}">
                  <a16:creationId xmlns:a16="http://schemas.microsoft.com/office/drawing/2014/main" id="{00000000-0008-0000-0100-00000D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71</xdr:row>
          <xdr:rowOff>12700</xdr:rowOff>
        </xdr:from>
        <xdr:to>
          <xdr:col>2</xdr:col>
          <xdr:colOff>3200400</xdr:colOff>
          <xdr:row>71</xdr:row>
          <xdr:rowOff>304800</xdr:rowOff>
        </xdr:to>
        <xdr:sp macro="" textlink="">
          <xdr:nvSpPr>
            <xdr:cNvPr id="3342" name="Drop Down 270" hidden="1">
              <a:extLst>
                <a:ext uri="{63B3BB69-23CF-44E3-9099-C40C66FF867C}">
                  <a14:compatExt spid="_x0000_s3342"/>
                </a:ext>
                <a:ext uri="{FF2B5EF4-FFF2-40B4-BE49-F238E27FC236}">
                  <a16:creationId xmlns:a16="http://schemas.microsoft.com/office/drawing/2014/main" id="{00000000-0008-0000-0100-00000E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72</xdr:row>
          <xdr:rowOff>12700</xdr:rowOff>
        </xdr:from>
        <xdr:to>
          <xdr:col>2</xdr:col>
          <xdr:colOff>3200400</xdr:colOff>
          <xdr:row>72</xdr:row>
          <xdr:rowOff>304800</xdr:rowOff>
        </xdr:to>
        <xdr:sp macro="" textlink="">
          <xdr:nvSpPr>
            <xdr:cNvPr id="3343" name="Drop Down 271" hidden="1">
              <a:extLst>
                <a:ext uri="{63B3BB69-23CF-44E3-9099-C40C66FF867C}">
                  <a14:compatExt spid="_x0000_s3343"/>
                </a:ext>
                <a:ext uri="{FF2B5EF4-FFF2-40B4-BE49-F238E27FC236}">
                  <a16:creationId xmlns:a16="http://schemas.microsoft.com/office/drawing/2014/main" id="{00000000-0008-0000-0100-00000F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73</xdr:row>
          <xdr:rowOff>12700</xdr:rowOff>
        </xdr:from>
        <xdr:to>
          <xdr:col>2</xdr:col>
          <xdr:colOff>3200400</xdr:colOff>
          <xdr:row>73</xdr:row>
          <xdr:rowOff>304800</xdr:rowOff>
        </xdr:to>
        <xdr:sp macro="" textlink="">
          <xdr:nvSpPr>
            <xdr:cNvPr id="3344" name="Drop Down 272" hidden="1">
              <a:extLst>
                <a:ext uri="{63B3BB69-23CF-44E3-9099-C40C66FF867C}">
                  <a14:compatExt spid="_x0000_s3344"/>
                </a:ext>
                <a:ext uri="{FF2B5EF4-FFF2-40B4-BE49-F238E27FC236}">
                  <a16:creationId xmlns:a16="http://schemas.microsoft.com/office/drawing/2014/main" id="{00000000-0008-0000-0100-000010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74</xdr:row>
          <xdr:rowOff>12700</xdr:rowOff>
        </xdr:from>
        <xdr:to>
          <xdr:col>2</xdr:col>
          <xdr:colOff>3200400</xdr:colOff>
          <xdr:row>74</xdr:row>
          <xdr:rowOff>304800</xdr:rowOff>
        </xdr:to>
        <xdr:sp macro="" textlink="">
          <xdr:nvSpPr>
            <xdr:cNvPr id="3345" name="Drop Down 273" hidden="1">
              <a:extLst>
                <a:ext uri="{63B3BB69-23CF-44E3-9099-C40C66FF867C}">
                  <a14:compatExt spid="_x0000_s3345"/>
                </a:ext>
                <a:ext uri="{FF2B5EF4-FFF2-40B4-BE49-F238E27FC236}">
                  <a16:creationId xmlns:a16="http://schemas.microsoft.com/office/drawing/2014/main" id="{00000000-0008-0000-0100-000011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75</xdr:row>
          <xdr:rowOff>12700</xdr:rowOff>
        </xdr:from>
        <xdr:to>
          <xdr:col>2</xdr:col>
          <xdr:colOff>3200400</xdr:colOff>
          <xdr:row>75</xdr:row>
          <xdr:rowOff>304800</xdr:rowOff>
        </xdr:to>
        <xdr:sp macro="" textlink="">
          <xdr:nvSpPr>
            <xdr:cNvPr id="3346" name="Drop Down 274" hidden="1">
              <a:extLst>
                <a:ext uri="{63B3BB69-23CF-44E3-9099-C40C66FF867C}">
                  <a14:compatExt spid="_x0000_s3346"/>
                </a:ext>
                <a:ext uri="{FF2B5EF4-FFF2-40B4-BE49-F238E27FC236}">
                  <a16:creationId xmlns:a16="http://schemas.microsoft.com/office/drawing/2014/main" id="{00000000-0008-0000-0100-000012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76</xdr:row>
          <xdr:rowOff>12700</xdr:rowOff>
        </xdr:from>
        <xdr:to>
          <xdr:col>2</xdr:col>
          <xdr:colOff>3200400</xdr:colOff>
          <xdr:row>76</xdr:row>
          <xdr:rowOff>304800</xdr:rowOff>
        </xdr:to>
        <xdr:sp macro="" textlink="">
          <xdr:nvSpPr>
            <xdr:cNvPr id="3347" name="Drop Down 275" hidden="1">
              <a:extLst>
                <a:ext uri="{63B3BB69-23CF-44E3-9099-C40C66FF867C}">
                  <a14:compatExt spid="_x0000_s3347"/>
                </a:ext>
                <a:ext uri="{FF2B5EF4-FFF2-40B4-BE49-F238E27FC236}">
                  <a16:creationId xmlns:a16="http://schemas.microsoft.com/office/drawing/2014/main" id="{00000000-0008-0000-0100-000013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77</xdr:row>
          <xdr:rowOff>12700</xdr:rowOff>
        </xdr:from>
        <xdr:to>
          <xdr:col>2</xdr:col>
          <xdr:colOff>3200400</xdr:colOff>
          <xdr:row>77</xdr:row>
          <xdr:rowOff>304800</xdr:rowOff>
        </xdr:to>
        <xdr:sp macro="" textlink="">
          <xdr:nvSpPr>
            <xdr:cNvPr id="3348" name="Drop Down 276" hidden="1">
              <a:extLst>
                <a:ext uri="{63B3BB69-23CF-44E3-9099-C40C66FF867C}">
                  <a14:compatExt spid="_x0000_s3348"/>
                </a:ext>
                <a:ext uri="{FF2B5EF4-FFF2-40B4-BE49-F238E27FC236}">
                  <a16:creationId xmlns:a16="http://schemas.microsoft.com/office/drawing/2014/main" id="{00000000-0008-0000-0100-000014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78</xdr:row>
          <xdr:rowOff>12700</xdr:rowOff>
        </xdr:from>
        <xdr:to>
          <xdr:col>2</xdr:col>
          <xdr:colOff>3200400</xdr:colOff>
          <xdr:row>78</xdr:row>
          <xdr:rowOff>304800</xdr:rowOff>
        </xdr:to>
        <xdr:sp macro="" textlink="">
          <xdr:nvSpPr>
            <xdr:cNvPr id="3349" name="Drop Down 277" hidden="1">
              <a:extLst>
                <a:ext uri="{63B3BB69-23CF-44E3-9099-C40C66FF867C}">
                  <a14:compatExt spid="_x0000_s3349"/>
                </a:ext>
                <a:ext uri="{FF2B5EF4-FFF2-40B4-BE49-F238E27FC236}">
                  <a16:creationId xmlns:a16="http://schemas.microsoft.com/office/drawing/2014/main" id="{00000000-0008-0000-0100-000015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79</xdr:row>
          <xdr:rowOff>12700</xdr:rowOff>
        </xdr:from>
        <xdr:to>
          <xdr:col>2</xdr:col>
          <xdr:colOff>3200400</xdr:colOff>
          <xdr:row>79</xdr:row>
          <xdr:rowOff>304800</xdr:rowOff>
        </xdr:to>
        <xdr:sp macro="" textlink="">
          <xdr:nvSpPr>
            <xdr:cNvPr id="3350" name="Drop Down 278" hidden="1">
              <a:extLst>
                <a:ext uri="{63B3BB69-23CF-44E3-9099-C40C66FF867C}">
                  <a14:compatExt spid="_x0000_s3350"/>
                </a:ext>
                <a:ext uri="{FF2B5EF4-FFF2-40B4-BE49-F238E27FC236}">
                  <a16:creationId xmlns:a16="http://schemas.microsoft.com/office/drawing/2014/main" id="{00000000-0008-0000-0100-000016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80</xdr:row>
          <xdr:rowOff>12700</xdr:rowOff>
        </xdr:from>
        <xdr:to>
          <xdr:col>2</xdr:col>
          <xdr:colOff>3200400</xdr:colOff>
          <xdr:row>80</xdr:row>
          <xdr:rowOff>304800</xdr:rowOff>
        </xdr:to>
        <xdr:sp macro="" textlink="">
          <xdr:nvSpPr>
            <xdr:cNvPr id="3351" name="Drop Down 279" hidden="1">
              <a:extLst>
                <a:ext uri="{63B3BB69-23CF-44E3-9099-C40C66FF867C}">
                  <a14:compatExt spid="_x0000_s3351"/>
                </a:ext>
                <a:ext uri="{FF2B5EF4-FFF2-40B4-BE49-F238E27FC236}">
                  <a16:creationId xmlns:a16="http://schemas.microsoft.com/office/drawing/2014/main" id="{00000000-0008-0000-0100-000017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81</xdr:row>
          <xdr:rowOff>12700</xdr:rowOff>
        </xdr:from>
        <xdr:to>
          <xdr:col>2</xdr:col>
          <xdr:colOff>3200400</xdr:colOff>
          <xdr:row>81</xdr:row>
          <xdr:rowOff>304800</xdr:rowOff>
        </xdr:to>
        <xdr:sp macro="" textlink="">
          <xdr:nvSpPr>
            <xdr:cNvPr id="3352" name="Drop Down 280" hidden="1">
              <a:extLst>
                <a:ext uri="{63B3BB69-23CF-44E3-9099-C40C66FF867C}">
                  <a14:compatExt spid="_x0000_s3352"/>
                </a:ext>
                <a:ext uri="{FF2B5EF4-FFF2-40B4-BE49-F238E27FC236}">
                  <a16:creationId xmlns:a16="http://schemas.microsoft.com/office/drawing/2014/main" id="{00000000-0008-0000-0100-000018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82</xdr:row>
          <xdr:rowOff>12700</xdr:rowOff>
        </xdr:from>
        <xdr:to>
          <xdr:col>2</xdr:col>
          <xdr:colOff>3200400</xdr:colOff>
          <xdr:row>82</xdr:row>
          <xdr:rowOff>304800</xdr:rowOff>
        </xdr:to>
        <xdr:sp macro="" textlink="">
          <xdr:nvSpPr>
            <xdr:cNvPr id="3353" name="Drop Down 281" hidden="1">
              <a:extLst>
                <a:ext uri="{63B3BB69-23CF-44E3-9099-C40C66FF867C}">
                  <a14:compatExt spid="_x0000_s3353"/>
                </a:ext>
                <a:ext uri="{FF2B5EF4-FFF2-40B4-BE49-F238E27FC236}">
                  <a16:creationId xmlns:a16="http://schemas.microsoft.com/office/drawing/2014/main" id="{00000000-0008-0000-0100-000019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83</xdr:row>
          <xdr:rowOff>12700</xdr:rowOff>
        </xdr:from>
        <xdr:to>
          <xdr:col>2</xdr:col>
          <xdr:colOff>3200400</xdr:colOff>
          <xdr:row>83</xdr:row>
          <xdr:rowOff>304800</xdr:rowOff>
        </xdr:to>
        <xdr:sp macro="" textlink="">
          <xdr:nvSpPr>
            <xdr:cNvPr id="3354" name="Drop Down 282" hidden="1">
              <a:extLst>
                <a:ext uri="{63B3BB69-23CF-44E3-9099-C40C66FF867C}">
                  <a14:compatExt spid="_x0000_s3354"/>
                </a:ext>
                <a:ext uri="{FF2B5EF4-FFF2-40B4-BE49-F238E27FC236}">
                  <a16:creationId xmlns:a16="http://schemas.microsoft.com/office/drawing/2014/main" id="{00000000-0008-0000-0100-00001A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84</xdr:row>
          <xdr:rowOff>12700</xdr:rowOff>
        </xdr:from>
        <xdr:to>
          <xdr:col>2</xdr:col>
          <xdr:colOff>3200400</xdr:colOff>
          <xdr:row>84</xdr:row>
          <xdr:rowOff>304800</xdr:rowOff>
        </xdr:to>
        <xdr:sp macro="" textlink="">
          <xdr:nvSpPr>
            <xdr:cNvPr id="3355" name="Drop Down 283" hidden="1">
              <a:extLst>
                <a:ext uri="{63B3BB69-23CF-44E3-9099-C40C66FF867C}">
                  <a14:compatExt spid="_x0000_s3355"/>
                </a:ext>
                <a:ext uri="{FF2B5EF4-FFF2-40B4-BE49-F238E27FC236}">
                  <a16:creationId xmlns:a16="http://schemas.microsoft.com/office/drawing/2014/main" id="{00000000-0008-0000-0100-00001B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85</xdr:row>
          <xdr:rowOff>12700</xdr:rowOff>
        </xdr:from>
        <xdr:to>
          <xdr:col>2</xdr:col>
          <xdr:colOff>3200400</xdr:colOff>
          <xdr:row>85</xdr:row>
          <xdr:rowOff>304800</xdr:rowOff>
        </xdr:to>
        <xdr:sp macro="" textlink="">
          <xdr:nvSpPr>
            <xdr:cNvPr id="3356" name="Drop Down 284" hidden="1">
              <a:extLst>
                <a:ext uri="{63B3BB69-23CF-44E3-9099-C40C66FF867C}">
                  <a14:compatExt spid="_x0000_s3356"/>
                </a:ext>
                <a:ext uri="{FF2B5EF4-FFF2-40B4-BE49-F238E27FC236}">
                  <a16:creationId xmlns:a16="http://schemas.microsoft.com/office/drawing/2014/main" id="{00000000-0008-0000-0100-00001C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86</xdr:row>
          <xdr:rowOff>12700</xdr:rowOff>
        </xdr:from>
        <xdr:to>
          <xdr:col>2</xdr:col>
          <xdr:colOff>3200400</xdr:colOff>
          <xdr:row>86</xdr:row>
          <xdr:rowOff>304800</xdr:rowOff>
        </xdr:to>
        <xdr:sp macro="" textlink="">
          <xdr:nvSpPr>
            <xdr:cNvPr id="3357" name="Drop Down 285" hidden="1">
              <a:extLst>
                <a:ext uri="{63B3BB69-23CF-44E3-9099-C40C66FF867C}">
                  <a14:compatExt spid="_x0000_s3357"/>
                </a:ext>
                <a:ext uri="{FF2B5EF4-FFF2-40B4-BE49-F238E27FC236}">
                  <a16:creationId xmlns:a16="http://schemas.microsoft.com/office/drawing/2014/main" id="{00000000-0008-0000-0100-00001D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87</xdr:row>
          <xdr:rowOff>12700</xdr:rowOff>
        </xdr:from>
        <xdr:to>
          <xdr:col>2</xdr:col>
          <xdr:colOff>3200400</xdr:colOff>
          <xdr:row>87</xdr:row>
          <xdr:rowOff>304800</xdr:rowOff>
        </xdr:to>
        <xdr:sp macro="" textlink="">
          <xdr:nvSpPr>
            <xdr:cNvPr id="3358" name="Drop Down 286" hidden="1">
              <a:extLst>
                <a:ext uri="{63B3BB69-23CF-44E3-9099-C40C66FF867C}">
                  <a14:compatExt spid="_x0000_s3358"/>
                </a:ext>
                <a:ext uri="{FF2B5EF4-FFF2-40B4-BE49-F238E27FC236}">
                  <a16:creationId xmlns:a16="http://schemas.microsoft.com/office/drawing/2014/main" id="{00000000-0008-0000-0100-00001E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88</xdr:row>
          <xdr:rowOff>12700</xdr:rowOff>
        </xdr:from>
        <xdr:to>
          <xdr:col>2</xdr:col>
          <xdr:colOff>3200400</xdr:colOff>
          <xdr:row>88</xdr:row>
          <xdr:rowOff>304800</xdr:rowOff>
        </xdr:to>
        <xdr:sp macro="" textlink="">
          <xdr:nvSpPr>
            <xdr:cNvPr id="3359" name="Drop Down 287" hidden="1">
              <a:extLst>
                <a:ext uri="{63B3BB69-23CF-44E3-9099-C40C66FF867C}">
                  <a14:compatExt spid="_x0000_s3359"/>
                </a:ext>
                <a:ext uri="{FF2B5EF4-FFF2-40B4-BE49-F238E27FC236}">
                  <a16:creationId xmlns:a16="http://schemas.microsoft.com/office/drawing/2014/main" id="{00000000-0008-0000-0100-00001F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89</xdr:row>
          <xdr:rowOff>12700</xdr:rowOff>
        </xdr:from>
        <xdr:to>
          <xdr:col>2</xdr:col>
          <xdr:colOff>3200400</xdr:colOff>
          <xdr:row>89</xdr:row>
          <xdr:rowOff>304800</xdr:rowOff>
        </xdr:to>
        <xdr:sp macro="" textlink="">
          <xdr:nvSpPr>
            <xdr:cNvPr id="3360" name="Drop Down 288" hidden="1">
              <a:extLst>
                <a:ext uri="{63B3BB69-23CF-44E3-9099-C40C66FF867C}">
                  <a14:compatExt spid="_x0000_s3360"/>
                </a:ext>
                <a:ext uri="{FF2B5EF4-FFF2-40B4-BE49-F238E27FC236}">
                  <a16:creationId xmlns:a16="http://schemas.microsoft.com/office/drawing/2014/main" id="{00000000-0008-0000-0100-000020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90</xdr:row>
          <xdr:rowOff>12700</xdr:rowOff>
        </xdr:from>
        <xdr:to>
          <xdr:col>2</xdr:col>
          <xdr:colOff>3200400</xdr:colOff>
          <xdr:row>90</xdr:row>
          <xdr:rowOff>304800</xdr:rowOff>
        </xdr:to>
        <xdr:sp macro="" textlink="">
          <xdr:nvSpPr>
            <xdr:cNvPr id="3361" name="Drop Down 289" hidden="1">
              <a:extLst>
                <a:ext uri="{63B3BB69-23CF-44E3-9099-C40C66FF867C}">
                  <a14:compatExt spid="_x0000_s3361"/>
                </a:ext>
                <a:ext uri="{FF2B5EF4-FFF2-40B4-BE49-F238E27FC236}">
                  <a16:creationId xmlns:a16="http://schemas.microsoft.com/office/drawing/2014/main" id="{00000000-0008-0000-0100-000021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91</xdr:row>
          <xdr:rowOff>12700</xdr:rowOff>
        </xdr:from>
        <xdr:to>
          <xdr:col>2</xdr:col>
          <xdr:colOff>3200400</xdr:colOff>
          <xdr:row>91</xdr:row>
          <xdr:rowOff>304800</xdr:rowOff>
        </xdr:to>
        <xdr:sp macro="" textlink="">
          <xdr:nvSpPr>
            <xdr:cNvPr id="3362" name="Drop Down 290" hidden="1">
              <a:extLst>
                <a:ext uri="{63B3BB69-23CF-44E3-9099-C40C66FF867C}">
                  <a14:compatExt spid="_x0000_s3362"/>
                </a:ext>
                <a:ext uri="{FF2B5EF4-FFF2-40B4-BE49-F238E27FC236}">
                  <a16:creationId xmlns:a16="http://schemas.microsoft.com/office/drawing/2014/main" id="{00000000-0008-0000-0100-000022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92</xdr:row>
          <xdr:rowOff>12700</xdr:rowOff>
        </xdr:from>
        <xdr:to>
          <xdr:col>2</xdr:col>
          <xdr:colOff>3200400</xdr:colOff>
          <xdr:row>92</xdr:row>
          <xdr:rowOff>304800</xdr:rowOff>
        </xdr:to>
        <xdr:sp macro="" textlink="">
          <xdr:nvSpPr>
            <xdr:cNvPr id="3363" name="Drop Down 291" hidden="1">
              <a:extLst>
                <a:ext uri="{63B3BB69-23CF-44E3-9099-C40C66FF867C}">
                  <a14:compatExt spid="_x0000_s3363"/>
                </a:ext>
                <a:ext uri="{FF2B5EF4-FFF2-40B4-BE49-F238E27FC236}">
                  <a16:creationId xmlns:a16="http://schemas.microsoft.com/office/drawing/2014/main" id="{00000000-0008-0000-0100-000023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93</xdr:row>
          <xdr:rowOff>12700</xdr:rowOff>
        </xdr:from>
        <xdr:to>
          <xdr:col>2</xdr:col>
          <xdr:colOff>3200400</xdr:colOff>
          <xdr:row>93</xdr:row>
          <xdr:rowOff>304800</xdr:rowOff>
        </xdr:to>
        <xdr:sp macro="" textlink="">
          <xdr:nvSpPr>
            <xdr:cNvPr id="3364" name="Drop Down 292" hidden="1">
              <a:extLst>
                <a:ext uri="{63B3BB69-23CF-44E3-9099-C40C66FF867C}">
                  <a14:compatExt spid="_x0000_s3364"/>
                </a:ext>
                <a:ext uri="{FF2B5EF4-FFF2-40B4-BE49-F238E27FC236}">
                  <a16:creationId xmlns:a16="http://schemas.microsoft.com/office/drawing/2014/main" id="{00000000-0008-0000-0100-000024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94</xdr:row>
          <xdr:rowOff>12700</xdr:rowOff>
        </xdr:from>
        <xdr:to>
          <xdr:col>2</xdr:col>
          <xdr:colOff>3200400</xdr:colOff>
          <xdr:row>94</xdr:row>
          <xdr:rowOff>304800</xdr:rowOff>
        </xdr:to>
        <xdr:sp macro="" textlink="">
          <xdr:nvSpPr>
            <xdr:cNvPr id="3365" name="Drop Down 293" hidden="1">
              <a:extLst>
                <a:ext uri="{63B3BB69-23CF-44E3-9099-C40C66FF867C}">
                  <a14:compatExt spid="_x0000_s3365"/>
                </a:ext>
                <a:ext uri="{FF2B5EF4-FFF2-40B4-BE49-F238E27FC236}">
                  <a16:creationId xmlns:a16="http://schemas.microsoft.com/office/drawing/2014/main" id="{00000000-0008-0000-0100-000025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95</xdr:row>
          <xdr:rowOff>12700</xdr:rowOff>
        </xdr:from>
        <xdr:to>
          <xdr:col>2</xdr:col>
          <xdr:colOff>3200400</xdr:colOff>
          <xdr:row>95</xdr:row>
          <xdr:rowOff>304800</xdr:rowOff>
        </xdr:to>
        <xdr:sp macro="" textlink="">
          <xdr:nvSpPr>
            <xdr:cNvPr id="3366" name="Drop Down 294" hidden="1">
              <a:extLst>
                <a:ext uri="{63B3BB69-23CF-44E3-9099-C40C66FF867C}">
                  <a14:compatExt spid="_x0000_s3366"/>
                </a:ext>
                <a:ext uri="{FF2B5EF4-FFF2-40B4-BE49-F238E27FC236}">
                  <a16:creationId xmlns:a16="http://schemas.microsoft.com/office/drawing/2014/main" id="{00000000-0008-0000-0100-000026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96</xdr:row>
          <xdr:rowOff>12700</xdr:rowOff>
        </xdr:from>
        <xdr:to>
          <xdr:col>2</xdr:col>
          <xdr:colOff>3200400</xdr:colOff>
          <xdr:row>96</xdr:row>
          <xdr:rowOff>304800</xdr:rowOff>
        </xdr:to>
        <xdr:sp macro="" textlink="">
          <xdr:nvSpPr>
            <xdr:cNvPr id="3367" name="Drop Down 295" hidden="1">
              <a:extLst>
                <a:ext uri="{63B3BB69-23CF-44E3-9099-C40C66FF867C}">
                  <a14:compatExt spid="_x0000_s3367"/>
                </a:ext>
                <a:ext uri="{FF2B5EF4-FFF2-40B4-BE49-F238E27FC236}">
                  <a16:creationId xmlns:a16="http://schemas.microsoft.com/office/drawing/2014/main" id="{00000000-0008-0000-0100-000027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97</xdr:row>
          <xdr:rowOff>12700</xdr:rowOff>
        </xdr:from>
        <xdr:to>
          <xdr:col>2</xdr:col>
          <xdr:colOff>3200400</xdr:colOff>
          <xdr:row>97</xdr:row>
          <xdr:rowOff>304800</xdr:rowOff>
        </xdr:to>
        <xdr:sp macro="" textlink="">
          <xdr:nvSpPr>
            <xdr:cNvPr id="3368" name="Drop Down 296" hidden="1">
              <a:extLst>
                <a:ext uri="{63B3BB69-23CF-44E3-9099-C40C66FF867C}">
                  <a14:compatExt spid="_x0000_s3368"/>
                </a:ext>
                <a:ext uri="{FF2B5EF4-FFF2-40B4-BE49-F238E27FC236}">
                  <a16:creationId xmlns:a16="http://schemas.microsoft.com/office/drawing/2014/main" id="{00000000-0008-0000-0100-000028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98</xdr:row>
          <xdr:rowOff>12700</xdr:rowOff>
        </xdr:from>
        <xdr:to>
          <xdr:col>2</xdr:col>
          <xdr:colOff>3200400</xdr:colOff>
          <xdr:row>98</xdr:row>
          <xdr:rowOff>304800</xdr:rowOff>
        </xdr:to>
        <xdr:sp macro="" textlink="">
          <xdr:nvSpPr>
            <xdr:cNvPr id="3369" name="Drop Down 297" hidden="1">
              <a:extLst>
                <a:ext uri="{63B3BB69-23CF-44E3-9099-C40C66FF867C}">
                  <a14:compatExt spid="_x0000_s3369"/>
                </a:ext>
                <a:ext uri="{FF2B5EF4-FFF2-40B4-BE49-F238E27FC236}">
                  <a16:creationId xmlns:a16="http://schemas.microsoft.com/office/drawing/2014/main" id="{00000000-0008-0000-0100-000029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99</xdr:row>
          <xdr:rowOff>12700</xdr:rowOff>
        </xdr:from>
        <xdr:to>
          <xdr:col>2</xdr:col>
          <xdr:colOff>3200400</xdr:colOff>
          <xdr:row>99</xdr:row>
          <xdr:rowOff>304800</xdr:rowOff>
        </xdr:to>
        <xdr:sp macro="" textlink="">
          <xdr:nvSpPr>
            <xdr:cNvPr id="3370" name="Drop Down 298" hidden="1">
              <a:extLst>
                <a:ext uri="{63B3BB69-23CF-44E3-9099-C40C66FF867C}">
                  <a14:compatExt spid="_x0000_s3370"/>
                </a:ext>
                <a:ext uri="{FF2B5EF4-FFF2-40B4-BE49-F238E27FC236}">
                  <a16:creationId xmlns:a16="http://schemas.microsoft.com/office/drawing/2014/main" id="{00000000-0008-0000-0100-00002A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100</xdr:row>
          <xdr:rowOff>12700</xdr:rowOff>
        </xdr:from>
        <xdr:to>
          <xdr:col>2</xdr:col>
          <xdr:colOff>3200400</xdr:colOff>
          <xdr:row>100</xdr:row>
          <xdr:rowOff>304800</xdr:rowOff>
        </xdr:to>
        <xdr:sp macro="" textlink="">
          <xdr:nvSpPr>
            <xdr:cNvPr id="3371" name="Drop Down 299" hidden="1">
              <a:extLst>
                <a:ext uri="{63B3BB69-23CF-44E3-9099-C40C66FF867C}">
                  <a14:compatExt spid="_x0000_s3371"/>
                </a:ext>
                <a:ext uri="{FF2B5EF4-FFF2-40B4-BE49-F238E27FC236}">
                  <a16:creationId xmlns:a16="http://schemas.microsoft.com/office/drawing/2014/main" id="{00000000-0008-0000-0100-00002B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0</xdr:rowOff>
    </xdr:from>
    <xdr:to>
      <xdr:col>5</xdr:col>
      <xdr:colOff>3219450</xdr:colOff>
      <xdr:row>30</xdr:row>
      <xdr:rowOff>15875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3213100</xdr:colOff>
      <xdr:row>19</xdr:row>
      <xdr:rowOff>0</xdr:rowOff>
    </xdr:from>
    <xdr:to>
      <xdr:col>6</xdr:col>
      <xdr:colOff>28575</xdr:colOff>
      <xdr:row>20</xdr:row>
      <xdr:rowOff>92075</xdr:rowOff>
    </xdr:to>
    <xdr:sp macro="" textlink="">
      <xdr:nvSpPr>
        <xdr:cNvPr id="19" name="CaixaDeTexto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 txBox="1"/>
      </xdr:nvSpPr>
      <xdr:spPr>
        <a:xfrm>
          <a:off x="10198100" y="4279900"/>
          <a:ext cx="153987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pt-BR" sz="1050" b="1"/>
            <a:t>Reserva de Emergência</a:t>
          </a:r>
        </a:p>
      </xdr:txBody>
    </xdr:sp>
    <xdr:clientData/>
  </xdr:twoCellAnchor>
  <xdr:twoCellAnchor>
    <xdr:from>
      <xdr:col>5</xdr:col>
      <xdr:colOff>3549650</xdr:colOff>
      <xdr:row>20</xdr:row>
      <xdr:rowOff>130175</xdr:rowOff>
    </xdr:from>
    <xdr:to>
      <xdr:col>5</xdr:col>
      <xdr:colOff>4448175</xdr:colOff>
      <xdr:row>22</xdr:row>
      <xdr:rowOff>31750</xdr:rowOff>
    </xdr:to>
    <xdr:sp macro="" textlink="$E$3">
      <xdr:nvSpPr>
        <xdr:cNvPr id="20" name="CaixaDeTexto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 txBox="1"/>
      </xdr:nvSpPr>
      <xdr:spPr>
        <a:xfrm>
          <a:off x="10534650" y="4600575"/>
          <a:ext cx="898525" cy="282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544B3DB4-96DA-4D80-8586-6EFE750CF23D}" type="TxLink">
            <a:rPr lang="en-US" sz="12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0,00</a:t>
          </a:fld>
          <a:endParaRPr lang="pt-BR" sz="1200" b="1"/>
        </a:p>
      </xdr:txBody>
    </xdr:sp>
    <xdr:clientData/>
  </xdr:twoCellAnchor>
  <xdr:twoCellAnchor>
    <xdr:from>
      <xdr:col>5</xdr:col>
      <xdr:colOff>3549650</xdr:colOff>
      <xdr:row>24</xdr:row>
      <xdr:rowOff>184150</xdr:rowOff>
    </xdr:from>
    <xdr:to>
      <xdr:col>5</xdr:col>
      <xdr:colOff>4448175</xdr:colOff>
      <xdr:row>26</xdr:row>
      <xdr:rowOff>73025</xdr:rowOff>
    </xdr:to>
    <xdr:sp macro="" textlink="$C$3">
      <xdr:nvSpPr>
        <xdr:cNvPr id="21" name="CaixaDeTexto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 txBox="1"/>
      </xdr:nvSpPr>
      <xdr:spPr>
        <a:xfrm>
          <a:off x="10534650" y="5416550"/>
          <a:ext cx="898525" cy="2698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3451812B-8505-4524-B55F-623724B4C0A2}" type="TxLink">
            <a:rPr lang="en-US" sz="1200" b="1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0,00</a:t>
          </a:fld>
          <a:endParaRPr lang="pt-BR" sz="1200" b="1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ctrlProp" Target="../ctrlProps/ctrlProp23.xml"/><Relationship Id="rId21" Type="http://schemas.openxmlformats.org/officeDocument/2006/relationships/ctrlProp" Target="../ctrlProps/ctrlProp18.xml"/><Relationship Id="rId42" Type="http://schemas.openxmlformats.org/officeDocument/2006/relationships/ctrlProp" Target="../ctrlProps/ctrlProp39.xml"/><Relationship Id="rId47" Type="http://schemas.openxmlformats.org/officeDocument/2006/relationships/ctrlProp" Target="../ctrlProps/ctrlProp44.xml"/><Relationship Id="rId63" Type="http://schemas.openxmlformats.org/officeDocument/2006/relationships/ctrlProp" Target="../ctrlProps/ctrlProp60.xml"/><Relationship Id="rId68" Type="http://schemas.openxmlformats.org/officeDocument/2006/relationships/ctrlProp" Target="../ctrlProps/ctrlProp65.xml"/><Relationship Id="rId84" Type="http://schemas.openxmlformats.org/officeDocument/2006/relationships/ctrlProp" Target="../ctrlProps/ctrlProp81.xml"/><Relationship Id="rId89" Type="http://schemas.openxmlformats.org/officeDocument/2006/relationships/ctrlProp" Target="../ctrlProps/ctrlProp86.xml"/><Relationship Id="rId16" Type="http://schemas.openxmlformats.org/officeDocument/2006/relationships/ctrlProp" Target="../ctrlProps/ctrlProp13.xml"/><Relationship Id="rId11" Type="http://schemas.openxmlformats.org/officeDocument/2006/relationships/ctrlProp" Target="../ctrlProps/ctrlProp8.xml"/><Relationship Id="rId32" Type="http://schemas.openxmlformats.org/officeDocument/2006/relationships/ctrlProp" Target="../ctrlProps/ctrlProp29.xml"/><Relationship Id="rId37" Type="http://schemas.openxmlformats.org/officeDocument/2006/relationships/ctrlProp" Target="../ctrlProps/ctrlProp34.xml"/><Relationship Id="rId53" Type="http://schemas.openxmlformats.org/officeDocument/2006/relationships/ctrlProp" Target="../ctrlProps/ctrlProp50.xml"/><Relationship Id="rId58" Type="http://schemas.openxmlformats.org/officeDocument/2006/relationships/ctrlProp" Target="../ctrlProps/ctrlProp55.xml"/><Relationship Id="rId74" Type="http://schemas.openxmlformats.org/officeDocument/2006/relationships/ctrlProp" Target="../ctrlProps/ctrlProp71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5" Type="http://schemas.openxmlformats.org/officeDocument/2006/relationships/ctrlProp" Target="../ctrlProps/ctrlProp2.xml"/><Relationship Id="rId90" Type="http://schemas.openxmlformats.org/officeDocument/2006/relationships/ctrlProp" Target="../ctrlProps/ctrlProp87.xml"/><Relationship Id="rId95" Type="http://schemas.openxmlformats.org/officeDocument/2006/relationships/ctrlProp" Target="../ctrlProps/ctrlProp92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43" Type="http://schemas.openxmlformats.org/officeDocument/2006/relationships/ctrlProp" Target="../ctrlProps/ctrlProp40.xml"/><Relationship Id="rId48" Type="http://schemas.openxmlformats.org/officeDocument/2006/relationships/ctrlProp" Target="../ctrlProps/ctrlProp45.xml"/><Relationship Id="rId64" Type="http://schemas.openxmlformats.org/officeDocument/2006/relationships/ctrlProp" Target="../ctrlProps/ctrlProp61.xml"/><Relationship Id="rId69" Type="http://schemas.openxmlformats.org/officeDocument/2006/relationships/ctrlProp" Target="../ctrlProps/ctrlProp66.xml"/><Relationship Id="rId80" Type="http://schemas.openxmlformats.org/officeDocument/2006/relationships/ctrlProp" Target="../ctrlProps/ctrlProp77.xml"/><Relationship Id="rId85" Type="http://schemas.openxmlformats.org/officeDocument/2006/relationships/ctrlProp" Target="../ctrlProps/ctrlProp82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33" Type="http://schemas.openxmlformats.org/officeDocument/2006/relationships/ctrlProp" Target="../ctrlProps/ctrlProp30.xml"/><Relationship Id="rId38" Type="http://schemas.openxmlformats.org/officeDocument/2006/relationships/ctrlProp" Target="../ctrlProps/ctrlProp35.xml"/><Relationship Id="rId46" Type="http://schemas.openxmlformats.org/officeDocument/2006/relationships/ctrlProp" Target="../ctrlProps/ctrlProp43.xml"/><Relationship Id="rId59" Type="http://schemas.openxmlformats.org/officeDocument/2006/relationships/ctrlProp" Target="../ctrlProps/ctrlProp56.xml"/><Relationship Id="rId67" Type="http://schemas.openxmlformats.org/officeDocument/2006/relationships/ctrlProp" Target="../ctrlProps/ctrlProp64.xml"/><Relationship Id="rId103" Type="http://schemas.openxmlformats.org/officeDocument/2006/relationships/ctrlProp" Target="../ctrlProps/ctrlProp100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54" Type="http://schemas.openxmlformats.org/officeDocument/2006/relationships/ctrlProp" Target="../ctrlProps/ctrlProp51.xml"/><Relationship Id="rId62" Type="http://schemas.openxmlformats.org/officeDocument/2006/relationships/ctrlProp" Target="../ctrlProps/ctrlProp59.xml"/><Relationship Id="rId70" Type="http://schemas.openxmlformats.org/officeDocument/2006/relationships/ctrlProp" Target="../ctrlProps/ctrlProp67.xml"/><Relationship Id="rId75" Type="http://schemas.openxmlformats.org/officeDocument/2006/relationships/ctrlProp" Target="../ctrlProps/ctrlProp72.xml"/><Relationship Id="rId83" Type="http://schemas.openxmlformats.org/officeDocument/2006/relationships/ctrlProp" Target="../ctrlProps/ctrlProp80.xml"/><Relationship Id="rId88" Type="http://schemas.openxmlformats.org/officeDocument/2006/relationships/ctrlProp" Target="../ctrlProps/ctrlProp85.xml"/><Relationship Id="rId91" Type="http://schemas.openxmlformats.org/officeDocument/2006/relationships/ctrlProp" Target="../ctrlProps/ctrlProp88.xml"/><Relationship Id="rId96" Type="http://schemas.openxmlformats.org/officeDocument/2006/relationships/ctrlProp" Target="../ctrlProps/ctrlProp93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36" Type="http://schemas.openxmlformats.org/officeDocument/2006/relationships/ctrlProp" Target="../ctrlProps/ctrlProp33.xml"/><Relationship Id="rId49" Type="http://schemas.openxmlformats.org/officeDocument/2006/relationships/ctrlProp" Target="../ctrlProps/ctrlProp46.xml"/><Relationship Id="rId57" Type="http://schemas.openxmlformats.org/officeDocument/2006/relationships/ctrlProp" Target="../ctrlProps/ctrlProp54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44" Type="http://schemas.openxmlformats.org/officeDocument/2006/relationships/ctrlProp" Target="../ctrlProps/ctrlProp41.xml"/><Relationship Id="rId52" Type="http://schemas.openxmlformats.org/officeDocument/2006/relationships/ctrlProp" Target="../ctrlProps/ctrlProp49.xml"/><Relationship Id="rId60" Type="http://schemas.openxmlformats.org/officeDocument/2006/relationships/ctrlProp" Target="../ctrlProps/ctrlProp57.xml"/><Relationship Id="rId65" Type="http://schemas.openxmlformats.org/officeDocument/2006/relationships/ctrlProp" Target="../ctrlProps/ctrlProp62.xml"/><Relationship Id="rId73" Type="http://schemas.openxmlformats.org/officeDocument/2006/relationships/ctrlProp" Target="../ctrlProps/ctrlProp70.xml"/><Relationship Id="rId78" Type="http://schemas.openxmlformats.org/officeDocument/2006/relationships/ctrlProp" Target="../ctrlProps/ctrlProp75.xml"/><Relationship Id="rId81" Type="http://schemas.openxmlformats.org/officeDocument/2006/relationships/ctrlProp" Target="../ctrlProps/ctrlProp78.xml"/><Relationship Id="rId86" Type="http://schemas.openxmlformats.org/officeDocument/2006/relationships/ctrlProp" Target="../ctrlProps/ctrlProp83.xml"/><Relationship Id="rId94" Type="http://schemas.openxmlformats.org/officeDocument/2006/relationships/ctrlProp" Target="../ctrlProps/ctrlProp91.xml"/><Relationship Id="rId99" Type="http://schemas.openxmlformats.org/officeDocument/2006/relationships/ctrlProp" Target="../ctrlProps/ctrlProp96.xml"/><Relationship Id="rId101" Type="http://schemas.openxmlformats.org/officeDocument/2006/relationships/ctrlProp" Target="../ctrlProps/ctrlProp98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34" Type="http://schemas.openxmlformats.org/officeDocument/2006/relationships/ctrlProp" Target="../ctrlProps/ctrlProp31.xml"/><Relationship Id="rId50" Type="http://schemas.openxmlformats.org/officeDocument/2006/relationships/ctrlProp" Target="../ctrlProps/ctrlProp47.xml"/><Relationship Id="rId55" Type="http://schemas.openxmlformats.org/officeDocument/2006/relationships/ctrlProp" Target="../ctrlProps/ctrlProp52.xml"/><Relationship Id="rId76" Type="http://schemas.openxmlformats.org/officeDocument/2006/relationships/ctrlProp" Target="../ctrlProps/ctrlProp73.xml"/><Relationship Id="rId97" Type="http://schemas.openxmlformats.org/officeDocument/2006/relationships/ctrlProp" Target="../ctrlProps/ctrlProp94.xml"/><Relationship Id="rId7" Type="http://schemas.openxmlformats.org/officeDocument/2006/relationships/ctrlProp" Target="../ctrlProps/ctrlProp4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" Type="http://schemas.openxmlformats.org/officeDocument/2006/relationships/drawing" Target="../drawings/drawing1.xml"/><Relationship Id="rId29" Type="http://schemas.openxmlformats.org/officeDocument/2006/relationships/ctrlProp" Target="../ctrlProps/ctrlProp26.xml"/><Relationship Id="rId24" Type="http://schemas.openxmlformats.org/officeDocument/2006/relationships/ctrlProp" Target="../ctrlProps/ctrlProp21.xml"/><Relationship Id="rId40" Type="http://schemas.openxmlformats.org/officeDocument/2006/relationships/ctrlProp" Target="../ctrlProps/ctrlProp37.xml"/><Relationship Id="rId45" Type="http://schemas.openxmlformats.org/officeDocument/2006/relationships/ctrlProp" Target="../ctrlProps/ctrlProp42.xml"/><Relationship Id="rId66" Type="http://schemas.openxmlformats.org/officeDocument/2006/relationships/ctrlProp" Target="../ctrlProps/ctrlProp63.xml"/><Relationship Id="rId87" Type="http://schemas.openxmlformats.org/officeDocument/2006/relationships/ctrlProp" Target="../ctrlProps/ctrlProp84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" Type="http://schemas.openxmlformats.org/officeDocument/2006/relationships/ctrlProp" Target="../ctrlProps/ctrlProp16.xml"/><Relationship Id="rId14" Type="http://schemas.openxmlformats.org/officeDocument/2006/relationships/ctrlProp" Target="../ctrlProps/ctrlProp11.xml"/><Relationship Id="rId30" Type="http://schemas.openxmlformats.org/officeDocument/2006/relationships/ctrlProp" Target="../ctrlProps/ctrlProp27.xml"/><Relationship Id="rId35" Type="http://schemas.openxmlformats.org/officeDocument/2006/relationships/ctrlProp" Target="../ctrlProps/ctrlProp32.xml"/><Relationship Id="rId56" Type="http://schemas.openxmlformats.org/officeDocument/2006/relationships/ctrlProp" Target="../ctrlProps/ctrlProp53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8" Type="http://schemas.openxmlformats.org/officeDocument/2006/relationships/ctrlProp" Target="../ctrlProps/ctrlProp5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98" Type="http://schemas.openxmlformats.org/officeDocument/2006/relationships/ctrlProp" Target="../ctrlProps/ctrlProp95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9AFC6-A897-462B-9968-E15D78C40459}">
  <sheetPr codeName="Planilha2"/>
  <dimension ref="A1:C19"/>
  <sheetViews>
    <sheetView showGridLines="0" tabSelected="1" zoomScaleNormal="100" workbookViewId="0"/>
  </sheetViews>
  <sheetFormatPr defaultColWidth="8.81640625" defaultRowHeight="14.5" x14ac:dyDescent="0.35"/>
  <cols>
    <col min="1" max="1" width="130.26953125" style="7" customWidth="1"/>
    <col min="2" max="2" width="21.26953125" style="7" customWidth="1"/>
    <col min="3" max="16384" width="8.81640625" style="7"/>
  </cols>
  <sheetData>
    <row r="1" spans="1:3" ht="20.149999999999999" customHeight="1" x14ac:dyDescent="0.35">
      <c r="A1" s="9" t="s">
        <v>128</v>
      </c>
      <c r="B1" s="9"/>
    </row>
    <row r="2" spans="1:3" ht="15" customHeight="1" x14ac:dyDescent="0.35">
      <c r="A2" s="10"/>
      <c r="B2" s="10"/>
    </row>
    <row r="3" spans="1:3" ht="20.149999999999999" customHeight="1" x14ac:dyDescent="0.35">
      <c r="A3" s="10" t="s">
        <v>100</v>
      </c>
      <c r="B3" s="34"/>
      <c r="C3" s="13" t="s">
        <v>0</v>
      </c>
    </row>
    <row r="4" spans="1:3" ht="20.149999999999999" customHeight="1" x14ac:dyDescent="0.35">
      <c r="A4" s="10" t="s">
        <v>88</v>
      </c>
      <c r="B4" s="35"/>
      <c r="C4" s="13" t="s">
        <v>0</v>
      </c>
    </row>
    <row r="5" spans="1:3" ht="15" customHeight="1" x14ac:dyDescent="0.35">
      <c r="A5" s="10"/>
      <c r="B5" s="11"/>
    </row>
    <row r="6" spans="1:3" ht="20.149999999999999" customHeight="1" x14ac:dyDescent="0.35">
      <c r="A6" s="55" t="s">
        <v>91</v>
      </c>
      <c r="B6" s="56"/>
    </row>
    <row r="7" spans="1:3" ht="20.149999999999999" customHeight="1" x14ac:dyDescent="0.35">
      <c r="A7" s="55" t="str">
        <f>IF(COUNT(B3:B4)&lt;=0,"Inicie o preenchimento",IF(COUNT(B3:B4)&lt;2,"Existem perguntas não respondidas",IF(OR(B4&lt;3,B4&gt;12),"O item 2 deve ser preenchido com um valor entre 3 e 12, favor verificar","Tudo certo por aqui, prosseguir para a planilha '2. Sua Carteira de Ativos'")))</f>
        <v>Inicie o preenchimento</v>
      </c>
      <c r="B7" s="56"/>
    </row>
    <row r="8" spans="1:3" ht="20.149999999999999" customHeight="1" x14ac:dyDescent="0.35">
      <c r="A8" s="39"/>
    </row>
    <row r="9" spans="1:3" ht="20.149999999999999" customHeight="1" x14ac:dyDescent="0.35"/>
    <row r="10" spans="1:3" ht="20.149999999999999" customHeight="1" x14ac:dyDescent="0.35">
      <c r="A10" s="40" t="s">
        <v>139</v>
      </c>
      <c r="B10" s="40"/>
    </row>
    <row r="11" spans="1:3" ht="20.149999999999999" customHeight="1" x14ac:dyDescent="0.35">
      <c r="A11" s="41" t="s">
        <v>147</v>
      </c>
      <c r="B11"/>
    </row>
    <row r="12" spans="1:3" ht="20.149999999999999" customHeight="1" x14ac:dyDescent="0.35">
      <c r="A12" s="41" t="s">
        <v>140</v>
      </c>
      <c r="B12"/>
    </row>
    <row r="13" spans="1:3" ht="20.149999999999999" customHeight="1" x14ac:dyDescent="0.35">
      <c r="A13" s="41" t="s">
        <v>141</v>
      </c>
      <c r="B13"/>
    </row>
    <row r="14" spans="1:3" ht="20.149999999999999" customHeight="1" x14ac:dyDescent="0.35">
      <c r="A14" s="41" t="s">
        <v>142</v>
      </c>
      <c r="B14"/>
    </row>
    <row r="15" spans="1:3" ht="20.149999999999999" customHeight="1" x14ac:dyDescent="0.35">
      <c r="A15" s="41" t="s">
        <v>143</v>
      </c>
      <c r="B15"/>
    </row>
    <row r="16" spans="1:3" ht="20.149999999999999" customHeight="1" x14ac:dyDescent="0.35">
      <c r="A16" s="41" t="s">
        <v>144</v>
      </c>
      <c r="B16"/>
    </row>
    <row r="17" spans="1:2" ht="20.149999999999999" customHeight="1" x14ac:dyDescent="0.35">
      <c r="A17" s="41" t="s">
        <v>138</v>
      </c>
      <c r="B17"/>
    </row>
    <row r="18" spans="1:2" ht="15.5" x14ac:dyDescent="0.35">
      <c r="A18" s="41" t="s">
        <v>145</v>
      </c>
      <c r="B18"/>
    </row>
    <row r="19" spans="1:2" ht="15.5" x14ac:dyDescent="0.35">
      <c r="A19" s="41" t="s">
        <v>146</v>
      </c>
      <c r="B19"/>
    </row>
  </sheetData>
  <sheetProtection algorithmName="SHA-512" hashValue="y9TKNCAbKvG2fVPVEwFXD2c6BF7Z9ue2z6OoqiT0FqCni06p8YSawuXnohveJB0H+8kRF0VzlabeJKt2dHobCw==" saltValue="bSDTfyJfUFb3lcG6m33xxQ==" spinCount="100000" sheet="1" objects="1" scenarios="1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48D98-12A1-4E10-8B25-E7CC1A998ED7}">
  <sheetPr codeName="Planilha1"/>
  <dimension ref="A1:G101"/>
  <sheetViews>
    <sheetView showGridLines="0" zoomScaleNormal="100" workbookViewId="0"/>
  </sheetViews>
  <sheetFormatPr defaultColWidth="8.81640625" defaultRowHeight="14.5" x14ac:dyDescent="0.35"/>
  <cols>
    <col min="1" max="1" width="8.1796875" style="7" bestFit="1" customWidth="1"/>
    <col min="2" max="2" width="45.54296875" style="7" customWidth="1"/>
    <col min="3" max="3" width="46.26953125" style="7" customWidth="1"/>
    <col min="4" max="4" width="25.54296875" style="7" customWidth="1"/>
    <col min="5" max="5" width="1.54296875" style="7" customWidth="1"/>
    <col min="6" max="6" width="23.54296875" style="7" customWidth="1"/>
    <col min="7" max="7" width="18.54296875" style="7" customWidth="1"/>
    <col min="8" max="16384" width="8.81640625" style="7"/>
  </cols>
  <sheetData>
    <row r="1" spans="1:7" ht="20.149999999999999" customHeight="1" x14ac:dyDescent="0.35">
      <c r="A1" s="8"/>
      <c r="B1" s="2" t="s">
        <v>33</v>
      </c>
      <c r="C1" s="3" t="s">
        <v>32</v>
      </c>
      <c r="D1" s="3" t="s">
        <v>35</v>
      </c>
      <c r="F1" s="57" t="s">
        <v>93</v>
      </c>
      <c r="G1" s="58" t="s">
        <v>94</v>
      </c>
    </row>
    <row r="2" spans="1:7" ht="25" customHeight="1" x14ac:dyDescent="0.35">
      <c r="A2" s="12" t="s">
        <v>2</v>
      </c>
      <c r="B2" s="4"/>
      <c r="C2" s="5"/>
      <c r="D2" s="6"/>
      <c r="E2" s="13"/>
      <c r="F2" s="59" t="s">
        <v>95</v>
      </c>
      <c r="G2" s="60">
        <f>SUM(Cálculos!I3:I19)</f>
        <v>0</v>
      </c>
    </row>
    <row r="3" spans="1:7" ht="25" customHeight="1" x14ac:dyDescent="0.35">
      <c r="A3" s="12" t="s">
        <v>3</v>
      </c>
      <c r="B3" s="4"/>
      <c r="C3" s="5"/>
      <c r="D3" s="6"/>
      <c r="E3" s="13"/>
      <c r="F3" s="59" t="s">
        <v>129</v>
      </c>
      <c r="G3" s="60">
        <f>G2-G4</f>
        <v>0</v>
      </c>
    </row>
    <row r="4" spans="1:7" ht="25" customHeight="1" x14ac:dyDescent="0.35">
      <c r="A4" s="12" t="s">
        <v>4</v>
      </c>
      <c r="B4" s="4"/>
      <c r="C4" s="5"/>
      <c r="D4" s="6"/>
      <c r="E4" s="13"/>
      <c r="F4" s="59" t="s">
        <v>92</v>
      </c>
      <c r="G4" s="60">
        <f>SUMIFS(Cálculos!$I:$I,Cálculos!$H:$H,"Reserva de Emergência ¹")</f>
        <v>0</v>
      </c>
    </row>
    <row r="5" spans="1:7" ht="25" customHeight="1" x14ac:dyDescent="0.35">
      <c r="A5" s="12" t="s">
        <v>5</v>
      </c>
      <c r="B5" s="4"/>
      <c r="C5" s="5"/>
      <c r="D5" s="6"/>
      <c r="E5" s="13"/>
      <c r="G5" s="14"/>
    </row>
    <row r="6" spans="1:7" ht="25" customHeight="1" x14ac:dyDescent="0.35">
      <c r="A6" s="12" t="s">
        <v>6</v>
      </c>
      <c r="B6" s="4"/>
      <c r="C6" s="5"/>
      <c r="D6" s="6"/>
      <c r="E6" s="13"/>
      <c r="F6" s="38"/>
    </row>
    <row r="7" spans="1:7" ht="25" customHeight="1" x14ac:dyDescent="0.35">
      <c r="A7" s="12" t="s">
        <v>7</v>
      </c>
      <c r="B7" s="4"/>
      <c r="C7" s="5"/>
      <c r="D7" s="6"/>
      <c r="E7" s="13"/>
      <c r="F7" s="38"/>
    </row>
    <row r="8" spans="1:7" ht="25" customHeight="1" x14ac:dyDescent="0.35">
      <c r="A8" s="12" t="s">
        <v>8</v>
      </c>
      <c r="B8" s="4"/>
      <c r="C8" s="5"/>
      <c r="D8" s="6"/>
      <c r="E8" s="13"/>
      <c r="F8" s="38"/>
    </row>
    <row r="9" spans="1:7" ht="25" customHeight="1" x14ac:dyDescent="0.35">
      <c r="A9" s="12" t="s">
        <v>9</v>
      </c>
      <c r="B9" s="4"/>
      <c r="C9" s="5"/>
      <c r="D9" s="6"/>
      <c r="E9" s="13"/>
    </row>
    <row r="10" spans="1:7" ht="25" customHeight="1" x14ac:dyDescent="0.35">
      <c r="A10" s="12" t="s">
        <v>10</v>
      </c>
      <c r="B10" s="4"/>
      <c r="C10" s="5"/>
      <c r="D10" s="6"/>
      <c r="E10" s="13"/>
    </row>
    <row r="11" spans="1:7" ht="25" customHeight="1" x14ac:dyDescent="0.35">
      <c r="A11" s="12" t="s">
        <v>11</v>
      </c>
      <c r="B11" s="4"/>
      <c r="C11" s="5"/>
      <c r="D11" s="6"/>
      <c r="E11" s="13"/>
    </row>
    <row r="12" spans="1:7" ht="25" customHeight="1" x14ac:dyDescent="0.35">
      <c r="A12" s="12" t="s">
        <v>12</v>
      </c>
      <c r="B12" s="4"/>
      <c r="C12" s="5"/>
      <c r="D12" s="6"/>
      <c r="E12" s="13"/>
    </row>
    <row r="13" spans="1:7" ht="25" customHeight="1" x14ac:dyDescent="0.35">
      <c r="A13" s="12" t="s">
        <v>13</v>
      </c>
      <c r="B13" s="4"/>
      <c r="C13" s="5"/>
      <c r="D13" s="6"/>
      <c r="E13" s="13"/>
    </row>
    <row r="14" spans="1:7" ht="25" customHeight="1" x14ac:dyDescent="0.35">
      <c r="A14" s="12" t="s">
        <v>14</v>
      </c>
      <c r="B14" s="4"/>
      <c r="C14" s="5"/>
      <c r="D14" s="6"/>
      <c r="E14" s="13"/>
    </row>
    <row r="15" spans="1:7" ht="25" customHeight="1" x14ac:dyDescent="0.35">
      <c r="A15" s="12" t="s">
        <v>15</v>
      </c>
      <c r="B15" s="4"/>
      <c r="C15" s="5"/>
      <c r="D15" s="6"/>
      <c r="E15" s="13"/>
    </row>
    <row r="16" spans="1:7" ht="25" customHeight="1" x14ac:dyDescent="0.35">
      <c r="A16" s="12" t="s">
        <v>16</v>
      </c>
      <c r="B16" s="4"/>
      <c r="C16" s="5"/>
      <c r="D16" s="6"/>
      <c r="E16" s="13"/>
    </row>
    <row r="17" spans="1:5" ht="25" customHeight="1" x14ac:dyDescent="0.35">
      <c r="A17" s="12" t="s">
        <v>17</v>
      </c>
      <c r="B17" s="4"/>
      <c r="C17" s="5"/>
      <c r="D17" s="6"/>
      <c r="E17" s="13"/>
    </row>
    <row r="18" spans="1:5" ht="25" customHeight="1" x14ac:dyDescent="0.35">
      <c r="A18" s="12" t="s">
        <v>18</v>
      </c>
      <c r="B18" s="4"/>
      <c r="C18" s="5"/>
      <c r="D18" s="6"/>
      <c r="E18" s="13"/>
    </row>
    <row r="19" spans="1:5" ht="25" customHeight="1" x14ac:dyDescent="0.35">
      <c r="A19" s="12" t="s">
        <v>19</v>
      </c>
      <c r="B19" s="4"/>
      <c r="C19" s="5"/>
      <c r="D19" s="6"/>
      <c r="E19" s="13"/>
    </row>
    <row r="20" spans="1:5" ht="25" customHeight="1" x14ac:dyDescent="0.35">
      <c r="A20" s="12" t="s">
        <v>20</v>
      </c>
      <c r="B20" s="4"/>
      <c r="C20" s="5"/>
      <c r="D20" s="6"/>
      <c r="E20" s="13"/>
    </row>
    <row r="21" spans="1:5" ht="25" customHeight="1" x14ac:dyDescent="0.35">
      <c r="A21" s="12" t="s">
        <v>21</v>
      </c>
      <c r="B21" s="4"/>
      <c r="C21" s="5"/>
      <c r="D21" s="6"/>
      <c r="E21" s="13"/>
    </row>
    <row r="22" spans="1:5" ht="25" customHeight="1" x14ac:dyDescent="0.35">
      <c r="A22" s="12" t="s">
        <v>22</v>
      </c>
      <c r="B22" s="4"/>
      <c r="C22" s="5"/>
      <c r="D22" s="6"/>
      <c r="E22" s="13"/>
    </row>
    <row r="23" spans="1:5" ht="25" customHeight="1" x14ac:dyDescent="0.35">
      <c r="A23" s="12" t="s">
        <v>23</v>
      </c>
      <c r="B23" s="4"/>
      <c r="C23" s="5"/>
      <c r="D23" s="6"/>
      <c r="E23" s="13"/>
    </row>
    <row r="24" spans="1:5" ht="25" customHeight="1" x14ac:dyDescent="0.35">
      <c r="A24" s="12" t="s">
        <v>24</v>
      </c>
      <c r="B24" s="4"/>
      <c r="C24" s="5"/>
      <c r="D24" s="6"/>
      <c r="E24" s="13"/>
    </row>
    <row r="25" spans="1:5" ht="25" customHeight="1" x14ac:dyDescent="0.35">
      <c r="A25" s="12" t="s">
        <v>25</v>
      </c>
      <c r="B25" s="4"/>
      <c r="C25" s="5"/>
      <c r="D25" s="6"/>
      <c r="E25" s="13"/>
    </row>
    <row r="26" spans="1:5" ht="25" customHeight="1" x14ac:dyDescent="0.35">
      <c r="A26" s="12" t="s">
        <v>26</v>
      </c>
      <c r="B26" s="4"/>
      <c r="C26" s="5"/>
      <c r="D26" s="6"/>
      <c r="E26" s="13"/>
    </row>
    <row r="27" spans="1:5" ht="25" customHeight="1" x14ac:dyDescent="0.35">
      <c r="A27" s="12" t="s">
        <v>27</v>
      </c>
      <c r="B27" s="4"/>
      <c r="C27" s="5"/>
      <c r="D27" s="6"/>
      <c r="E27" s="13"/>
    </row>
    <row r="28" spans="1:5" ht="25" customHeight="1" x14ac:dyDescent="0.35">
      <c r="A28" s="12" t="s">
        <v>28</v>
      </c>
      <c r="B28" s="4"/>
      <c r="C28" s="5"/>
      <c r="D28" s="6"/>
      <c r="E28" s="13"/>
    </row>
    <row r="29" spans="1:5" ht="25" customHeight="1" x14ac:dyDescent="0.35">
      <c r="A29" s="12" t="s">
        <v>29</v>
      </c>
      <c r="B29" s="4"/>
      <c r="C29" s="5"/>
      <c r="D29" s="6"/>
      <c r="E29" s="13"/>
    </row>
    <row r="30" spans="1:5" ht="25" customHeight="1" x14ac:dyDescent="0.35">
      <c r="A30" s="12" t="s">
        <v>30</v>
      </c>
      <c r="B30" s="4"/>
      <c r="C30" s="5"/>
      <c r="D30" s="6"/>
      <c r="E30" s="13"/>
    </row>
    <row r="31" spans="1:5" ht="25" customHeight="1" x14ac:dyDescent="0.35">
      <c r="A31" s="12" t="s">
        <v>31</v>
      </c>
      <c r="B31" s="4"/>
      <c r="C31" s="5"/>
      <c r="D31" s="6"/>
      <c r="E31" s="13"/>
    </row>
    <row r="32" spans="1:5" ht="25" customHeight="1" x14ac:dyDescent="0.35">
      <c r="A32" s="12" t="s">
        <v>44</v>
      </c>
      <c r="B32" s="4"/>
      <c r="D32" s="6"/>
    </row>
    <row r="33" spans="1:4" ht="25" customHeight="1" x14ac:dyDescent="0.35">
      <c r="A33" s="12" t="s">
        <v>45</v>
      </c>
      <c r="B33" s="4"/>
      <c r="D33" s="6"/>
    </row>
    <row r="34" spans="1:4" ht="25" customHeight="1" x14ac:dyDescent="0.35">
      <c r="A34" s="12" t="s">
        <v>46</v>
      </c>
      <c r="B34" s="4"/>
      <c r="D34" s="6"/>
    </row>
    <row r="35" spans="1:4" ht="25" customHeight="1" x14ac:dyDescent="0.35">
      <c r="A35" s="12" t="s">
        <v>47</v>
      </c>
      <c r="B35" s="4"/>
      <c r="D35" s="6"/>
    </row>
    <row r="36" spans="1:4" ht="25" customHeight="1" x14ac:dyDescent="0.35">
      <c r="A36" s="12" t="s">
        <v>48</v>
      </c>
      <c r="B36" s="4"/>
      <c r="D36" s="6"/>
    </row>
    <row r="37" spans="1:4" ht="25" customHeight="1" x14ac:dyDescent="0.35">
      <c r="A37" s="12" t="s">
        <v>49</v>
      </c>
      <c r="B37" s="4"/>
      <c r="D37" s="6"/>
    </row>
    <row r="38" spans="1:4" ht="25" customHeight="1" x14ac:dyDescent="0.35">
      <c r="A38" s="12" t="s">
        <v>50</v>
      </c>
      <c r="B38" s="4"/>
      <c r="D38" s="6"/>
    </row>
    <row r="39" spans="1:4" ht="25" customHeight="1" x14ac:dyDescent="0.35">
      <c r="A39" s="12" t="s">
        <v>51</v>
      </c>
      <c r="B39" s="4"/>
      <c r="D39" s="6"/>
    </row>
    <row r="40" spans="1:4" ht="25" customHeight="1" x14ac:dyDescent="0.35">
      <c r="A40" s="12" t="s">
        <v>52</v>
      </c>
      <c r="B40" s="4"/>
      <c r="D40" s="6"/>
    </row>
    <row r="41" spans="1:4" ht="25" customHeight="1" x14ac:dyDescent="0.35">
      <c r="A41" s="12" t="s">
        <v>53</v>
      </c>
      <c r="B41" s="4"/>
      <c r="D41" s="6"/>
    </row>
    <row r="42" spans="1:4" ht="25" customHeight="1" x14ac:dyDescent="0.35">
      <c r="A42" s="12" t="s">
        <v>54</v>
      </c>
      <c r="B42" s="4"/>
      <c r="D42" s="6"/>
    </row>
    <row r="43" spans="1:4" ht="25" customHeight="1" x14ac:dyDescent="0.35">
      <c r="A43" s="12" t="s">
        <v>55</v>
      </c>
      <c r="B43" s="4"/>
      <c r="D43" s="6"/>
    </row>
    <row r="44" spans="1:4" ht="25" customHeight="1" x14ac:dyDescent="0.35">
      <c r="A44" s="12" t="s">
        <v>56</v>
      </c>
      <c r="B44" s="4"/>
      <c r="D44" s="6"/>
    </row>
    <row r="45" spans="1:4" ht="25" customHeight="1" x14ac:dyDescent="0.35">
      <c r="A45" s="12" t="s">
        <v>57</v>
      </c>
      <c r="B45" s="4"/>
      <c r="D45" s="6"/>
    </row>
    <row r="46" spans="1:4" ht="25" customHeight="1" x14ac:dyDescent="0.35">
      <c r="A46" s="12" t="s">
        <v>58</v>
      </c>
      <c r="B46" s="4"/>
      <c r="D46" s="6"/>
    </row>
    <row r="47" spans="1:4" ht="25" customHeight="1" x14ac:dyDescent="0.35">
      <c r="A47" s="12" t="s">
        <v>59</v>
      </c>
      <c r="B47" s="4"/>
      <c r="D47" s="6"/>
    </row>
    <row r="48" spans="1:4" ht="25" customHeight="1" x14ac:dyDescent="0.35">
      <c r="A48" s="12" t="s">
        <v>60</v>
      </c>
      <c r="B48" s="4"/>
      <c r="D48" s="6"/>
    </row>
    <row r="49" spans="1:4" ht="25" customHeight="1" x14ac:dyDescent="0.35">
      <c r="A49" s="12" t="s">
        <v>61</v>
      </c>
      <c r="B49" s="4"/>
      <c r="D49" s="6"/>
    </row>
    <row r="50" spans="1:4" ht="25" customHeight="1" x14ac:dyDescent="0.35">
      <c r="A50" s="12" t="s">
        <v>62</v>
      </c>
      <c r="B50" s="4"/>
      <c r="D50" s="6"/>
    </row>
    <row r="51" spans="1:4" ht="25" customHeight="1" x14ac:dyDescent="0.35">
      <c r="A51" s="12" t="s">
        <v>63</v>
      </c>
      <c r="B51" s="4"/>
      <c r="D51" s="6"/>
    </row>
    <row r="52" spans="1:4" ht="25" customHeight="1" x14ac:dyDescent="0.35">
      <c r="A52" s="12" t="s">
        <v>66</v>
      </c>
      <c r="B52" s="4"/>
      <c r="D52" s="6"/>
    </row>
    <row r="53" spans="1:4" ht="25" customHeight="1" x14ac:dyDescent="0.35">
      <c r="A53" s="12" t="s">
        <v>67</v>
      </c>
      <c r="B53" s="4"/>
      <c r="D53" s="6"/>
    </row>
    <row r="54" spans="1:4" ht="25" customHeight="1" x14ac:dyDescent="0.35">
      <c r="A54" s="12" t="s">
        <v>68</v>
      </c>
      <c r="B54" s="4"/>
      <c r="D54" s="6"/>
    </row>
    <row r="55" spans="1:4" ht="25" customHeight="1" x14ac:dyDescent="0.35">
      <c r="A55" s="12" t="s">
        <v>69</v>
      </c>
      <c r="B55" s="4"/>
      <c r="D55" s="6"/>
    </row>
    <row r="56" spans="1:4" ht="25" customHeight="1" x14ac:dyDescent="0.35">
      <c r="A56" s="12" t="s">
        <v>70</v>
      </c>
      <c r="B56" s="4"/>
      <c r="D56" s="6"/>
    </row>
    <row r="57" spans="1:4" ht="25" customHeight="1" x14ac:dyDescent="0.35">
      <c r="A57" s="12" t="s">
        <v>71</v>
      </c>
      <c r="B57" s="4"/>
      <c r="D57" s="6"/>
    </row>
    <row r="58" spans="1:4" ht="25" customHeight="1" x14ac:dyDescent="0.35">
      <c r="A58" s="12" t="s">
        <v>72</v>
      </c>
      <c r="B58" s="4"/>
      <c r="D58" s="6"/>
    </row>
    <row r="59" spans="1:4" ht="25" customHeight="1" x14ac:dyDescent="0.35">
      <c r="A59" s="12" t="s">
        <v>73</v>
      </c>
      <c r="B59" s="4"/>
      <c r="D59" s="6"/>
    </row>
    <row r="60" spans="1:4" ht="25" customHeight="1" x14ac:dyDescent="0.35">
      <c r="A60" s="12" t="s">
        <v>74</v>
      </c>
      <c r="B60" s="4"/>
      <c r="D60" s="6"/>
    </row>
    <row r="61" spans="1:4" ht="25" customHeight="1" x14ac:dyDescent="0.35">
      <c r="A61" s="12" t="s">
        <v>75</v>
      </c>
      <c r="B61" s="4"/>
      <c r="D61" s="6"/>
    </row>
    <row r="62" spans="1:4" ht="25" customHeight="1" x14ac:dyDescent="0.35">
      <c r="A62" s="12" t="s">
        <v>76</v>
      </c>
      <c r="B62" s="4"/>
      <c r="D62" s="6"/>
    </row>
    <row r="63" spans="1:4" ht="25" customHeight="1" x14ac:dyDescent="0.35">
      <c r="A63" s="12" t="s">
        <v>77</v>
      </c>
      <c r="B63" s="4"/>
      <c r="D63" s="6"/>
    </row>
    <row r="64" spans="1:4" ht="25" customHeight="1" x14ac:dyDescent="0.35">
      <c r="A64" s="12" t="s">
        <v>78</v>
      </c>
      <c r="B64" s="4"/>
      <c r="D64" s="6"/>
    </row>
    <row r="65" spans="1:4" ht="25" customHeight="1" x14ac:dyDescent="0.35">
      <c r="A65" s="12" t="s">
        <v>79</v>
      </c>
      <c r="B65" s="4"/>
      <c r="D65" s="6"/>
    </row>
    <row r="66" spans="1:4" ht="25" customHeight="1" x14ac:dyDescent="0.35">
      <c r="A66" s="12" t="s">
        <v>80</v>
      </c>
      <c r="B66" s="4"/>
      <c r="D66" s="6"/>
    </row>
    <row r="67" spans="1:4" ht="25" customHeight="1" x14ac:dyDescent="0.35">
      <c r="A67" s="12" t="s">
        <v>81</v>
      </c>
      <c r="B67" s="4"/>
      <c r="D67" s="6"/>
    </row>
    <row r="68" spans="1:4" ht="25" customHeight="1" x14ac:dyDescent="0.35">
      <c r="A68" s="12" t="s">
        <v>82</v>
      </c>
      <c r="B68" s="4"/>
      <c r="D68" s="6"/>
    </row>
    <row r="69" spans="1:4" ht="25" customHeight="1" x14ac:dyDescent="0.35">
      <c r="A69" s="12" t="s">
        <v>83</v>
      </c>
      <c r="B69" s="4"/>
      <c r="D69" s="6"/>
    </row>
    <row r="70" spans="1:4" ht="25" customHeight="1" x14ac:dyDescent="0.35">
      <c r="A70" s="12" t="s">
        <v>84</v>
      </c>
      <c r="B70" s="4"/>
      <c r="D70" s="6"/>
    </row>
    <row r="71" spans="1:4" ht="25" customHeight="1" x14ac:dyDescent="0.35">
      <c r="A71" s="12" t="s">
        <v>85</v>
      </c>
      <c r="B71" s="4"/>
      <c r="D71" s="6"/>
    </row>
    <row r="72" spans="1:4" ht="25" customHeight="1" x14ac:dyDescent="0.35">
      <c r="A72" s="12" t="s">
        <v>148</v>
      </c>
      <c r="B72" s="4"/>
      <c r="D72" s="6"/>
    </row>
    <row r="73" spans="1:4" ht="25" customHeight="1" x14ac:dyDescent="0.35">
      <c r="A73" s="12" t="s">
        <v>149</v>
      </c>
      <c r="B73" s="4"/>
      <c r="D73" s="6"/>
    </row>
    <row r="74" spans="1:4" ht="25" customHeight="1" x14ac:dyDescent="0.35">
      <c r="A74" s="12" t="s">
        <v>150</v>
      </c>
      <c r="B74" s="4"/>
      <c r="D74" s="6"/>
    </row>
    <row r="75" spans="1:4" ht="25" customHeight="1" x14ac:dyDescent="0.35">
      <c r="A75" s="12" t="s">
        <v>151</v>
      </c>
      <c r="B75" s="4"/>
      <c r="D75" s="6"/>
    </row>
    <row r="76" spans="1:4" ht="25" customHeight="1" x14ac:dyDescent="0.35">
      <c r="A76" s="12" t="s">
        <v>152</v>
      </c>
      <c r="B76" s="4"/>
      <c r="D76" s="6"/>
    </row>
    <row r="77" spans="1:4" ht="25" customHeight="1" x14ac:dyDescent="0.35">
      <c r="A77" s="12" t="s">
        <v>153</v>
      </c>
      <c r="B77" s="4"/>
      <c r="D77" s="6"/>
    </row>
    <row r="78" spans="1:4" ht="25" customHeight="1" x14ac:dyDescent="0.35">
      <c r="A78" s="12" t="s">
        <v>154</v>
      </c>
      <c r="B78" s="4"/>
      <c r="D78" s="6"/>
    </row>
    <row r="79" spans="1:4" ht="25" customHeight="1" x14ac:dyDescent="0.35">
      <c r="A79" s="12" t="s">
        <v>155</v>
      </c>
      <c r="B79" s="4"/>
      <c r="D79" s="6"/>
    </row>
    <row r="80" spans="1:4" ht="25" customHeight="1" x14ac:dyDescent="0.35">
      <c r="A80" s="12" t="s">
        <v>156</v>
      </c>
      <c r="B80" s="4"/>
      <c r="D80" s="6"/>
    </row>
    <row r="81" spans="1:4" ht="25" customHeight="1" x14ac:dyDescent="0.35">
      <c r="A81" s="12" t="s">
        <v>157</v>
      </c>
      <c r="B81" s="4"/>
      <c r="D81" s="6"/>
    </row>
    <row r="82" spans="1:4" ht="25" customHeight="1" x14ac:dyDescent="0.35">
      <c r="A82" s="12" t="s">
        <v>158</v>
      </c>
      <c r="B82" s="4"/>
      <c r="D82" s="6"/>
    </row>
    <row r="83" spans="1:4" ht="25" customHeight="1" x14ac:dyDescent="0.35">
      <c r="A83" s="12" t="s">
        <v>159</v>
      </c>
      <c r="B83" s="4"/>
      <c r="D83" s="6"/>
    </row>
    <row r="84" spans="1:4" ht="25" customHeight="1" x14ac:dyDescent="0.35">
      <c r="A84" s="12" t="s">
        <v>160</v>
      </c>
      <c r="B84" s="4"/>
      <c r="D84" s="6"/>
    </row>
    <row r="85" spans="1:4" ht="25" customHeight="1" x14ac:dyDescent="0.35">
      <c r="A85" s="12" t="s">
        <v>161</v>
      </c>
      <c r="B85" s="4"/>
      <c r="D85" s="6"/>
    </row>
    <row r="86" spans="1:4" ht="25" customHeight="1" x14ac:dyDescent="0.35">
      <c r="A86" s="12" t="s">
        <v>162</v>
      </c>
      <c r="B86" s="4"/>
      <c r="D86" s="6"/>
    </row>
    <row r="87" spans="1:4" ht="25" customHeight="1" x14ac:dyDescent="0.35">
      <c r="A87" s="12" t="s">
        <v>163</v>
      </c>
      <c r="B87" s="4"/>
      <c r="D87" s="6"/>
    </row>
    <row r="88" spans="1:4" ht="25" customHeight="1" x14ac:dyDescent="0.35">
      <c r="A88" s="12" t="s">
        <v>164</v>
      </c>
      <c r="B88" s="4"/>
      <c r="D88" s="6"/>
    </row>
    <row r="89" spans="1:4" ht="25" customHeight="1" x14ac:dyDescent="0.35">
      <c r="A89" s="12" t="s">
        <v>165</v>
      </c>
      <c r="B89" s="4"/>
      <c r="D89" s="6"/>
    </row>
    <row r="90" spans="1:4" ht="25" customHeight="1" x14ac:dyDescent="0.35">
      <c r="A90" s="12" t="s">
        <v>166</v>
      </c>
      <c r="B90" s="4"/>
      <c r="D90" s="6"/>
    </row>
    <row r="91" spans="1:4" ht="25" customHeight="1" x14ac:dyDescent="0.35">
      <c r="A91" s="12" t="s">
        <v>167</v>
      </c>
      <c r="B91" s="4"/>
      <c r="D91" s="6"/>
    </row>
    <row r="92" spans="1:4" ht="25" customHeight="1" x14ac:dyDescent="0.35">
      <c r="A92" s="12" t="s">
        <v>168</v>
      </c>
      <c r="B92" s="4"/>
      <c r="D92" s="6"/>
    </row>
    <row r="93" spans="1:4" ht="25" customHeight="1" x14ac:dyDescent="0.35">
      <c r="A93" s="12" t="s">
        <v>169</v>
      </c>
      <c r="B93" s="4"/>
      <c r="D93" s="6"/>
    </row>
    <row r="94" spans="1:4" ht="25" customHeight="1" x14ac:dyDescent="0.35">
      <c r="A94" s="12" t="s">
        <v>170</v>
      </c>
      <c r="B94" s="4"/>
      <c r="D94" s="6"/>
    </row>
    <row r="95" spans="1:4" ht="25" customHeight="1" x14ac:dyDescent="0.35">
      <c r="A95" s="12" t="s">
        <v>171</v>
      </c>
      <c r="B95" s="4"/>
      <c r="D95" s="6"/>
    </row>
    <row r="96" spans="1:4" ht="25" customHeight="1" x14ac:dyDescent="0.35">
      <c r="A96" s="12" t="s">
        <v>172</v>
      </c>
      <c r="B96" s="4"/>
      <c r="D96" s="6"/>
    </row>
    <row r="97" spans="1:4" ht="25" customHeight="1" x14ac:dyDescent="0.35">
      <c r="A97" s="12" t="s">
        <v>173</v>
      </c>
      <c r="B97" s="4"/>
      <c r="D97" s="6"/>
    </row>
    <row r="98" spans="1:4" ht="25" customHeight="1" x14ac:dyDescent="0.35">
      <c r="A98" s="12" t="s">
        <v>174</v>
      </c>
      <c r="B98" s="4"/>
      <c r="D98" s="6"/>
    </row>
    <row r="99" spans="1:4" ht="25" customHeight="1" x14ac:dyDescent="0.35">
      <c r="A99" s="12" t="s">
        <v>175</v>
      </c>
      <c r="B99" s="4"/>
      <c r="D99" s="6"/>
    </row>
    <row r="100" spans="1:4" ht="25" customHeight="1" x14ac:dyDescent="0.35">
      <c r="A100" s="12" t="s">
        <v>176</v>
      </c>
      <c r="B100" s="4"/>
      <c r="D100" s="6"/>
    </row>
    <row r="101" spans="1:4" ht="25" customHeight="1" x14ac:dyDescent="0.35">
      <c r="A101" s="12" t="s">
        <v>177</v>
      </c>
      <c r="B101" s="4"/>
      <c r="D101" s="6"/>
    </row>
  </sheetData>
  <sheetProtection algorithmName="SHA-512" hashValue="ie//7gKdcysny7p+DBg3phNi913tkik9V8Gwgxkto9lrYAXY7FWLhlI+kAfu/AXsNW5rAHY8XN2e8BBc/WJ51Q==" saltValue="lNTjGUN+MuK53T+HNTbvyg==" spinCount="100000" sheet="1" objects="1" scenarios="1"/>
  <phoneticPr fontId="5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19" r:id="rId4" name="Drop Down 147">
              <controlPr defaultSize="0" autoLine="0" autoPict="0">
                <anchor moveWithCells="1">
                  <from>
                    <xdr:col>2</xdr:col>
                    <xdr:colOff>12700</xdr:colOff>
                    <xdr:row>1</xdr:row>
                    <xdr:rowOff>12700</xdr:rowOff>
                  </from>
                  <to>
                    <xdr:col>2</xdr:col>
                    <xdr:colOff>3200400</xdr:colOff>
                    <xdr:row>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0" r:id="rId5" name="Drop Down 198">
              <controlPr defaultSize="0" autoLine="0" autoPict="0">
                <anchor moveWithCells="1">
                  <from>
                    <xdr:col>2</xdr:col>
                    <xdr:colOff>12700</xdr:colOff>
                    <xdr:row>2</xdr:row>
                    <xdr:rowOff>12700</xdr:rowOff>
                  </from>
                  <to>
                    <xdr:col>2</xdr:col>
                    <xdr:colOff>3200400</xdr:colOff>
                    <xdr:row>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1" r:id="rId6" name="Drop Down 199">
              <controlPr defaultSize="0" autoLine="0" autoPict="0">
                <anchor moveWithCells="1">
                  <from>
                    <xdr:col>2</xdr:col>
                    <xdr:colOff>12700</xdr:colOff>
                    <xdr:row>3</xdr:row>
                    <xdr:rowOff>12700</xdr:rowOff>
                  </from>
                  <to>
                    <xdr:col>2</xdr:col>
                    <xdr:colOff>3200400</xdr:colOff>
                    <xdr:row>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2" r:id="rId7" name="Drop Down 200">
              <controlPr defaultSize="0" autoLine="0" autoPict="0">
                <anchor moveWithCells="1">
                  <from>
                    <xdr:col>2</xdr:col>
                    <xdr:colOff>12700</xdr:colOff>
                    <xdr:row>4</xdr:row>
                    <xdr:rowOff>12700</xdr:rowOff>
                  </from>
                  <to>
                    <xdr:col>2</xdr:col>
                    <xdr:colOff>3200400</xdr:colOff>
                    <xdr:row>4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3" r:id="rId8" name="Drop Down 201">
              <controlPr defaultSize="0" autoLine="0" autoPict="0">
                <anchor moveWithCells="1">
                  <from>
                    <xdr:col>2</xdr:col>
                    <xdr:colOff>12700</xdr:colOff>
                    <xdr:row>5</xdr:row>
                    <xdr:rowOff>12700</xdr:rowOff>
                  </from>
                  <to>
                    <xdr:col>2</xdr:col>
                    <xdr:colOff>3200400</xdr:colOff>
                    <xdr:row>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4" r:id="rId9" name="Drop Down 202">
              <controlPr defaultSize="0" autoLine="0" autoPict="0">
                <anchor moveWithCells="1">
                  <from>
                    <xdr:col>2</xdr:col>
                    <xdr:colOff>12700</xdr:colOff>
                    <xdr:row>6</xdr:row>
                    <xdr:rowOff>12700</xdr:rowOff>
                  </from>
                  <to>
                    <xdr:col>2</xdr:col>
                    <xdr:colOff>3200400</xdr:colOff>
                    <xdr:row>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5" r:id="rId10" name="Drop Down 203">
              <controlPr defaultSize="0" autoLine="0" autoPict="0">
                <anchor moveWithCells="1">
                  <from>
                    <xdr:col>2</xdr:col>
                    <xdr:colOff>12700</xdr:colOff>
                    <xdr:row>7</xdr:row>
                    <xdr:rowOff>12700</xdr:rowOff>
                  </from>
                  <to>
                    <xdr:col>2</xdr:col>
                    <xdr:colOff>3200400</xdr:colOff>
                    <xdr:row>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6" r:id="rId11" name="Drop Down 204">
              <controlPr defaultSize="0" autoLine="0" autoPict="0">
                <anchor moveWithCells="1">
                  <from>
                    <xdr:col>2</xdr:col>
                    <xdr:colOff>12700</xdr:colOff>
                    <xdr:row>8</xdr:row>
                    <xdr:rowOff>12700</xdr:rowOff>
                  </from>
                  <to>
                    <xdr:col>2</xdr:col>
                    <xdr:colOff>3200400</xdr:colOff>
                    <xdr:row>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7" r:id="rId12" name="Drop Down 205">
              <controlPr defaultSize="0" autoLine="0" autoPict="0">
                <anchor moveWithCells="1">
                  <from>
                    <xdr:col>2</xdr:col>
                    <xdr:colOff>12700</xdr:colOff>
                    <xdr:row>9</xdr:row>
                    <xdr:rowOff>12700</xdr:rowOff>
                  </from>
                  <to>
                    <xdr:col>2</xdr:col>
                    <xdr:colOff>3200400</xdr:colOff>
                    <xdr:row>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8" r:id="rId13" name="Drop Down 206">
              <controlPr defaultSize="0" autoLine="0" autoPict="0">
                <anchor moveWithCells="1">
                  <from>
                    <xdr:col>2</xdr:col>
                    <xdr:colOff>12700</xdr:colOff>
                    <xdr:row>10</xdr:row>
                    <xdr:rowOff>12700</xdr:rowOff>
                  </from>
                  <to>
                    <xdr:col>2</xdr:col>
                    <xdr:colOff>3200400</xdr:colOff>
                    <xdr:row>10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9" r:id="rId14" name="Drop Down 207">
              <controlPr defaultSize="0" autoLine="0" autoPict="0">
                <anchor moveWithCells="1">
                  <from>
                    <xdr:col>2</xdr:col>
                    <xdr:colOff>12700</xdr:colOff>
                    <xdr:row>11</xdr:row>
                    <xdr:rowOff>12700</xdr:rowOff>
                  </from>
                  <to>
                    <xdr:col>2</xdr:col>
                    <xdr:colOff>3200400</xdr:colOff>
                    <xdr:row>11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0" r:id="rId15" name="Drop Down 208">
              <controlPr defaultSize="0" autoLine="0" autoPict="0">
                <anchor moveWithCells="1">
                  <from>
                    <xdr:col>2</xdr:col>
                    <xdr:colOff>12700</xdr:colOff>
                    <xdr:row>12</xdr:row>
                    <xdr:rowOff>12700</xdr:rowOff>
                  </from>
                  <to>
                    <xdr:col>2</xdr:col>
                    <xdr:colOff>3200400</xdr:colOff>
                    <xdr:row>12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1" r:id="rId16" name="Drop Down 209">
              <controlPr defaultSize="0" autoLine="0" autoPict="0">
                <anchor moveWithCells="1">
                  <from>
                    <xdr:col>2</xdr:col>
                    <xdr:colOff>12700</xdr:colOff>
                    <xdr:row>13</xdr:row>
                    <xdr:rowOff>12700</xdr:rowOff>
                  </from>
                  <to>
                    <xdr:col>2</xdr:col>
                    <xdr:colOff>3200400</xdr:colOff>
                    <xdr:row>13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2" r:id="rId17" name="Drop Down 210">
              <controlPr defaultSize="0" autoLine="0" autoPict="0">
                <anchor moveWithCells="1">
                  <from>
                    <xdr:col>2</xdr:col>
                    <xdr:colOff>12700</xdr:colOff>
                    <xdr:row>14</xdr:row>
                    <xdr:rowOff>12700</xdr:rowOff>
                  </from>
                  <to>
                    <xdr:col>2</xdr:col>
                    <xdr:colOff>3200400</xdr:colOff>
                    <xdr:row>14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3" r:id="rId18" name="Drop Down 211">
              <controlPr defaultSize="0" autoLine="0" autoPict="0">
                <anchor moveWithCells="1">
                  <from>
                    <xdr:col>2</xdr:col>
                    <xdr:colOff>12700</xdr:colOff>
                    <xdr:row>15</xdr:row>
                    <xdr:rowOff>12700</xdr:rowOff>
                  </from>
                  <to>
                    <xdr:col>2</xdr:col>
                    <xdr:colOff>3200400</xdr:colOff>
                    <xdr:row>15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4" r:id="rId19" name="Drop Down 212">
              <controlPr defaultSize="0" autoLine="0" autoPict="0">
                <anchor moveWithCells="1">
                  <from>
                    <xdr:col>2</xdr:col>
                    <xdr:colOff>12700</xdr:colOff>
                    <xdr:row>16</xdr:row>
                    <xdr:rowOff>12700</xdr:rowOff>
                  </from>
                  <to>
                    <xdr:col>2</xdr:col>
                    <xdr:colOff>3200400</xdr:colOff>
                    <xdr:row>16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5" r:id="rId20" name="Drop Down 213">
              <controlPr defaultSize="0" autoLine="0" autoPict="0">
                <anchor moveWithCells="1">
                  <from>
                    <xdr:col>2</xdr:col>
                    <xdr:colOff>12700</xdr:colOff>
                    <xdr:row>17</xdr:row>
                    <xdr:rowOff>12700</xdr:rowOff>
                  </from>
                  <to>
                    <xdr:col>2</xdr:col>
                    <xdr:colOff>3200400</xdr:colOff>
                    <xdr:row>17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6" r:id="rId21" name="Drop Down 214">
              <controlPr defaultSize="0" autoLine="0" autoPict="0">
                <anchor moveWithCells="1">
                  <from>
                    <xdr:col>2</xdr:col>
                    <xdr:colOff>12700</xdr:colOff>
                    <xdr:row>18</xdr:row>
                    <xdr:rowOff>12700</xdr:rowOff>
                  </from>
                  <to>
                    <xdr:col>2</xdr:col>
                    <xdr:colOff>3200400</xdr:colOff>
                    <xdr:row>18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7" r:id="rId22" name="Drop Down 215">
              <controlPr defaultSize="0" autoLine="0" autoPict="0">
                <anchor moveWithCells="1">
                  <from>
                    <xdr:col>2</xdr:col>
                    <xdr:colOff>12700</xdr:colOff>
                    <xdr:row>19</xdr:row>
                    <xdr:rowOff>12700</xdr:rowOff>
                  </from>
                  <to>
                    <xdr:col>2</xdr:col>
                    <xdr:colOff>3200400</xdr:colOff>
                    <xdr:row>19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8" r:id="rId23" name="Drop Down 216">
              <controlPr defaultSize="0" autoLine="0" autoPict="0">
                <anchor moveWithCells="1">
                  <from>
                    <xdr:col>2</xdr:col>
                    <xdr:colOff>12700</xdr:colOff>
                    <xdr:row>20</xdr:row>
                    <xdr:rowOff>12700</xdr:rowOff>
                  </from>
                  <to>
                    <xdr:col>2</xdr:col>
                    <xdr:colOff>3200400</xdr:colOff>
                    <xdr:row>20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9" r:id="rId24" name="Drop Down 217">
              <controlPr defaultSize="0" autoLine="0" autoPict="0">
                <anchor moveWithCells="1">
                  <from>
                    <xdr:col>2</xdr:col>
                    <xdr:colOff>12700</xdr:colOff>
                    <xdr:row>21</xdr:row>
                    <xdr:rowOff>12700</xdr:rowOff>
                  </from>
                  <to>
                    <xdr:col>2</xdr:col>
                    <xdr:colOff>3200400</xdr:colOff>
                    <xdr:row>21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0" r:id="rId25" name="Drop Down 218">
              <controlPr defaultSize="0" autoLine="0" autoPict="0">
                <anchor moveWithCells="1">
                  <from>
                    <xdr:col>2</xdr:col>
                    <xdr:colOff>12700</xdr:colOff>
                    <xdr:row>22</xdr:row>
                    <xdr:rowOff>12700</xdr:rowOff>
                  </from>
                  <to>
                    <xdr:col>2</xdr:col>
                    <xdr:colOff>3200400</xdr:colOff>
                    <xdr:row>22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1" r:id="rId26" name="Drop Down 219">
              <controlPr defaultSize="0" autoLine="0" autoPict="0">
                <anchor moveWithCells="1">
                  <from>
                    <xdr:col>2</xdr:col>
                    <xdr:colOff>12700</xdr:colOff>
                    <xdr:row>23</xdr:row>
                    <xdr:rowOff>12700</xdr:rowOff>
                  </from>
                  <to>
                    <xdr:col>2</xdr:col>
                    <xdr:colOff>3200400</xdr:colOff>
                    <xdr:row>23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2" r:id="rId27" name="Drop Down 220">
              <controlPr defaultSize="0" autoLine="0" autoPict="0">
                <anchor moveWithCells="1">
                  <from>
                    <xdr:col>2</xdr:col>
                    <xdr:colOff>12700</xdr:colOff>
                    <xdr:row>24</xdr:row>
                    <xdr:rowOff>12700</xdr:rowOff>
                  </from>
                  <to>
                    <xdr:col>2</xdr:col>
                    <xdr:colOff>3200400</xdr:colOff>
                    <xdr:row>24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3" r:id="rId28" name="Drop Down 221">
              <controlPr defaultSize="0" autoLine="0" autoPict="0">
                <anchor moveWithCells="1">
                  <from>
                    <xdr:col>2</xdr:col>
                    <xdr:colOff>12700</xdr:colOff>
                    <xdr:row>25</xdr:row>
                    <xdr:rowOff>12700</xdr:rowOff>
                  </from>
                  <to>
                    <xdr:col>2</xdr:col>
                    <xdr:colOff>3200400</xdr:colOff>
                    <xdr:row>25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4" r:id="rId29" name="Drop Down 222">
              <controlPr defaultSize="0" autoLine="0" autoPict="0">
                <anchor moveWithCells="1">
                  <from>
                    <xdr:col>2</xdr:col>
                    <xdr:colOff>12700</xdr:colOff>
                    <xdr:row>26</xdr:row>
                    <xdr:rowOff>12700</xdr:rowOff>
                  </from>
                  <to>
                    <xdr:col>2</xdr:col>
                    <xdr:colOff>3200400</xdr:colOff>
                    <xdr:row>26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5" r:id="rId30" name="Drop Down 223">
              <controlPr defaultSize="0" autoLine="0" autoPict="0">
                <anchor moveWithCells="1">
                  <from>
                    <xdr:col>2</xdr:col>
                    <xdr:colOff>12700</xdr:colOff>
                    <xdr:row>27</xdr:row>
                    <xdr:rowOff>12700</xdr:rowOff>
                  </from>
                  <to>
                    <xdr:col>2</xdr:col>
                    <xdr:colOff>3200400</xdr:colOff>
                    <xdr:row>27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6" r:id="rId31" name="Drop Down 224">
              <controlPr defaultSize="0" autoLine="0" autoPict="0">
                <anchor moveWithCells="1">
                  <from>
                    <xdr:col>2</xdr:col>
                    <xdr:colOff>12700</xdr:colOff>
                    <xdr:row>28</xdr:row>
                    <xdr:rowOff>12700</xdr:rowOff>
                  </from>
                  <to>
                    <xdr:col>2</xdr:col>
                    <xdr:colOff>3200400</xdr:colOff>
                    <xdr:row>28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7" r:id="rId32" name="Drop Down 225">
              <controlPr defaultSize="0" autoLine="0" autoPict="0">
                <anchor moveWithCells="1">
                  <from>
                    <xdr:col>2</xdr:col>
                    <xdr:colOff>12700</xdr:colOff>
                    <xdr:row>29</xdr:row>
                    <xdr:rowOff>12700</xdr:rowOff>
                  </from>
                  <to>
                    <xdr:col>2</xdr:col>
                    <xdr:colOff>3200400</xdr:colOff>
                    <xdr:row>29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8" r:id="rId33" name="Drop Down 226">
              <controlPr defaultSize="0" autoLine="0" autoPict="0">
                <anchor moveWithCells="1">
                  <from>
                    <xdr:col>2</xdr:col>
                    <xdr:colOff>12700</xdr:colOff>
                    <xdr:row>30</xdr:row>
                    <xdr:rowOff>12700</xdr:rowOff>
                  </from>
                  <to>
                    <xdr:col>2</xdr:col>
                    <xdr:colOff>3200400</xdr:colOff>
                    <xdr:row>30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9" r:id="rId34" name="Drop Down 227">
              <controlPr defaultSize="0" autoLine="0" autoPict="0">
                <anchor moveWithCells="1">
                  <from>
                    <xdr:col>2</xdr:col>
                    <xdr:colOff>12700</xdr:colOff>
                    <xdr:row>31</xdr:row>
                    <xdr:rowOff>12700</xdr:rowOff>
                  </from>
                  <to>
                    <xdr:col>2</xdr:col>
                    <xdr:colOff>3200400</xdr:colOff>
                    <xdr:row>31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0" r:id="rId35" name="Drop Down 228">
              <controlPr defaultSize="0" autoLine="0" autoPict="0">
                <anchor moveWithCells="1">
                  <from>
                    <xdr:col>2</xdr:col>
                    <xdr:colOff>12700</xdr:colOff>
                    <xdr:row>32</xdr:row>
                    <xdr:rowOff>12700</xdr:rowOff>
                  </from>
                  <to>
                    <xdr:col>2</xdr:col>
                    <xdr:colOff>3200400</xdr:colOff>
                    <xdr:row>32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1" r:id="rId36" name="Drop Down 229">
              <controlPr defaultSize="0" autoLine="0" autoPict="0">
                <anchor moveWithCells="1">
                  <from>
                    <xdr:col>2</xdr:col>
                    <xdr:colOff>12700</xdr:colOff>
                    <xdr:row>33</xdr:row>
                    <xdr:rowOff>12700</xdr:rowOff>
                  </from>
                  <to>
                    <xdr:col>2</xdr:col>
                    <xdr:colOff>3200400</xdr:colOff>
                    <xdr:row>33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2" r:id="rId37" name="Drop Down 230">
              <controlPr defaultSize="0" autoLine="0" autoPict="0">
                <anchor moveWithCells="1">
                  <from>
                    <xdr:col>2</xdr:col>
                    <xdr:colOff>12700</xdr:colOff>
                    <xdr:row>34</xdr:row>
                    <xdr:rowOff>12700</xdr:rowOff>
                  </from>
                  <to>
                    <xdr:col>2</xdr:col>
                    <xdr:colOff>3200400</xdr:colOff>
                    <xdr:row>34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3" r:id="rId38" name="Drop Down 231">
              <controlPr defaultSize="0" autoLine="0" autoPict="0">
                <anchor moveWithCells="1">
                  <from>
                    <xdr:col>2</xdr:col>
                    <xdr:colOff>12700</xdr:colOff>
                    <xdr:row>35</xdr:row>
                    <xdr:rowOff>12700</xdr:rowOff>
                  </from>
                  <to>
                    <xdr:col>2</xdr:col>
                    <xdr:colOff>3200400</xdr:colOff>
                    <xdr:row>35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4" r:id="rId39" name="Drop Down 232">
              <controlPr defaultSize="0" autoLine="0" autoPict="0">
                <anchor moveWithCells="1">
                  <from>
                    <xdr:col>2</xdr:col>
                    <xdr:colOff>12700</xdr:colOff>
                    <xdr:row>36</xdr:row>
                    <xdr:rowOff>12700</xdr:rowOff>
                  </from>
                  <to>
                    <xdr:col>2</xdr:col>
                    <xdr:colOff>3200400</xdr:colOff>
                    <xdr:row>36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5" r:id="rId40" name="Drop Down 233">
              <controlPr defaultSize="0" autoLine="0" autoPict="0">
                <anchor moveWithCells="1">
                  <from>
                    <xdr:col>2</xdr:col>
                    <xdr:colOff>12700</xdr:colOff>
                    <xdr:row>37</xdr:row>
                    <xdr:rowOff>12700</xdr:rowOff>
                  </from>
                  <to>
                    <xdr:col>2</xdr:col>
                    <xdr:colOff>3200400</xdr:colOff>
                    <xdr:row>37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6" r:id="rId41" name="Drop Down 234">
              <controlPr defaultSize="0" autoLine="0" autoPict="0">
                <anchor moveWithCells="1">
                  <from>
                    <xdr:col>2</xdr:col>
                    <xdr:colOff>12700</xdr:colOff>
                    <xdr:row>38</xdr:row>
                    <xdr:rowOff>12700</xdr:rowOff>
                  </from>
                  <to>
                    <xdr:col>2</xdr:col>
                    <xdr:colOff>3200400</xdr:colOff>
                    <xdr:row>38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7" r:id="rId42" name="Drop Down 235">
              <controlPr defaultSize="0" autoLine="0" autoPict="0">
                <anchor moveWithCells="1">
                  <from>
                    <xdr:col>2</xdr:col>
                    <xdr:colOff>12700</xdr:colOff>
                    <xdr:row>39</xdr:row>
                    <xdr:rowOff>12700</xdr:rowOff>
                  </from>
                  <to>
                    <xdr:col>2</xdr:col>
                    <xdr:colOff>3200400</xdr:colOff>
                    <xdr:row>39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8" r:id="rId43" name="Drop Down 236">
              <controlPr defaultSize="0" autoLine="0" autoPict="0">
                <anchor moveWithCells="1">
                  <from>
                    <xdr:col>2</xdr:col>
                    <xdr:colOff>12700</xdr:colOff>
                    <xdr:row>40</xdr:row>
                    <xdr:rowOff>12700</xdr:rowOff>
                  </from>
                  <to>
                    <xdr:col>2</xdr:col>
                    <xdr:colOff>3200400</xdr:colOff>
                    <xdr:row>40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9" r:id="rId44" name="Drop Down 237">
              <controlPr defaultSize="0" autoLine="0" autoPict="0">
                <anchor moveWithCells="1">
                  <from>
                    <xdr:col>2</xdr:col>
                    <xdr:colOff>12700</xdr:colOff>
                    <xdr:row>41</xdr:row>
                    <xdr:rowOff>12700</xdr:rowOff>
                  </from>
                  <to>
                    <xdr:col>2</xdr:col>
                    <xdr:colOff>3200400</xdr:colOff>
                    <xdr:row>41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0" r:id="rId45" name="Drop Down 238">
              <controlPr defaultSize="0" autoLine="0" autoPict="0">
                <anchor moveWithCells="1">
                  <from>
                    <xdr:col>2</xdr:col>
                    <xdr:colOff>12700</xdr:colOff>
                    <xdr:row>42</xdr:row>
                    <xdr:rowOff>12700</xdr:rowOff>
                  </from>
                  <to>
                    <xdr:col>2</xdr:col>
                    <xdr:colOff>3200400</xdr:colOff>
                    <xdr:row>42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1" r:id="rId46" name="Drop Down 239">
              <controlPr defaultSize="0" autoLine="0" autoPict="0">
                <anchor moveWithCells="1">
                  <from>
                    <xdr:col>2</xdr:col>
                    <xdr:colOff>12700</xdr:colOff>
                    <xdr:row>43</xdr:row>
                    <xdr:rowOff>12700</xdr:rowOff>
                  </from>
                  <to>
                    <xdr:col>2</xdr:col>
                    <xdr:colOff>3200400</xdr:colOff>
                    <xdr:row>43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2" r:id="rId47" name="Drop Down 240">
              <controlPr defaultSize="0" autoLine="0" autoPict="0">
                <anchor moveWithCells="1">
                  <from>
                    <xdr:col>2</xdr:col>
                    <xdr:colOff>12700</xdr:colOff>
                    <xdr:row>44</xdr:row>
                    <xdr:rowOff>12700</xdr:rowOff>
                  </from>
                  <to>
                    <xdr:col>2</xdr:col>
                    <xdr:colOff>3200400</xdr:colOff>
                    <xdr:row>44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3" r:id="rId48" name="Drop Down 241">
              <controlPr defaultSize="0" autoLine="0" autoPict="0">
                <anchor moveWithCells="1">
                  <from>
                    <xdr:col>2</xdr:col>
                    <xdr:colOff>12700</xdr:colOff>
                    <xdr:row>45</xdr:row>
                    <xdr:rowOff>12700</xdr:rowOff>
                  </from>
                  <to>
                    <xdr:col>2</xdr:col>
                    <xdr:colOff>3200400</xdr:colOff>
                    <xdr:row>45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4" r:id="rId49" name="Drop Down 242">
              <controlPr defaultSize="0" autoLine="0" autoPict="0">
                <anchor moveWithCells="1">
                  <from>
                    <xdr:col>2</xdr:col>
                    <xdr:colOff>12700</xdr:colOff>
                    <xdr:row>46</xdr:row>
                    <xdr:rowOff>12700</xdr:rowOff>
                  </from>
                  <to>
                    <xdr:col>2</xdr:col>
                    <xdr:colOff>3200400</xdr:colOff>
                    <xdr:row>46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5" r:id="rId50" name="Drop Down 243">
              <controlPr defaultSize="0" autoLine="0" autoPict="0">
                <anchor moveWithCells="1">
                  <from>
                    <xdr:col>2</xdr:col>
                    <xdr:colOff>12700</xdr:colOff>
                    <xdr:row>47</xdr:row>
                    <xdr:rowOff>12700</xdr:rowOff>
                  </from>
                  <to>
                    <xdr:col>2</xdr:col>
                    <xdr:colOff>3200400</xdr:colOff>
                    <xdr:row>47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6" r:id="rId51" name="Drop Down 244">
              <controlPr defaultSize="0" autoLine="0" autoPict="0">
                <anchor moveWithCells="1">
                  <from>
                    <xdr:col>2</xdr:col>
                    <xdr:colOff>12700</xdr:colOff>
                    <xdr:row>48</xdr:row>
                    <xdr:rowOff>12700</xdr:rowOff>
                  </from>
                  <to>
                    <xdr:col>2</xdr:col>
                    <xdr:colOff>3200400</xdr:colOff>
                    <xdr:row>48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7" r:id="rId52" name="Drop Down 245">
              <controlPr defaultSize="0" autoLine="0" autoPict="0">
                <anchor moveWithCells="1">
                  <from>
                    <xdr:col>2</xdr:col>
                    <xdr:colOff>12700</xdr:colOff>
                    <xdr:row>49</xdr:row>
                    <xdr:rowOff>12700</xdr:rowOff>
                  </from>
                  <to>
                    <xdr:col>2</xdr:col>
                    <xdr:colOff>3200400</xdr:colOff>
                    <xdr:row>49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8" r:id="rId53" name="Drop Down 246">
              <controlPr defaultSize="0" autoLine="0" autoPict="0">
                <anchor moveWithCells="1">
                  <from>
                    <xdr:col>2</xdr:col>
                    <xdr:colOff>12700</xdr:colOff>
                    <xdr:row>50</xdr:row>
                    <xdr:rowOff>12700</xdr:rowOff>
                  </from>
                  <to>
                    <xdr:col>2</xdr:col>
                    <xdr:colOff>3200400</xdr:colOff>
                    <xdr:row>50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2" r:id="rId54" name="Drop Down 250">
              <controlPr defaultSize="0" autoLine="0" autoPict="0">
                <anchor moveWithCells="1">
                  <from>
                    <xdr:col>2</xdr:col>
                    <xdr:colOff>12700</xdr:colOff>
                    <xdr:row>51</xdr:row>
                    <xdr:rowOff>12700</xdr:rowOff>
                  </from>
                  <to>
                    <xdr:col>2</xdr:col>
                    <xdr:colOff>3200400</xdr:colOff>
                    <xdr:row>51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3" r:id="rId55" name="Drop Down 251">
              <controlPr defaultSize="0" autoLine="0" autoPict="0">
                <anchor moveWithCells="1">
                  <from>
                    <xdr:col>2</xdr:col>
                    <xdr:colOff>12700</xdr:colOff>
                    <xdr:row>52</xdr:row>
                    <xdr:rowOff>12700</xdr:rowOff>
                  </from>
                  <to>
                    <xdr:col>2</xdr:col>
                    <xdr:colOff>3200400</xdr:colOff>
                    <xdr:row>52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4" r:id="rId56" name="Drop Down 252">
              <controlPr defaultSize="0" autoLine="0" autoPict="0">
                <anchor moveWithCells="1">
                  <from>
                    <xdr:col>2</xdr:col>
                    <xdr:colOff>12700</xdr:colOff>
                    <xdr:row>53</xdr:row>
                    <xdr:rowOff>12700</xdr:rowOff>
                  </from>
                  <to>
                    <xdr:col>2</xdr:col>
                    <xdr:colOff>3200400</xdr:colOff>
                    <xdr:row>53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5" r:id="rId57" name="Drop Down 253">
              <controlPr defaultSize="0" autoLine="0" autoPict="0">
                <anchor moveWithCells="1">
                  <from>
                    <xdr:col>2</xdr:col>
                    <xdr:colOff>12700</xdr:colOff>
                    <xdr:row>54</xdr:row>
                    <xdr:rowOff>12700</xdr:rowOff>
                  </from>
                  <to>
                    <xdr:col>2</xdr:col>
                    <xdr:colOff>3200400</xdr:colOff>
                    <xdr:row>54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6" r:id="rId58" name="Drop Down 254">
              <controlPr defaultSize="0" autoLine="0" autoPict="0">
                <anchor moveWithCells="1">
                  <from>
                    <xdr:col>2</xdr:col>
                    <xdr:colOff>12700</xdr:colOff>
                    <xdr:row>55</xdr:row>
                    <xdr:rowOff>12700</xdr:rowOff>
                  </from>
                  <to>
                    <xdr:col>2</xdr:col>
                    <xdr:colOff>3200400</xdr:colOff>
                    <xdr:row>55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7" r:id="rId59" name="Drop Down 255">
              <controlPr defaultSize="0" autoLine="0" autoPict="0">
                <anchor moveWithCells="1">
                  <from>
                    <xdr:col>2</xdr:col>
                    <xdr:colOff>12700</xdr:colOff>
                    <xdr:row>56</xdr:row>
                    <xdr:rowOff>12700</xdr:rowOff>
                  </from>
                  <to>
                    <xdr:col>2</xdr:col>
                    <xdr:colOff>3200400</xdr:colOff>
                    <xdr:row>56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8" r:id="rId60" name="Drop Down 256">
              <controlPr defaultSize="0" autoLine="0" autoPict="0">
                <anchor moveWithCells="1">
                  <from>
                    <xdr:col>2</xdr:col>
                    <xdr:colOff>12700</xdr:colOff>
                    <xdr:row>57</xdr:row>
                    <xdr:rowOff>12700</xdr:rowOff>
                  </from>
                  <to>
                    <xdr:col>2</xdr:col>
                    <xdr:colOff>3200400</xdr:colOff>
                    <xdr:row>57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9" r:id="rId61" name="Drop Down 257">
              <controlPr defaultSize="0" autoLine="0" autoPict="0">
                <anchor moveWithCells="1">
                  <from>
                    <xdr:col>2</xdr:col>
                    <xdr:colOff>12700</xdr:colOff>
                    <xdr:row>58</xdr:row>
                    <xdr:rowOff>12700</xdr:rowOff>
                  </from>
                  <to>
                    <xdr:col>2</xdr:col>
                    <xdr:colOff>3200400</xdr:colOff>
                    <xdr:row>58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0" r:id="rId62" name="Drop Down 258">
              <controlPr defaultSize="0" autoLine="0" autoPict="0">
                <anchor moveWithCells="1">
                  <from>
                    <xdr:col>2</xdr:col>
                    <xdr:colOff>12700</xdr:colOff>
                    <xdr:row>59</xdr:row>
                    <xdr:rowOff>12700</xdr:rowOff>
                  </from>
                  <to>
                    <xdr:col>2</xdr:col>
                    <xdr:colOff>3200400</xdr:colOff>
                    <xdr:row>59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1" r:id="rId63" name="Drop Down 259">
              <controlPr defaultSize="0" autoLine="0" autoPict="0">
                <anchor moveWithCells="1">
                  <from>
                    <xdr:col>2</xdr:col>
                    <xdr:colOff>12700</xdr:colOff>
                    <xdr:row>60</xdr:row>
                    <xdr:rowOff>12700</xdr:rowOff>
                  </from>
                  <to>
                    <xdr:col>2</xdr:col>
                    <xdr:colOff>3200400</xdr:colOff>
                    <xdr:row>60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2" r:id="rId64" name="Drop Down 260">
              <controlPr defaultSize="0" autoLine="0" autoPict="0">
                <anchor moveWithCells="1">
                  <from>
                    <xdr:col>2</xdr:col>
                    <xdr:colOff>12700</xdr:colOff>
                    <xdr:row>61</xdr:row>
                    <xdr:rowOff>12700</xdr:rowOff>
                  </from>
                  <to>
                    <xdr:col>2</xdr:col>
                    <xdr:colOff>3200400</xdr:colOff>
                    <xdr:row>61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3" r:id="rId65" name="Drop Down 261">
              <controlPr defaultSize="0" autoLine="0" autoPict="0">
                <anchor moveWithCells="1">
                  <from>
                    <xdr:col>2</xdr:col>
                    <xdr:colOff>12700</xdr:colOff>
                    <xdr:row>62</xdr:row>
                    <xdr:rowOff>12700</xdr:rowOff>
                  </from>
                  <to>
                    <xdr:col>2</xdr:col>
                    <xdr:colOff>3200400</xdr:colOff>
                    <xdr:row>62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4" r:id="rId66" name="Drop Down 262">
              <controlPr defaultSize="0" autoLine="0" autoPict="0">
                <anchor moveWithCells="1">
                  <from>
                    <xdr:col>2</xdr:col>
                    <xdr:colOff>12700</xdr:colOff>
                    <xdr:row>63</xdr:row>
                    <xdr:rowOff>12700</xdr:rowOff>
                  </from>
                  <to>
                    <xdr:col>2</xdr:col>
                    <xdr:colOff>3200400</xdr:colOff>
                    <xdr:row>63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5" r:id="rId67" name="Drop Down 263">
              <controlPr defaultSize="0" autoLine="0" autoPict="0">
                <anchor moveWithCells="1">
                  <from>
                    <xdr:col>2</xdr:col>
                    <xdr:colOff>12700</xdr:colOff>
                    <xdr:row>64</xdr:row>
                    <xdr:rowOff>12700</xdr:rowOff>
                  </from>
                  <to>
                    <xdr:col>2</xdr:col>
                    <xdr:colOff>3200400</xdr:colOff>
                    <xdr:row>64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6" r:id="rId68" name="Drop Down 264">
              <controlPr defaultSize="0" autoLine="0" autoPict="0">
                <anchor moveWithCells="1">
                  <from>
                    <xdr:col>2</xdr:col>
                    <xdr:colOff>12700</xdr:colOff>
                    <xdr:row>65</xdr:row>
                    <xdr:rowOff>12700</xdr:rowOff>
                  </from>
                  <to>
                    <xdr:col>2</xdr:col>
                    <xdr:colOff>3200400</xdr:colOff>
                    <xdr:row>65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7" r:id="rId69" name="Drop Down 265">
              <controlPr defaultSize="0" autoLine="0" autoPict="0">
                <anchor moveWithCells="1">
                  <from>
                    <xdr:col>2</xdr:col>
                    <xdr:colOff>12700</xdr:colOff>
                    <xdr:row>66</xdr:row>
                    <xdr:rowOff>12700</xdr:rowOff>
                  </from>
                  <to>
                    <xdr:col>2</xdr:col>
                    <xdr:colOff>3200400</xdr:colOff>
                    <xdr:row>66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8" r:id="rId70" name="Drop Down 266">
              <controlPr defaultSize="0" autoLine="0" autoPict="0">
                <anchor moveWithCells="1">
                  <from>
                    <xdr:col>2</xdr:col>
                    <xdr:colOff>12700</xdr:colOff>
                    <xdr:row>67</xdr:row>
                    <xdr:rowOff>12700</xdr:rowOff>
                  </from>
                  <to>
                    <xdr:col>2</xdr:col>
                    <xdr:colOff>3200400</xdr:colOff>
                    <xdr:row>67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9" r:id="rId71" name="Drop Down 267">
              <controlPr defaultSize="0" autoLine="0" autoPict="0">
                <anchor moveWithCells="1">
                  <from>
                    <xdr:col>2</xdr:col>
                    <xdr:colOff>12700</xdr:colOff>
                    <xdr:row>68</xdr:row>
                    <xdr:rowOff>12700</xdr:rowOff>
                  </from>
                  <to>
                    <xdr:col>2</xdr:col>
                    <xdr:colOff>3200400</xdr:colOff>
                    <xdr:row>68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0" r:id="rId72" name="Drop Down 268">
              <controlPr defaultSize="0" autoLine="0" autoPict="0">
                <anchor moveWithCells="1">
                  <from>
                    <xdr:col>2</xdr:col>
                    <xdr:colOff>12700</xdr:colOff>
                    <xdr:row>69</xdr:row>
                    <xdr:rowOff>12700</xdr:rowOff>
                  </from>
                  <to>
                    <xdr:col>2</xdr:col>
                    <xdr:colOff>3200400</xdr:colOff>
                    <xdr:row>69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1" r:id="rId73" name="Drop Down 269">
              <controlPr defaultSize="0" autoLine="0" autoPict="0">
                <anchor moveWithCells="1">
                  <from>
                    <xdr:col>2</xdr:col>
                    <xdr:colOff>12700</xdr:colOff>
                    <xdr:row>70</xdr:row>
                    <xdr:rowOff>12700</xdr:rowOff>
                  </from>
                  <to>
                    <xdr:col>2</xdr:col>
                    <xdr:colOff>3200400</xdr:colOff>
                    <xdr:row>70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2" r:id="rId74" name="Drop Down 270">
              <controlPr defaultSize="0" autoLine="0" autoPict="0">
                <anchor moveWithCells="1">
                  <from>
                    <xdr:col>2</xdr:col>
                    <xdr:colOff>12700</xdr:colOff>
                    <xdr:row>71</xdr:row>
                    <xdr:rowOff>12700</xdr:rowOff>
                  </from>
                  <to>
                    <xdr:col>2</xdr:col>
                    <xdr:colOff>3200400</xdr:colOff>
                    <xdr:row>71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3" r:id="rId75" name="Drop Down 271">
              <controlPr defaultSize="0" autoLine="0" autoPict="0">
                <anchor moveWithCells="1">
                  <from>
                    <xdr:col>2</xdr:col>
                    <xdr:colOff>12700</xdr:colOff>
                    <xdr:row>72</xdr:row>
                    <xdr:rowOff>12700</xdr:rowOff>
                  </from>
                  <to>
                    <xdr:col>2</xdr:col>
                    <xdr:colOff>3200400</xdr:colOff>
                    <xdr:row>72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4" r:id="rId76" name="Drop Down 272">
              <controlPr defaultSize="0" autoLine="0" autoPict="0">
                <anchor moveWithCells="1">
                  <from>
                    <xdr:col>2</xdr:col>
                    <xdr:colOff>12700</xdr:colOff>
                    <xdr:row>73</xdr:row>
                    <xdr:rowOff>12700</xdr:rowOff>
                  </from>
                  <to>
                    <xdr:col>2</xdr:col>
                    <xdr:colOff>3200400</xdr:colOff>
                    <xdr:row>73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5" r:id="rId77" name="Drop Down 273">
              <controlPr defaultSize="0" autoLine="0" autoPict="0">
                <anchor moveWithCells="1">
                  <from>
                    <xdr:col>2</xdr:col>
                    <xdr:colOff>12700</xdr:colOff>
                    <xdr:row>74</xdr:row>
                    <xdr:rowOff>12700</xdr:rowOff>
                  </from>
                  <to>
                    <xdr:col>2</xdr:col>
                    <xdr:colOff>3200400</xdr:colOff>
                    <xdr:row>74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6" r:id="rId78" name="Drop Down 274">
              <controlPr defaultSize="0" autoLine="0" autoPict="0">
                <anchor moveWithCells="1">
                  <from>
                    <xdr:col>2</xdr:col>
                    <xdr:colOff>12700</xdr:colOff>
                    <xdr:row>75</xdr:row>
                    <xdr:rowOff>12700</xdr:rowOff>
                  </from>
                  <to>
                    <xdr:col>2</xdr:col>
                    <xdr:colOff>3200400</xdr:colOff>
                    <xdr:row>75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7" r:id="rId79" name="Drop Down 275">
              <controlPr defaultSize="0" autoLine="0" autoPict="0">
                <anchor moveWithCells="1">
                  <from>
                    <xdr:col>2</xdr:col>
                    <xdr:colOff>12700</xdr:colOff>
                    <xdr:row>76</xdr:row>
                    <xdr:rowOff>12700</xdr:rowOff>
                  </from>
                  <to>
                    <xdr:col>2</xdr:col>
                    <xdr:colOff>3200400</xdr:colOff>
                    <xdr:row>76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8" r:id="rId80" name="Drop Down 276">
              <controlPr defaultSize="0" autoLine="0" autoPict="0">
                <anchor moveWithCells="1">
                  <from>
                    <xdr:col>2</xdr:col>
                    <xdr:colOff>12700</xdr:colOff>
                    <xdr:row>77</xdr:row>
                    <xdr:rowOff>12700</xdr:rowOff>
                  </from>
                  <to>
                    <xdr:col>2</xdr:col>
                    <xdr:colOff>3200400</xdr:colOff>
                    <xdr:row>77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49" r:id="rId81" name="Drop Down 277">
              <controlPr defaultSize="0" autoLine="0" autoPict="0">
                <anchor moveWithCells="1">
                  <from>
                    <xdr:col>2</xdr:col>
                    <xdr:colOff>12700</xdr:colOff>
                    <xdr:row>78</xdr:row>
                    <xdr:rowOff>12700</xdr:rowOff>
                  </from>
                  <to>
                    <xdr:col>2</xdr:col>
                    <xdr:colOff>3200400</xdr:colOff>
                    <xdr:row>78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50" r:id="rId82" name="Drop Down 278">
              <controlPr defaultSize="0" autoLine="0" autoPict="0">
                <anchor moveWithCells="1">
                  <from>
                    <xdr:col>2</xdr:col>
                    <xdr:colOff>12700</xdr:colOff>
                    <xdr:row>79</xdr:row>
                    <xdr:rowOff>12700</xdr:rowOff>
                  </from>
                  <to>
                    <xdr:col>2</xdr:col>
                    <xdr:colOff>3200400</xdr:colOff>
                    <xdr:row>79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51" r:id="rId83" name="Drop Down 279">
              <controlPr defaultSize="0" autoLine="0" autoPict="0">
                <anchor moveWithCells="1">
                  <from>
                    <xdr:col>2</xdr:col>
                    <xdr:colOff>12700</xdr:colOff>
                    <xdr:row>80</xdr:row>
                    <xdr:rowOff>12700</xdr:rowOff>
                  </from>
                  <to>
                    <xdr:col>2</xdr:col>
                    <xdr:colOff>3200400</xdr:colOff>
                    <xdr:row>80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52" r:id="rId84" name="Drop Down 280">
              <controlPr defaultSize="0" autoLine="0" autoPict="0">
                <anchor moveWithCells="1">
                  <from>
                    <xdr:col>2</xdr:col>
                    <xdr:colOff>12700</xdr:colOff>
                    <xdr:row>81</xdr:row>
                    <xdr:rowOff>12700</xdr:rowOff>
                  </from>
                  <to>
                    <xdr:col>2</xdr:col>
                    <xdr:colOff>3200400</xdr:colOff>
                    <xdr:row>81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53" r:id="rId85" name="Drop Down 281">
              <controlPr defaultSize="0" autoLine="0" autoPict="0">
                <anchor moveWithCells="1">
                  <from>
                    <xdr:col>2</xdr:col>
                    <xdr:colOff>12700</xdr:colOff>
                    <xdr:row>82</xdr:row>
                    <xdr:rowOff>12700</xdr:rowOff>
                  </from>
                  <to>
                    <xdr:col>2</xdr:col>
                    <xdr:colOff>3200400</xdr:colOff>
                    <xdr:row>82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54" r:id="rId86" name="Drop Down 282">
              <controlPr defaultSize="0" autoLine="0" autoPict="0">
                <anchor moveWithCells="1">
                  <from>
                    <xdr:col>2</xdr:col>
                    <xdr:colOff>12700</xdr:colOff>
                    <xdr:row>83</xdr:row>
                    <xdr:rowOff>12700</xdr:rowOff>
                  </from>
                  <to>
                    <xdr:col>2</xdr:col>
                    <xdr:colOff>3200400</xdr:colOff>
                    <xdr:row>83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55" r:id="rId87" name="Drop Down 283">
              <controlPr defaultSize="0" autoLine="0" autoPict="0">
                <anchor moveWithCells="1">
                  <from>
                    <xdr:col>2</xdr:col>
                    <xdr:colOff>12700</xdr:colOff>
                    <xdr:row>84</xdr:row>
                    <xdr:rowOff>12700</xdr:rowOff>
                  </from>
                  <to>
                    <xdr:col>2</xdr:col>
                    <xdr:colOff>3200400</xdr:colOff>
                    <xdr:row>84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56" r:id="rId88" name="Drop Down 284">
              <controlPr defaultSize="0" autoLine="0" autoPict="0">
                <anchor moveWithCells="1">
                  <from>
                    <xdr:col>2</xdr:col>
                    <xdr:colOff>12700</xdr:colOff>
                    <xdr:row>85</xdr:row>
                    <xdr:rowOff>12700</xdr:rowOff>
                  </from>
                  <to>
                    <xdr:col>2</xdr:col>
                    <xdr:colOff>3200400</xdr:colOff>
                    <xdr:row>85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57" r:id="rId89" name="Drop Down 285">
              <controlPr defaultSize="0" autoLine="0" autoPict="0">
                <anchor moveWithCells="1">
                  <from>
                    <xdr:col>2</xdr:col>
                    <xdr:colOff>12700</xdr:colOff>
                    <xdr:row>86</xdr:row>
                    <xdr:rowOff>12700</xdr:rowOff>
                  </from>
                  <to>
                    <xdr:col>2</xdr:col>
                    <xdr:colOff>3200400</xdr:colOff>
                    <xdr:row>86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58" r:id="rId90" name="Drop Down 286">
              <controlPr defaultSize="0" autoLine="0" autoPict="0">
                <anchor moveWithCells="1">
                  <from>
                    <xdr:col>2</xdr:col>
                    <xdr:colOff>12700</xdr:colOff>
                    <xdr:row>87</xdr:row>
                    <xdr:rowOff>12700</xdr:rowOff>
                  </from>
                  <to>
                    <xdr:col>2</xdr:col>
                    <xdr:colOff>3200400</xdr:colOff>
                    <xdr:row>87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59" r:id="rId91" name="Drop Down 287">
              <controlPr defaultSize="0" autoLine="0" autoPict="0">
                <anchor moveWithCells="1">
                  <from>
                    <xdr:col>2</xdr:col>
                    <xdr:colOff>12700</xdr:colOff>
                    <xdr:row>88</xdr:row>
                    <xdr:rowOff>12700</xdr:rowOff>
                  </from>
                  <to>
                    <xdr:col>2</xdr:col>
                    <xdr:colOff>3200400</xdr:colOff>
                    <xdr:row>88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60" r:id="rId92" name="Drop Down 288">
              <controlPr defaultSize="0" autoLine="0" autoPict="0">
                <anchor moveWithCells="1">
                  <from>
                    <xdr:col>2</xdr:col>
                    <xdr:colOff>12700</xdr:colOff>
                    <xdr:row>89</xdr:row>
                    <xdr:rowOff>12700</xdr:rowOff>
                  </from>
                  <to>
                    <xdr:col>2</xdr:col>
                    <xdr:colOff>3200400</xdr:colOff>
                    <xdr:row>89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61" r:id="rId93" name="Drop Down 289">
              <controlPr defaultSize="0" autoLine="0" autoPict="0">
                <anchor moveWithCells="1">
                  <from>
                    <xdr:col>2</xdr:col>
                    <xdr:colOff>12700</xdr:colOff>
                    <xdr:row>90</xdr:row>
                    <xdr:rowOff>12700</xdr:rowOff>
                  </from>
                  <to>
                    <xdr:col>2</xdr:col>
                    <xdr:colOff>3200400</xdr:colOff>
                    <xdr:row>90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62" r:id="rId94" name="Drop Down 290">
              <controlPr defaultSize="0" autoLine="0" autoPict="0">
                <anchor moveWithCells="1">
                  <from>
                    <xdr:col>2</xdr:col>
                    <xdr:colOff>12700</xdr:colOff>
                    <xdr:row>91</xdr:row>
                    <xdr:rowOff>12700</xdr:rowOff>
                  </from>
                  <to>
                    <xdr:col>2</xdr:col>
                    <xdr:colOff>3200400</xdr:colOff>
                    <xdr:row>91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63" r:id="rId95" name="Drop Down 291">
              <controlPr defaultSize="0" autoLine="0" autoPict="0">
                <anchor moveWithCells="1">
                  <from>
                    <xdr:col>2</xdr:col>
                    <xdr:colOff>12700</xdr:colOff>
                    <xdr:row>92</xdr:row>
                    <xdr:rowOff>12700</xdr:rowOff>
                  </from>
                  <to>
                    <xdr:col>2</xdr:col>
                    <xdr:colOff>3200400</xdr:colOff>
                    <xdr:row>92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64" r:id="rId96" name="Drop Down 292">
              <controlPr defaultSize="0" autoLine="0" autoPict="0">
                <anchor moveWithCells="1">
                  <from>
                    <xdr:col>2</xdr:col>
                    <xdr:colOff>12700</xdr:colOff>
                    <xdr:row>93</xdr:row>
                    <xdr:rowOff>12700</xdr:rowOff>
                  </from>
                  <to>
                    <xdr:col>2</xdr:col>
                    <xdr:colOff>3200400</xdr:colOff>
                    <xdr:row>93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65" r:id="rId97" name="Drop Down 293">
              <controlPr defaultSize="0" autoLine="0" autoPict="0">
                <anchor moveWithCells="1">
                  <from>
                    <xdr:col>2</xdr:col>
                    <xdr:colOff>12700</xdr:colOff>
                    <xdr:row>94</xdr:row>
                    <xdr:rowOff>12700</xdr:rowOff>
                  </from>
                  <to>
                    <xdr:col>2</xdr:col>
                    <xdr:colOff>3200400</xdr:colOff>
                    <xdr:row>94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66" r:id="rId98" name="Drop Down 294">
              <controlPr defaultSize="0" autoLine="0" autoPict="0">
                <anchor moveWithCells="1">
                  <from>
                    <xdr:col>2</xdr:col>
                    <xdr:colOff>12700</xdr:colOff>
                    <xdr:row>95</xdr:row>
                    <xdr:rowOff>12700</xdr:rowOff>
                  </from>
                  <to>
                    <xdr:col>2</xdr:col>
                    <xdr:colOff>3200400</xdr:colOff>
                    <xdr:row>95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67" r:id="rId99" name="Drop Down 295">
              <controlPr defaultSize="0" autoLine="0" autoPict="0">
                <anchor moveWithCells="1">
                  <from>
                    <xdr:col>2</xdr:col>
                    <xdr:colOff>12700</xdr:colOff>
                    <xdr:row>96</xdr:row>
                    <xdr:rowOff>12700</xdr:rowOff>
                  </from>
                  <to>
                    <xdr:col>2</xdr:col>
                    <xdr:colOff>3200400</xdr:colOff>
                    <xdr:row>96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68" r:id="rId100" name="Drop Down 296">
              <controlPr defaultSize="0" autoLine="0" autoPict="0">
                <anchor moveWithCells="1">
                  <from>
                    <xdr:col>2</xdr:col>
                    <xdr:colOff>12700</xdr:colOff>
                    <xdr:row>97</xdr:row>
                    <xdr:rowOff>12700</xdr:rowOff>
                  </from>
                  <to>
                    <xdr:col>2</xdr:col>
                    <xdr:colOff>3200400</xdr:colOff>
                    <xdr:row>97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69" r:id="rId101" name="Drop Down 297">
              <controlPr defaultSize="0" autoLine="0" autoPict="0">
                <anchor moveWithCells="1">
                  <from>
                    <xdr:col>2</xdr:col>
                    <xdr:colOff>12700</xdr:colOff>
                    <xdr:row>98</xdr:row>
                    <xdr:rowOff>12700</xdr:rowOff>
                  </from>
                  <to>
                    <xdr:col>2</xdr:col>
                    <xdr:colOff>3200400</xdr:colOff>
                    <xdr:row>98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0" r:id="rId102" name="Drop Down 298">
              <controlPr defaultSize="0" autoLine="0" autoPict="0">
                <anchor moveWithCells="1">
                  <from>
                    <xdr:col>2</xdr:col>
                    <xdr:colOff>12700</xdr:colOff>
                    <xdr:row>99</xdr:row>
                    <xdr:rowOff>12700</xdr:rowOff>
                  </from>
                  <to>
                    <xdr:col>2</xdr:col>
                    <xdr:colOff>3200400</xdr:colOff>
                    <xdr:row>99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1" r:id="rId103" name="Drop Down 299">
              <controlPr defaultSize="0" autoLine="0" autoPict="0">
                <anchor moveWithCells="1">
                  <from>
                    <xdr:col>2</xdr:col>
                    <xdr:colOff>12700</xdr:colOff>
                    <xdr:row>100</xdr:row>
                    <xdr:rowOff>12700</xdr:rowOff>
                  </from>
                  <to>
                    <xdr:col>2</xdr:col>
                    <xdr:colOff>3200400</xdr:colOff>
                    <xdr:row>100</xdr:row>
                    <xdr:rowOff>304800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7B122-8408-49CD-8082-361EC7CEBE96}">
  <dimension ref="A1:H25"/>
  <sheetViews>
    <sheetView showGridLines="0" zoomScaleNormal="100" workbookViewId="0">
      <selection sqref="A1:A2"/>
    </sheetView>
  </sheetViews>
  <sheetFormatPr defaultColWidth="8.81640625" defaultRowHeight="14.5" x14ac:dyDescent="0.35"/>
  <cols>
    <col min="1" max="1" width="30.54296875" style="7" customWidth="1"/>
    <col min="2" max="2" width="15.54296875" style="7" customWidth="1"/>
    <col min="3" max="3" width="18.453125" style="7" bestFit="1" customWidth="1"/>
    <col min="4" max="4" width="15.54296875" style="7" customWidth="1"/>
    <col min="5" max="5" width="24.453125" style="7" customWidth="1"/>
    <col min="6" max="6" width="70.81640625" style="7" customWidth="1"/>
    <col min="7" max="7" width="8.81640625" style="7"/>
    <col min="8" max="8" width="11.7265625" style="7" bestFit="1" customWidth="1"/>
    <col min="9" max="16384" width="8.81640625" style="7"/>
  </cols>
  <sheetData>
    <row r="1" spans="1:8" ht="17.5" customHeight="1" x14ac:dyDescent="0.35">
      <c r="A1" s="66" t="s">
        <v>38</v>
      </c>
      <c r="B1" s="67" t="s">
        <v>116</v>
      </c>
      <c r="C1" s="68"/>
      <c r="D1" s="67" t="s">
        <v>122</v>
      </c>
      <c r="E1" s="69"/>
      <c r="F1" s="70" t="str">
        <f>IF(Cálculos!T5=2,"Feedback: Alocação estrutural pelo "&amp;Cálculos!AC1,IF(Cálculos!T5=3,"Feedback: Alocação estrutural "&amp;Cálculos!AD1,"Escolha sua filosofia de alocação na 1ª planilha deste arquivo"))</f>
        <v>Feedback: Alocação estrutural pelo Spiti One Original</v>
      </c>
      <c r="G1" s="37"/>
    </row>
    <row r="2" spans="1:8" ht="17.5" customHeight="1" x14ac:dyDescent="0.35">
      <c r="A2" s="71"/>
      <c r="B2" s="72" t="s">
        <v>42</v>
      </c>
      <c r="C2" s="73" t="s">
        <v>35</v>
      </c>
      <c r="D2" s="72" t="s">
        <v>42</v>
      </c>
      <c r="E2" s="74" t="s">
        <v>43</v>
      </c>
      <c r="F2" s="75"/>
    </row>
    <row r="3" spans="1:8" ht="17.5" customHeight="1" x14ac:dyDescent="0.35">
      <c r="A3" s="76" t="s">
        <v>65</v>
      </c>
      <c r="B3" s="18"/>
      <c r="C3" s="77">
        <f>SUMIFS(Cálculos!$I:$I,Cálculos!$H:$H,'3. Resultados'!A3)</f>
        <v>0</v>
      </c>
      <c r="D3" s="18"/>
      <c r="E3" s="78">
        <f>IF('2. Sua Carteira de Ativos'!G2&lt;('1. Comece por aqui'!B3*'1. Comece por aqui'!B4),'2. Sua Carteira de Ativos'!G2,'1. Comece por aqui'!B3*'1. Comece por aqui'!B4)</f>
        <v>0</v>
      </c>
      <c r="F3" s="79" t="str">
        <f>IF(C3&lt;0,"Rever preenchimento, valor não deveria ser negativo",IF('2. Sua Carteira de Ativos'!G2&lt;('1. Comece por aqui'!$B$3*'1. Comece por aqui'!$B$4),"Você precisa fazer sua Reserva de Emergência, foque nisso até atingir R$ "&amp;TEXT('1. Comece por aqui'!B3*'1. Comece por aqui'!B4,"#.###,00"),IF(AND(C3&gt;='1. Comece por aqui'!B3*'1. Comece por aqui'!B4,C3&lt;='1. Comece por aqui'!B3*'1. Comece por aqui'!B4),"Sua Reserva de Emergência está compatível com o que foi informado","Sua Reserva de Emergência poderia ser de R$ "&amp;TEXT('1. Comece por aqui'!B3*'1. Comece por aqui'!B4,"#.###,00"))))</f>
        <v>Sua Reserva de Emergência está compatível com o que foi informado</v>
      </c>
      <c r="H3" s="15"/>
    </row>
    <row r="4" spans="1:8" ht="17.5" customHeight="1" thickBot="1" x14ac:dyDescent="0.4">
      <c r="A4" s="80" t="s">
        <v>115</v>
      </c>
      <c r="B4" s="19"/>
      <c r="C4" s="81">
        <f>'2. Sua Carteira de Ativos'!G2-'3. Resultados'!C3</f>
        <v>0</v>
      </c>
      <c r="D4" s="20"/>
      <c r="E4" s="81">
        <f>'2. Sua Carteira de Ativos'!G2-'3. Resultados'!E3</f>
        <v>0</v>
      </c>
      <c r="F4" s="82" t="str">
        <f>IF(D5="volte na 1ª plan","A planilha '1. Comece por aqui' não foi preechida corretamente",IF(C4&lt;E4,"Sua alocação estrutural está menor que a sugerida, verifique sua Reserva de Emergência",IF(C4&gt;E4,"Sua alocação estrutural está maior que a sugerida, verifique sua Reserva de Emergência","")))</f>
        <v/>
      </c>
    </row>
    <row r="5" spans="1:8" ht="17.5" customHeight="1" x14ac:dyDescent="0.35">
      <c r="A5" s="83" t="s">
        <v>112</v>
      </c>
      <c r="B5" s="21">
        <f t="shared" ref="B5:B14" si="0">IFERROR(C5/$C$4,0%)</f>
        <v>0</v>
      </c>
      <c r="C5" s="84">
        <f>SUMIFS(Cálculos!$I:$I,Cálculos!$H:$H,'3. Resultados'!A5)</f>
        <v>0</v>
      </c>
      <c r="D5" s="30">
        <f>IF(Cálculos!$T$5=1,"volte na 1ª plan",IF(Cálculos!$T$5=2,15%,15%))</f>
        <v>0.15</v>
      </c>
      <c r="E5" s="85">
        <f>IF(IF('2. Sua Carteira de Ativos'!G2&lt;('1. Comece por aqui'!$B$3*'1. Comece por aqui'!$B$4),0,D5*(('2. Sua Carteira de Ativos'!G2-('1. Comece por aqui'!$B$3*'1. Comece por aqui'!$B$4))))&lt;0,0,IF('2. Sua Carteira de Ativos'!G2&lt;('1. Comece por aqui'!$B$3*'1. Comece por aqui'!$B$4),0,D5*(('2. Sua Carteira de Ativos'!G2-('1. Comece por aqui'!$B$3*'1. Comece por aqui'!$B$4)))))</f>
        <v>0</v>
      </c>
      <c r="F5" s="86" t="str">
        <f>IF(C5&lt;0,"Rever preenchimento, valor não poderia ser negativo",IF('2. Sua Carteira de Ativos'!G2&lt;('1. Comece por aqui'!$B$3*'1. Comece por aqui'!$B$4),"Você precisa fazer sua reserva de emergência, direcione seus recursos para isso",IF(E5=0,"Essa alocação deveria ficar zerada",IF(B5&lt;D5,"Sua alocação em Renda Fixa Pós está abaixo da sugerida",IF(B5&gt;D5,"Sua alocação em Renda Fixa Pós está acima da sugerida","Sua alocação em Renda Fixa Pós está conforme o sugerido")))))</f>
        <v>Essa alocação deveria ficar zerada</v>
      </c>
      <c r="G5" s="36"/>
      <c r="H5" s="28"/>
    </row>
    <row r="6" spans="1:8" ht="17.5" customHeight="1" x14ac:dyDescent="0.35">
      <c r="A6" s="87" t="s">
        <v>113</v>
      </c>
      <c r="B6" s="26">
        <f t="shared" si="0"/>
        <v>0</v>
      </c>
      <c r="C6" s="88">
        <f>SUMIFS(Cálculos!$I:$I,Cálculos!$H:$H,'3. Resultados'!A6)</f>
        <v>0</v>
      </c>
      <c r="D6" s="31">
        <f>IF(Cálculos!$T$5=1,"volte na 1ª plan",IF(Cálculos!$T$5=2,20%,20%))</f>
        <v>0.2</v>
      </c>
      <c r="E6" s="89">
        <f>IF(IF('2. Sua Carteira de Ativos'!G2&lt;('1. Comece por aqui'!$B$3*'1. Comece por aqui'!$B$4),0,D6*(('2. Sua Carteira de Ativos'!G2-('1. Comece por aqui'!$B$3*'1. Comece por aqui'!$B$4))))&lt;0,0,IF('2. Sua Carteira de Ativos'!G2&lt;('1. Comece por aqui'!$B$3*'1. Comece por aqui'!$B$4),0,D6*(('2. Sua Carteira de Ativos'!G2-('1. Comece por aqui'!$B$3*'1. Comece por aqui'!$B$4)))))</f>
        <v>0</v>
      </c>
      <c r="F6" s="90" t="str">
        <f>IF(C6&lt;0,"Rever preenchimento, valor não poderia ser negativo",IF('2. Sua Carteira de Ativos'!G2&lt;('1. Comece por aqui'!$B$3*'1. Comece por aqui'!$B$4),"Você precisa fazer sua reserva de emergência, direcione seus recursos para isso",IF(E6=0,"Essa alocação deveria ficar zerada",IF(B6&lt;D6,"Sua alocação em Renda Fixa Dinâmica está abaixo da sugerida",IF(B6&gt;D6,"Sua alocação em Renda Fixa Dinâmica está acima da sugerida","Sua alocação em Renda Fixa Dinâmica está conforme o sugerido")))))</f>
        <v>Essa alocação deveria ficar zerada</v>
      </c>
      <c r="G6" s="36"/>
      <c r="H6" s="28"/>
    </row>
    <row r="7" spans="1:8" ht="17.5" customHeight="1" x14ac:dyDescent="0.35">
      <c r="A7" s="91" t="s">
        <v>108</v>
      </c>
      <c r="B7" s="22">
        <f t="shared" si="0"/>
        <v>0</v>
      </c>
      <c r="C7" s="92">
        <f>SUMIFS(Cálculos!$I:$I,Cálculos!$H:$H,'3. Resultados'!A7)</f>
        <v>0</v>
      </c>
      <c r="D7" s="32">
        <f>IF(Cálculos!$T$5=1,"volte na 1ª plan",IF(Cálculos!$T$5=2,12%,30%))</f>
        <v>0.12</v>
      </c>
      <c r="E7" s="93">
        <f>IF(IF('2. Sua Carteira de Ativos'!G2&lt;('1. Comece por aqui'!$B$3*'1. Comece por aqui'!$B$4),0,D7*(('2. Sua Carteira de Ativos'!G2-('1. Comece por aqui'!$B$3*'1. Comece por aqui'!$B$4))))&lt;0,0,IF('2. Sua Carteira de Ativos'!G2&lt;('1. Comece por aqui'!$B$3*'1. Comece por aqui'!$B$4),0,D7*(('2. Sua Carteira de Ativos'!G2-('1. Comece por aqui'!$B$3*'1. Comece por aqui'!$B$4)))))</f>
        <v>0</v>
      </c>
      <c r="F7" s="79" t="str">
        <f>IF(C7&lt;0,"Rever preenchimento, valor não poderia ser negativo",IF('2. Sua Carteira de Ativos'!G2&lt;('1. Comece por aqui'!$B$3*'1. Comece por aqui'!$B$4),"Você precisa fazer sua reserva de emergência, direcione seus recursos para isso",IF(E7=0,"Essa alocação deveria ficar zerada",IF(B7&lt;D7,"Sua alocação em Fundo Multimercado está abaixo da sugerida",IF(B7&gt;D7,"Sua alocação em Fundo Multimercado está acima da sugerida","Sua alocação em Fundo Multimercado está conforme o sugerido")))))</f>
        <v>Essa alocação deveria ficar zerada</v>
      </c>
      <c r="H7" s="28"/>
    </row>
    <row r="8" spans="1:8" ht="17.5" customHeight="1" x14ac:dyDescent="0.35">
      <c r="A8" s="91" t="s">
        <v>109</v>
      </c>
      <c r="B8" s="22">
        <f t="shared" si="0"/>
        <v>0</v>
      </c>
      <c r="C8" s="92">
        <f>SUMIFS(Cálculos!$I:$I,Cálculos!$H:$H,'3. Resultados'!A8)</f>
        <v>0</v>
      </c>
      <c r="D8" s="32">
        <f>IF(Cálculos!$T$5=1,"volte na 1ª plan",IF(Cálculos!$T$5=2,15%,0%))</f>
        <v>0.15</v>
      </c>
      <c r="E8" s="93">
        <f>IF(IF('2. Sua Carteira de Ativos'!G2&lt;('1. Comece por aqui'!$B$3*'1. Comece por aqui'!$B$4),0,D8*(('2. Sua Carteira de Ativos'!G2-('1. Comece por aqui'!$B$3*'1. Comece por aqui'!$B$4))))&lt;0,0,IF('2. Sua Carteira de Ativos'!G2&lt;('1. Comece por aqui'!$B$3*'1. Comece por aqui'!$B$4),0,D8*(('2. Sua Carteira de Ativos'!G2-('1. Comece por aqui'!$B$3*'1. Comece por aqui'!$B$4)))))</f>
        <v>0</v>
      </c>
      <c r="F8" s="79" t="str">
        <f>IF(C8&lt;0,"Rever preenchimento, valor não poderia ser negativo",IF('2. Sua Carteira de Ativos'!G2&lt;('1. Comece por aqui'!$B$3*'1. Comece por aqui'!$B$4),"Você precisa fazer sua reserva de emergência, direcione seus recursos para isso",IF(E8=0,"Essa alocação deveria ficar zerada",IF(B8&lt;D8,"Sua alocação em Fundo Imobiliárioestá abaixo da sugerida",IF(B8&gt;D8,"Sua alocação em Fundo Imobiliário está acima da sugerida","Sua alocação em Fundo Imobiliário está conforme o sugerido")))))</f>
        <v>Essa alocação deveria ficar zerada</v>
      </c>
      <c r="H8" s="28"/>
    </row>
    <row r="9" spans="1:8" ht="17.5" customHeight="1" x14ac:dyDescent="0.35">
      <c r="A9" s="91" t="s">
        <v>1</v>
      </c>
      <c r="B9" s="22">
        <f t="shared" si="0"/>
        <v>0</v>
      </c>
      <c r="C9" s="92">
        <f>SUMIFS(Cálculos!$I:$I,Cálculos!$H:$H,'3. Resultados'!A9)</f>
        <v>0</v>
      </c>
      <c r="D9" s="32">
        <f>IF(Cálculos!$T$5=1,"volte na 1ª plan",IF(Cálculos!$T$5=2,15%,15%))</f>
        <v>0.15</v>
      </c>
      <c r="E9" s="93">
        <f>IF(IF('2. Sua Carteira de Ativos'!G2&lt;('1. Comece por aqui'!$B$3*'1. Comece por aqui'!$B$4),0,D9*(('2. Sua Carteira de Ativos'!G2-('1. Comece por aqui'!$B$3*'1. Comece por aqui'!$B$4))))&lt;0,0,IF('2. Sua Carteira de Ativos'!G2&lt;('1. Comece por aqui'!$B$3*'1. Comece por aqui'!$B$4),0,D9*(('2. Sua Carteira de Ativos'!G2-('1. Comece por aqui'!$B$3*'1. Comece por aqui'!$B$4)))))</f>
        <v>0</v>
      </c>
      <c r="F9" s="79" t="str">
        <f>IF(C9&lt;0,"Rever preenchimento, valor não poderia ser negativo",IF('2. Sua Carteira de Ativos'!G2&lt;('1. Comece por aqui'!$B$3*'1. Comece por aqui'!$B$4),"Você precisa fazer sua reserva de emergência, direcione seus recursos para isso",IF(E9=0,"Essa alocação deveria ficar zerada",IF(B9&lt;D9,"Sua alocação em Renda Variável está abaixo da sugerida",IF(B9&gt;D9,"Sua alocação em Renda Variável está acima da sugerida","Sua alocação em Renda Variável está conforme o sugerido")))))</f>
        <v>Essa alocação deveria ficar zerada</v>
      </c>
      <c r="H9" s="28"/>
    </row>
    <row r="10" spans="1:8" ht="17.5" customHeight="1" x14ac:dyDescent="0.35">
      <c r="A10" s="91" t="s">
        <v>132</v>
      </c>
      <c r="B10" s="22">
        <f t="shared" si="0"/>
        <v>0</v>
      </c>
      <c r="C10" s="92">
        <f>SUMIFS(Cálculos!$I:$I,Cálculos!$H:$H,'3. Resultados'!A10)</f>
        <v>0</v>
      </c>
      <c r="D10" s="32">
        <f>IF(Cálculos!$T$5=1,"volte na 1ª plan",IF(Cálculos!$T$5=2,8.5%,8.5%))</f>
        <v>8.5000000000000006E-2</v>
      </c>
      <c r="E10" s="93">
        <f>IF(IF('2. Sua Carteira de Ativos'!G2&lt;('1. Comece por aqui'!$B$3*'1. Comece por aqui'!$B$4),0,D10*(('2. Sua Carteira de Ativos'!G2-('1. Comece por aqui'!$B$3*'1. Comece por aqui'!$B$4))))&lt;0,0,IF('2. Sua Carteira de Ativos'!G2&lt;('1. Comece por aqui'!$B$3*'1. Comece por aqui'!$B$4),0,D10*(('2. Sua Carteira de Ativos'!G2-('1. Comece por aqui'!$B$3*'1. Comece por aqui'!$B$4)))))</f>
        <v>0</v>
      </c>
      <c r="F10" s="79" t="str">
        <f>IF(C10&lt;0,"Rever preenchimento, valor não poderia ser negativo",IF('2. Sua Carteira de Ativos'!G2&lt;('1. Comece por aqui'!$B$3*'1. Comece por aqui'!$B$4),"Você precisa fazer sua reserva de emergência, direcione seus recursos para isso",IF(E10=0,"Essa alocação deveria ficar zerada",IF(B10&lt;D10,"Sua alocação em Renda Variável Global está abaixo da sugerida",IF(B10&gt;D10,"Sua alocação em Renda Variável Global está acima da sugerida","Sua alocação em Renda Variável Global está conforme o sugerido")))))</f>
        <v>Essa alocação deveria ficar zerada</v>
      </c>
    </row>
    <row r="11" spans="1:8" ht="17.5" customHeight="1" x14ac:dyDescent="0.35">
      <c r="A11" s="94" t="s">
        <v>133</v>
      </c>
      <c r="B11" s="27">
        <f t="shared" si="0"/>
        <v>0</v>
      </c>
      <c r="C11" s="95">
        <f>SUMIFS(Cálculos!$I:$I,Cálculos!$H:$H,'3. Resultados'!A11)</f>
        <v>0</v>
      </c>
      <c r="D11" s="33">
        <f>IF(Cálculos!$T$5=1,"volte na 1ª plan",IF(Cálculos!$T$5=2,2.5%,2.5%))</f>
        <v>2.5000000000000001E-2</v>
      </c>
      <c r="E11" s="95">
        <f>IF(IF('2. Sua Carteira de Ativos'!G2&lt;('1. Comece por aqui'!$B$3*'1. Comece por aqui'!$B$4),0,D11*(('2. Sua Carteira de Ativos'!G2-('1. Comece por aqui'!$B$3*'1. Comece por aqui'!$B$4))))&lt;0,0,IF('2. Sua Carteira de Ativos'!G2&lt;('1. Comece por aqui'!$B$3*'1. Comece por aqui'!$B$4),0,D11*(('2. Sua Carteira de Ativos'!G2-('1. Comece por aqui'!$B$3*'1. Comece por aqui'!$B$4)))))</f>
        <v>0</v>
      </c>
      <c r="F11" s="79" t="str">
        <f>IF(C11&lt;0,"Rever preenchimento, valor não poderia ser negativo",IF('2. Sua Carteira de Ativos'!G2&lt;('1. Comece por aqui'!$B$3*'1. Comece por aqui'!$B$4),"Você precisa fazer sua reserva de emergência, direcione seus recursos para isso",IF(E11=0,"Essa alocação deveria ficar zerada",IF(B11&lt;D11,"Sua alocação em REITS está abaixo da sugerida",IF(B11&gt;D11,"Sua alocação em REITS está acima da sugerida","Sua alocação em REITS está conforme o sugerido")))))</f>
        <v>Essa alocação deveria ficar zerada</v>
      </c>
    </row>
    <row r="12" spans="1:8" ht="17.5" customHeight="1" x14ac:dyDescent="0.35">
      <c r="A12" s="94" t="s">
        <v>134</v>
      </c>
      <c r="B12" s="27">
        <f t="shared" si="0"/>
        <v>0</v>
      </c>
      <c r="C12" s="95">
        <f>SUMIFS(Cálculos!$I:$I,Cálculos!$H:$H,'3. Resultados'!A12)</f>
        <v>0</v>
      </c>
      <c r="D12" s="33">
        <f>IF(Cálculos!$T$5=1,"volte na 1ª plan",IF(Cálculos!$T$5=2,6%,6%))</f>
        <v>0.06</v>
      </c>
      <c r="E12" s="95">
        <f>IF(IF('2. Sua Carteira de Ativos'!G2&lt;('1. Comece por aqui'!$B$3*'1. Comece por aqui'!$B$4),0,D12*(('2. Sua Carteira de Ativos'!G2-('1. Comece por aqui'!$B$3*'1. Comece por aqui'!$B$4))))&lt;0,0,IF('2. Sua Carteira de Ativos'!G2&lt;('1. Comece por aqui'!$B$3*'1. Comece por aqui'!$B$4),0,D12*(('2. Sua Carteira de Ativos'!G2-('1. Comece por aqui'!$B$3*'1. Comece por aqui'!$B$4)))))</f>
        <v>0</v>
      </c>
      <c r="F12" s="79" t="str">
        <f>IF(C12&lt;0,"Rever preenchimento, valor não poderia ser negativo",IF('2. Sua Carteira de Ativos'!G2&lt;('1. Comece por aqui'!$B$3*'1. Comece por aqui'!$B$4),"Você precisa fazer sua reserva de emergência, direcione seus recursos para isso",IF(E12=0,"Essa alocação deveria ficar zerada",IF(B12&lt;D12,"Sua alocação em Renda Fixa Global está abaixo da sugerida",IF(B12&gt;D12,"Sua alocação em Renda Fixa Global está acima da sugerida","Sua alocação em Renda Fixa Global está conforme o sugerido")))))</f>
        <v>Essa alocação deveria ficar zerada</v>
      </c>
    </row>
    <row r="13" spans="1:8" ht="17.5" customHeight="1" x14ac:dyDescent="0.35">
      <c r="A13" s="94" t="s">
        <v>135</v>
      </c>
      <c r="B13" s="27">
        <f t="shared" si="0"/>
        <v>0</v>
      </c>
      <c r="C13" s="95">
        <f>SUMIFS(Cálculos!$I:$I,Cálculos!$H:$H,'3. Resultados'!A13)</f>
        <v>0</v>
      </c>
      <c r="D13" s="33">
        <f>IF(Cálculos!$T$5=1,"volte na 1ª plan",IF(Cálculos!$T$5=2,3%,3%))</f>
        <v>0.03</v>
      </c>
      <c r="E13" s="95">
        <f>IF(IF('2. Sua Carteira de Ativos'!G2&lt;('1. Comece por aqui'!$B$3*'1. Comece por aqui'!$B$4),0,D13*(('2. Sua Carteira de Ativos'!G2-('1. Comece por aqui'!$B$3*'1. Comece por aqui'!$B$4))))&lt;0,0,IF('2. Sua Carteira de Ativos'!G2&lt;('1. Comece por aqui'!$B$3*'1. Comece por aqui'!$B$4),0,D13*(('2. Sua Carteira de Ativos'!G2-('1. Comece por aqui'!$B$3*'1. Comece por aqui'!$B$4)))))</f>
        <v>0</v>
      </c>
      <c r="F13" s="79" t="str">
        <f>IF(C13&lt;0,"Rever preenchimento, valor não poderia ser negativo",IF('2. Sua Carteira de Ativos'!G2&lt;('1. Comece por aqui'!$B$3*'1. Comece por aqui'!$B$4),"Você precisa fazer sua reserva de emergência, direcione seus recursos para isso",IF(E13=0,"Essa alocação deveria ficar zerada",IF(B13&lt;D13,"Sua alocação em Ouro está abaixo da sugerida",IF(B13&gt;D13,"Sua alocação em Ouro está acima da sugerida","Sua alocação em Ouro está conforme o sugerido")))))</f>
        <v>Essa alocação deveria ficar zerada</v>
      </c>
    </row>
    <row r="14" spans="1:8" ht="17.5" customHeight="1" thickBot="1" x14ac:dyDescent="0.4">
      <c r="A14" s="94" t="s">
        <v>111</v>
      </c>
      <c r="B14" s="27">
        <f t="shared" si="0"/>
        <v>0</v>
      </c>
      <c r="C14" s="95">
        <f>SUMIFS(Cálculos!$I:$I,Cálculos!$H:$H,'3. Resultados'!A14)</f>
        <v>0</v>
      </c>
      <c r="D14" s="33">
        <f>IF(Cálculos!$T$5=1,"volte na 1ª plan",IF(Cálculos!$T$5=2,3%,0%))</f>
        <v>0.03</v>
      </c>
      <c r="E14" s="95">
        <f>IF(IF('2. Sua Carteira de Ativos'!G2&lt;('1. Comece por aqui'!$B$3*'1. Comece por aqui'!$B$4),0,D14*(('2. Sua Carteira de Ativos'!G2-('1. Comece por aqui'!$B$3*'1. Comece por aqui'!$B$4))))&lt;0,0,IF('2. Sua Carteira de Ativos'!G2&lt;('1. Comece por aqui'!$B$3*'1. Comece por aqui'!$B$4),0,D14*(('2. Sua Carteira de Ativos'!G2-('1. Comece por aqui'!$B$3*'1. Comece por aqui'!$B$4)))))</f>
        <v>0</v>
      </c>
      <c r="F14" s="79" t="str">
        <f>IF(C14&lt;0,"Rever preenchimento, valor não poderia ser negativo",IF('2. Sua Carteira de Ativos'!G2&lt;('1. Comece por aqui'!$B$3*'1. Comece por aqui'!$B$4),"Você precisa fazer sua reserva de emergência, direcione seus recursos para isso",IF(E14=0,"Essa alocação deveria ficar zerada",IF(B14&lt;D14,"Sua alocação em Alternativos está abaixo da sugerida",IF(B14&gt;D14,"Sua alocação em Alternativos está acima da sugerida","Sua alocação em Alternativos está conforme o sugerido")))))</f>
        <v>Essa alocação deveria ficar zerada</v>
      </c>
    </row>
    <row r="15" spans="1:8" ht="17.5" customHeight="1" x14ac:dyDescent="0.35">
      <c r="A15" s="96" t="s">
        <v>87</v>
      </c>
      <c r="B15" s="23">
        <f>SUM(B5:B14)</f>
        <v>0</v>
      </c>
      <c r="C15" s="97">
        <f>SUM(C5:C14)+C3</f>
        <v>0</v>
      </c>
      <c r="D15" s="29">
        <f>SUM(D5:D14)</f>
        <v>1</v>
      </c>
      <c r="E15" s="98">
        <f>SUM(E5:E14)+E3</f>
        <v>0</v>
      </c>
      <c r="F15" s="99" t="s">
        <v>120</v>
      </c>
    </row>
    <row r="16" spans="1:8" ht="7.5" customHeight="1" x14ac:dyDescent="0.35">
      <c r="A16" s="100"/>
      <c r="B16" s="101"/>
      <c r="C16" s="101"/>
      <c r="D16" s="101"/>
      <c r="E16" s="101"/>
      <c r="F16" s="101"/>
    </row>
    <row r="17" spans="1:6" ht="15" customHeight="1" x14ac:dyDescent="0.35">
      <c r="A17" s="100" t="s">
        <v>101</v>
      </c>
      <c r="B17" s="102"/>
      <c r="C17" s="42"/>
      <c r="D17" s="101"/>
      <c r="E17" s="101"/>
      <c r="F17" s="103" t="s">
        <v>126</v>
      </c>
    </row>
    <row r="18" spans="1:6" ht="15" customHeight="1" x14ac:dyDescent="0.35"/>
    <row r="19" spans="1:6" ht="20.149999999999999" customHeight="1" x14ac:dyDescent="0.35">
      <c r="A19" s="65" t="s">
        <v>125</v>
      </c>
      <c r="B19" s="65"/>
      <c r="C19" s="65"/>
      <c r="D19" s="65"/>
      <c r="E19" s="65"/>
      <c r="F19" s="65"/>
    </row>
    <row r="21" spans="1:6" x14ac:dyDescent="0.35">
      <c r="A21" s="16"/>
    </row>
    <row r="22" spans="1:6" x14ac:dyDescent="0.35">
      <c r="A22" s="16"/>
    </row>
    <row r="23" spans="1:6" x14ac:dyDescent="0.35">
      <c r="A23" s="16"/>
      <c r="D23" s="17"/>
    </row>
    <row r="24" spans="1:6" x14ac:dyDescent="0.35">
      <c r="A24" s="16"/>
      <c r="F24" s="14"/>
    </row>
    <row r="25" spans="1:6" x14ac:dyDescent="0.35">
      <c r="A25" s="16"/>
    </row>
  </sheetData>
  <sheetProtection algorithmName="SHA-512" hashValue="jmWEKqIpDKxaWKeSz8vL4VSEUK4wD0bTa8c/I/mFWsWs6bPp9Z1D89sokADSSR8HkI6ck+dosv1NR4cO8w5mtg==" saltValue="fWXdFFu64Ik/glPQi7+ihQ==" spinCount="100000" sheet="1" objects="1" scenarios="1"/>
  <mergeCells count="5">
    <mergeCell ref="A19:F19"/>
    <mergeCell ref="B1:C1"/>
    <mergeCell ref="A1:A2"/>
    <mergeCell ref="D1:E1"/>
    <mergeCell ref="F1:F2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A2:F4 A14 A16:F26 A15 F15 A1:C1 E1 A47:F1048576 A46:D46 F46 C13:E13 A43:F45 B42:F42 A9 A5 A6 A7 A8 C10 C11:E11 C12 A29:F41 A28:E28 A27:E27 C5:E5 C6:E6 C7:E7 C8:E8 C9:E9 C14:E14 C15 E10 E12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9D9AB-BA73-4B6F-B476-78139A874204}">
  <dimension ref="A1:E102"/>
  <sheetViews>
    <sheetView showGridLines="0" topLeftCell="B1" zoomScaleNormal="100" workbookViewId="0">
      <selection activeCell="B1" sqref="B1"/>
    </sheetView>
  </sheetViews>
  <sheetFormatPr defaultColWidth="8.81640625" defaultRowHeight="14.5" x14ac:dyDescent="0.35"/>
  <cols>
    <col min="1" max="1" width="2.81640625" style="7" hidden="1" customWidth="1"/>
    <col min="2" max="2" width="35.54296875" style="7" customWidth="1"/>
    <col min="3" max="3" width="30.54296875" style="7" customWidth="1"/>
    <col min="4" max="4" width="10.54296875" style="7" customWidth="1"/>
    <col min="5" max="16384" width="8.81640625" style="7"/>
  </cols>
  <sheetData>
    <row r="1" spans="1:5" ht="20.149999999999999" customHeight="1" x14ac:dyDescent="0.35">
      <c r="B1" s="61" t="s">
        <v>102</v>
      </c>
      <c r="C1" s="62"/>
      <c r="D1" s="62"/>
      <c r="E1" s="1"/>
    </row>
    <row r="2" spans="1:5" ht="20.149999999999999" customHeight="1" x14ac:dyDescent="0.35">
      <c r="B2" s="63" t="s">
        <v>96</v>
      </c>
      <c r="C2" s="63" t="s">
        <v>38</v>
      </c>
      <c r="D2" s="64" t="s">
        <v>90</v>
      </c>
      <c r="E2" s="1"/>
    </row>
    <row r="3" spans="1:5" ht="20" customHeight="1" x14ac:dyDescent="0.35">
      <c r="A3" s="24">
        <v>1</v>
      </c>
      <c r="B3" s="1" t="str">
        <f>IF(IFERROR(VLOOKUP(A3,Cálculos!$M:$Q,2,0),"")=0,"não informado",IFERROR(VLOOKUP(A3,Cálculos!$M:$Q,2,0),""))</f>
        <v/>
      </c>
      <c r="C3" s="1" t="str">
        <f>IFERROR(VLOOKUP(A3,Cálculos!$M:$Q,3,0),"")</f>
        <v/>
      </c>
      <c r="D3" s="25" t="str">
        <f>IFERROR(VLOOKUP(A3,Cálculos!$M:$Q,5,0),"")</f>
        <v/>
      </c>
      <c r="E3" s="1"/>
    </row>
    <row r="4" spans="1:5" ht="20" customHeight="1" x14ac:dyDescent="0.35">
      <c r="A4" s="24">
        <f>A3+1</f>
        <v>2</v>
      </c>
      <c r="B4" s="1" t="str">
        <f>IF(IFERROR(VLOOKUP(A4,Cálculos!$M:$Q,2,0),"")=0,"não informado",IFERROR(VLOOKUP(A4,Cálculos!$M:$Q,2,0),""))</f>
        <v/>
      </c>
      <c r="C4" s="1" t="str">
        <f>IFERROR(VLOOKUP(A4,Cálculos!$M:$Q,3,0),"")</f>
        <v/>
      </c>
      <c r="D4" s="25" t="str">
        <f>IFERROR(VLOOKUP(A4,Cálculos!$M:$Q,5,0),"")</f>
        <v/>
      </c>
      <c r="E4" s="1"/>
    </row>
    <row r="5" spans="1:5" ht="20" customHeight="1" x14ac:dyDescent="0.35">
      <c r="A5" s="24">
        <f t="shared" ref="A5:A68" si="0">A4+1</f>
        <v>3</v>
      </c>
      <c r="B5" s="1" t="str">
        <f>IF(IFERROR(VLOOKUP(A5,Cálculos!$M:$Q,2,0),"")=0,"não informado",IFERROR(VLOOKUP(A5,Cálculos!$M:$Q,2,0),""))</f>
        <v/>
      </c>
      <c r="C5" s="1" t="str">
        <f>IFERROR(VLOOKUP(A5,Cálculos!$M:$Q,3,0),"")</f>
        <v/>
      </c>
      <c r="D5" s="25" t="str">
        <f>IFERROR(VLOOKUP(A5,Cálculos!$M:$Q,5,0),"")</f>
        <v/>
      </c>
      <c r="E5" s="1"/>
    </row>
    <row r="6" spans="1:5" ht="20" customHeight="1" x14ac:dyDescent="0.35">
      <c r="A6" s="24">
        <f t="shared" si="0"/>
        <v>4</v>
      </c>
      <c r="B6" s="1" t="str">
        <f>IF(IFERROR(VLOOKUP(A6,Cálculos!$M:$Q,2,0),"")=0,"não informado",IFERROR(VLOOKUP(A6,Cálculos!$M:$Q,2,0),""))</f>
        <v/>
      </c>
      <c r="C6" s="1" t="str">
        <f>IFERROR(VLOOKUP(A6,Cálculos!$M:$Q,3,0),"")</f>
        <v/>
      </c>
      <c r="D6" s="25" t="str">
        <f>IFERROR(VLOOKUP(A6,Cálculos!$M:$Q,5,0),"")</f>
        <v/>
      </c>
      <c r="E6" s="1"/>
    </row>
    <row r="7" spans="1:5" ht="20" customHeight="1" x14ac:dyDescent="0.35">
      <c r="A7" s="24">
        <f t="shared" si="0"/>
        <v>5</v>
      </c>
      <c r="B7" s="1" t="str">
        <f>IF(IFERROR(VLOOKUP(A7,Cálculos!$M:$Q,2,0),"")=0,"não informado",IFERROR(VLOOKUP(A7,Cálculos!$M:$Q,2,0),""))</f>
        <v/>
      </c>
      <c r="C7" s="1" t="str">
        <f>IFERROR(VLOOKUP(A7,Cálculos!$M:$Q,3,0),"")</f>
        <v/>
      </c>
      <c r="D7" s="25" t="str">
        <f>IFERROR(VLOOKUP(A7,Cálculos!$M:$Q,5,0),"")</f>
        <v/>
      </c>
      <c r="E7" s="1"/>
    </row>
    <row r="8" spans="1:5" ht="20" customHeight="1" x14ac:dyDescent="0.35">
      <c r="A8" s="24">
        <f t="shared" si="0"/>
        <v>6</v>
      </c>
      <c r="B8" s="1" t="str">
        <f>IF(IFERROR(VLOOKUP(A8,Cálculos!$M:$Q,2,0),"")=0,"não informado",IFERROR(VLOOKUP(A8,Cálculos!$M:$Q,2,0),""))</f>
        <v/>
      </c>
      <c r="C8" s="1" t="str">
        <f>IFERROR(VLOOKUP(A8,Cálculos!$M:$Q,3,0),"")</f>
        <v/>
      </c>
      <c r="D8" s="25" t="str">
        <f>IFERROR(VLOOKUP(A8,Cálculos!$M:$Q,5,0),"")</f>
        <v/>
      </c>
      <c r="E8" s="1"/>
    </row>
    <row r="9" spans="1:5" ht="20" customHeight="1" x14ac:dyDescent="0.35">
      <c r="A9" s="24">
        <f t="shared" si="0"/>
        <v>7</v>
      </c>
      <c r="B9" s="1" t="str">
        <f>IF(IFERROR(VLOOKUP(A9,Cálculos!$M:$Q,2,0),"")=0,"não informado",IFERROR(VLOOKUP(A9,Cálculos!$M:$Q,2,0),""))</f>
        <v/>
      </c>
      <c r="C9" s="1" t="str">
        <f>IFERROR(VLOOKUP(A9,Cálculos!$M:$Q,3,0),"")</f>
        <v/>
      </c>
      <c r="D9" s="25" t="str">
        <f>IFERROR(VLOOKUP(A9,Cálculos!$M:$Q,5,0),"")</f>
        <v/>
      </c>
      <c r="E9" s="1"/>
    </row>
    <row r="10" spans="1:5" ht="20" customHeight="1" x14ac:dyDescent="0.35">
      <c r="A10" s="24">
        <f t="shared" si="0"/>
        <v>8</v>
      </c>
      <c r="B10" s="1" t="str">
        <f>IF(IFERROR(VLOOKUP(A10,Cálculos!$M:$Q,2,0),"")=0,"não informado",IFERROR(VLOOKUP(A10,Cálculos!$M:$Q,2,0),""))</f>
        <v/>
      </c>
      <c r="C10" s="1" t="str">
        <f>IFERROR(VLOOKUP(A10,Cálculos!$M:$Q,3,0),"")</f>
        <v/>
      </c>
      <c r="D10" s="25" t="str">
        <f>IFERROR(VLOOKUP(A10,Cálculos!$M:$Q,5,0),"")</f>
        <v/>
      </c>
      <c r="E10" s="1"/>
    </row>
    <row r="11" spans="1:5" ht="20" customHeight="1" x14ac:dyDescent="0.35">
      <c r="A11" s="24">
        <f t="shared" si="0"/>
        <v>9</v>
      </c>
      <c r="B11" s="1" t="str">
        <f>IF(IFERROR(VLOOKUP(A11,Cálculos!$M:$Q,2,0),"")=0,"não informado",IFERROR(VLOOKUP(A11,Cálculos!$M:$Q,2,0),""))</f>
        <v/>
      </c>
      <c r="C11" s="1" t="str">
        <f>IFERROR(VLOOKUP(A11,Cálculos!$M:$Q,3,0),"")</f>
        <v/>
      </c>
      <c r="D11" s="25" t="str">
        <f>IFERROR(VLOOKUP(A11,Cálculos!$M:$Q,5,0),"")</f>
        <v/>
      </c>
      <c r="E11" s="1"/>
    </row>
    <row r="12" spans="1:5" ht="20" customHeight="1" x14ac:dyDescent="0.35">
      <c r="A12" s="24">
        <f t="shared" si="0"/>
        <v>10</v>
      </c>
      <c r="B12" s="1" t="str">
        <f>IF(IFERROR(VLOOKUP(A12,Cálculos!$M:$Q,2,0),"")=0,"não informado",IFERROR(VLOOKUP(A12,Cálculos!$M:$Q,2,0),""))</f>
        <v/>
      </c>
      <c r="C12" s="1" t="str">
        <f>IFERROR(VLOOKUP(A12,Cálculos!$M:$Q,3,0),"")</f>
        <v/>
      </c>
      <c r="D12" s="25" t="str">
        <f>IFERROR(VLOOKUP(A12,Cálculos!$M:$Q,5,0),"")</f>
        <v/>
      </c>
      <c r="E12" s="1"/>
    </row>
    <row r="13" spans="1:5" ht="20" customHeight="1" x14ac:dyDescent="0.35">
      <c r="A13" s="24">
        <f t="shared" si="0"/>
        <v>11</v>
      </c>
      <c r="B13" s="1" t="str">
        <f>IF(IFERROR(VLOOKUP(A13,Cálculos!$M:$Q,2,0),"")=0,"não informado",IFERROR(VLOOKUP(A13,Cálculos!$M:$Q,2,0),""))</f>
        <v/>
      </c>
      <c r="C13" s="1" t="str">
        <f>IFERROR(VLOOKUP(A13,Cálculos!$M:$Q,3,0),"")</f>
        <v/>
      </c>
      <c r="D13" s="25" t="str">
        <f>IFERROR(VLOOKUP(A13,Cálculos!$M:$Q,5,0),"")</f>
        <v/>
      </c>
      <c r="E13" s="1"/>
    </row>
    <row r="14" spans="1:5" ht="20" customHeight="1" x14ac:dyDescent="0.35">
      <c r="A14" s="24">
        <f t="shared" si="0"/>
        <v>12</v>
      </c>
      <c r="B14" s="1" t="str">
        <f>IF(IFERROR(VLOOKUP(A14,Cálculos!$M:$Q,2,0),"")=0,"não informado",IFERROR(VLOOKUP(A14,Cálculos!$M:$Q,2,0),""))</f>
        <v/>
      </c>
      <c r="C14" s="1" t="str">
        <f>IFERROR(VLOOKUP(A14,Cálculos!$M:$Q,3,0),"")</f>
        <v/>
      </c>
      <c r="D14" s="25" t="str">
        <f>IFERROR(VLOOKUP(A14,Cálculos!$M:$Q,5,0),"")</f>
        <v/>
      </c>
      <c r="E14" s="1"/>
    </row>
    <row r="15" spans="1:5" ht="20" customHeight="1" x14ac:dyDescent="0.35">
      <c r="A15" s="24">
        <f t="shared" si="0"/>
        <v>13</v>
      </c>
      <c r="B15" s="1" t="str">
        <f>IF(IFERROR(VLOOKUP(A15,Cálculos!$M:$Q,2,0),"")=0,"não informado",IFERROR(VLOOKUP(A15,Cálculos!$M:$Q,2,0),""))</f>
        <v/>
      </c>
      <c r="C15" s="1" t="str">
        <f>IFERROR(VLOOKUP(A15,Cálculos!$M:$Q,3,0),"")</f>
        <v/>
      </c>
      <c r="D15" s="25" t="str">
        <f>IFERROR(VLOOKUP(A15,Cálculos!$M:$Q,5,0),"")</f>
        <v/>
      </c>
      <c r="E15" s="1"/>
    </row>
    <row r="16" spans="1:5" ht="20" customHeight="1" x14ac:dyDescent="0.35">
      <c r="A16" s="24">
        <f t="shared" si="0"/>
        <v>14</v>
      </c>
      <c r="B16" s="1" t="str">
        <f>IF(IFERROR(VLOOKUP(A16,Cálculos!$M:$Q,2,0),"")=0,"não informado",IFERROR(VLOOKUP(A16,Cálculos!$M:$Q,2,0),""))</f>
        <v/>
      </c>
      <c r="C16" s="1" t="str">
        <f>IFERROR(VLOOKUP(A16,Cálculos!$M:$Q,3,0),"")</f>
        <v/>
      </c>
      <c r="D16" s="25" t="str">
        <f>IFERROR(VLOOKUP(A16,Cálculos!$M:$Q,5,0),"")</f>
        <v/>
      </c>
      <c r="E16" s="1"/>
    </row>
    <row r="17" spans="1:5" ht="20" customHeight="1" x14ac:dyDescent="0.35">
      <c r="A17" s="24">
        <f t="shared" si="0"/>
        <v>15</v>
      </c>
      <c r="B17" s="1" t="str">
        <f>IF(IFERROR(VLOOKUP(A17,Cálculos!$M:$Q,2,0),"")=0,"não informado",IFERROR(VLOOKUP(A17,Cálculos!$M:$Q,2,0),""))</f>
        <v/>
      </c>
      <c r="C17" s="1" t="str">
        <f>IFERROR(VLOOKUP(A17,Cálculos!$M:$Q,3,0),"")</f>
        <v/>
      </c>
      <c r="D17" s="25" t="str">
        <f>IFERROR(VLOOKUP(A17,Cálculos!$M:$Q,5,0),"")</f>
        <v/>
      </c>
      <c r="E17" s="1"/>
    </row>
    <row r="18" spans="1:5" ht="20" customHeight="1" x14ac:dyDescent="0.35">
      <c r="A18" s="24">
        <f t="shared" si="0"/>
        <v>16</v>
      </c>
      <c r="B18" s="1" t="str">
        <f>IF(IFERROR(VLOOKUP(A18,Cálculos!$M:$Q,2,0),"")=0,"não informado",IFERROR(VLOOKUP(A18,Cálculos!$M:$Q,2,0),""))</f>
        <v/>
      </c>
      <c r="C18" s="1" t="str">
        <f>IFERROR(VLOOKUP(A18,Cálculos!$M:$Q,3,0),"")</f>
        <v/>
      </c>
      <c r="D18" s="25" t="str">
        <f>IFERROR(VLOOKUP(A18,Cálculos!$M:$Q,5,0),"")</f>
        <v/>
      </c>
      <c r="E18" s="1"/>
    </row>
    <row r="19" spans="1:5" ht="20" customHeight="1" x14ac:dyDescent="0.35">
      <c r="A19" s="24">
        <f t="shared" si="0"/>
        <v>17</v>
      </c>
      <c r="B19" s="1" t="str">
        <f>IF(IFERROR(VLOOKUP(A19,Cálculos!$M:$Q,2,0),"")=0,"não informado",IFERROR(VLOOKUP(A19,Cálculos!$M:$Q,2,0),""))</f>
        <v/>
      </c>
      <c r="C19" s="1" t="str">
        <f>IFERROR(VLOOKUP(A19,Cálculos!$M:$Q,3,0),"")</f>
        <v/>
      </c>
      <c r="D19" s="25" t="str">
        <f>IFERROR(VLOOKUP(A19,Cálculos!$M:$Q,5,0),"")</f>
        <v/>
      </c>
      <c r="E19" s="1"/>
    </row>
    <row r="20" spans="1:5" ht="20" customHeight="1" x14ac:dyDescent="0.35">
      <c r="A20" s="24">
        <f t="shared" si="0"/>
        <v>18</v>
      </c>
      <c r="B20" s="1" t="str">
        <f>IF(IFERROR(VLOOKUP(A20,Cálculos!$M:$Q,2,0),"")=0,"não informado",IFERROR(VLOOKUP(A20,Cálculos!$M:$Q,2,0),""))</f>
        <v/>
      </c>
      <c r="C20" s="1" t="str">
        <f>IFERROR(VLOOKUP(A20,Cálculos!$M:$Q,3,0),"")</f>
        <v/>
      </c>
      <c r="D20" s="25" t="str">
        <f>IFERROR(VLOOKUP(A20,Cálculos!$M:$Q,5,0),"")</f>
        <v/>
      </c>
      <c r="E20" s="1"/>
    </row>
    <row r="21" spans="1:5" ht="20" customHeight="1" x14ac:dyDescent="0.35">
      <c r="A21" s="24">
        <f t="shared" si="0"/>
        <v>19</v>
      </c>
      <c r="B21" s="1" t="str">
        <f>IF(IFERROR(VLOOKUP(A21,Cálculos!$M:$Q,2,0),"")=0,"não informado",IFERROR(VLOOKUP(A21,Cálculos!$M:$Q,2,0),""))</f>
        <v/>
      </c>
      <c r="C21" s="1" t="str">
        <f>IFERROR(VLOOKUP(A21,Cálculos!$M:$Q,3,0),"")</f>
        <v/>
      </c>
      <c r="D21" s="25" t="str">
        <f>IFERROR(VLOOKUP(A21,Cálculos!$M:$Q,5,0),"")</f>
        <v/>
      </c>
      <c r="E21" s="1"/>
    </row>
    <row r="22" spans="1:5" ht="20" customHeight="1" x14ac:dyDescent="0.35">
      <c r="A22" s="24">
        <f t="shared" si="0"/>
        <v>20</v>
      </c>
      <c r="B22" s="1" t="str">
        <f>IF(IFERROR(VLOOKUP(A22,Cálculos!$M:$Q,2,0),"")=0,"não informado",IFERROR(VLOOKUP(A22,Cálculos!$M:$Q,2,0),""))</f>
        <v/>
      </c>
      <c r="C22" s="1" t="str">
        <f>IFERROR(VLOOKUP(A22,Cálculos!$M:$Q,3,0),"")</f>
        <v/>
      </c>
      <c r="D22" s="25" t="str">
        <f>IFERROR(VLOOKUP(A22,Cálculos!$M:$Q,5,0),"")</f>
        <v/>
      </c>
      <c r="E22" s="1"/>
    </row>
    <row r="23" spans="1:5" ht="20" customHeight="1" x14ac:dyDescent="0.35">
      <c r="A23" s="24">
        <f t="shared" si="0"/>
        <v>21</v>
      </c>
      <c r="B23" s="1" t="str">
        <f>IF(IFERROR(VLOOKUP(A23,Cálculos!$M:$Q,2,0),"")=0,"não informado",IFERROR(VLOOKUP(A23,Cálculos!$M:$Q,2,0),""))</f>
        <v/>
      </c>
      <c r="C23" s="1" t="str">
        <f>IFERROR(VLOOKUP(A23,Cálculos!$M:$Q,3,0),"")</f>
        <v/>
      </c>
      <c r="D23" s="25" t="str">
        <f>IFERROR(VLOOKUP(A23,Cálculos!$M:$Q,5,0),"")</f>
        <v/>
      </c>
      <c r="E23" s="1"/>
    </row>
    <row r="24" spans="1:5" ht="20" customHeight="1" x14ac:dyDescent="0.35">
      <c r="A24" s="24">
        <f t="shared" si="0"/>
        <v>22</v>
      </c>
      <c r="B24" s="1" t="str">
        <f>IF(IFERROR(VLOOKUP(A24,Cálculos!$M:$Q,2,0),"")=0,"não informado",IFERROR(VLOOKUP(A24,Cálculos!$M:$Q,2,0),""))</f>
        <v/>
      </c>
      <c r="C24" s="1" t="str">
        <f>IFERROR(VLOOKUP(A24,Cálculos!$M:$Q,3,0),"")</f>
        <v/>
      </c>
      <c r="D24" s="25" t="str">
        <f>IFERROR(VLOOKUP(A24,Cálculos!$M:$Q,5,0),"")</f>
        <v/>
      </c>
      <c r="E24" s="1"/>
    </row>
    <row r="25" spans="1:5" ht="20" customHeight="1" x14ac:dyDescent="0.35">
      <c r="A25" s="24">
        <f t="shared" si="0"/>
        <v>23</v>
      </c>
      <c r="B25" s="1" t="str">
        <f>IF(IFERROR(VLOOKUP(A25,Cálculos!$M:$Q,2,0),"")=0,"não informado",IFERROR(VLOOKUP(A25,Cálculos!$M:$Q,2,0),""))</f>
        <v/>
      </c>
      <c r="C25" s="1" t="str">
        <f>IFERROR(VLOOKUP(A25,Cálculos!$M:$Q,3,0),"")</f>
        <v/>
      </c>
      <c r="D25" s="25" t="str">
        <f>IFERROR(VLOOKUP(A25,Cálculos!$M:$Q,5,0),"")</f>
        <v/>
      </c>
      <c r="E25" s="1"/>
    </row>
    <row r="26" spans="1:5" ht="20" customHeight="1" x14ac:dyDescent="0.35">
      <c r="A26" s="24">
        <f t="shared" si="0"/>
        <v>24</v>
      </c>
      <c r="B26" s="1" t="str">
        <f>IF(IFERROR(VLOOKUP(A26,Cálculos!$M:$Q,2,0),"")=0,"não informado",IFERROR(VLOOKUP(A26,Cálculos!$M:$Q,2,0),""))</f>
        <v/>
      </c>
      <c r="C26" s="1" t="str">
        <f>IFERROR(VLOOKUP(A26,Cálculos!$M:$Q,3,0),"")</f>
        <v/>
      </c>
      <c r="D26" s="25" t="str">
        <f>IFERROR(VLOOKUP(A26,Cálculos!$M:$Q,5,0),"")</f>
        <v/>
      </c>
      <c r="E26" s="1"/>
    </row>
    <row r="27" spans="1:5" ht="20" customHeight="1" x14ac:dyDescent="0.35">
      <c r="A27" s="24">
        <f t="shared" si="0"/>
        <v>25</v>
      </c>
      <c r="B27" s="1" t="str">
        <f>IF(IFERROR(VLOOKUP(A27,Cálculos!$M:$Q,2,0),"")=0,"não informado",IFERROR(VLOOKUP(A27,Cálculos!$M:$Q,2,0),""))</f>
        <v/>
      </c>
      <c r="C27" s="1" t="str">
        <f>IFERROR(VLOOKUP(A27,Cálculos!$M:$Q,3,0),"")</f>
        <v/>
      </c>
      <c r="D27" s="25" t="str">
        <f>IFERROR(VLOOKUP(A27,Cálculos!$M:$Q,5,0),"")</f>
        <v/>
      </c>
      <c r="E27" s="1"/>
    </row>
    <row r="28" spans="1:5" ht="20" customHeight="1" x14ac:dyDescent="0.35">
      <c r="A28" s="24">
        <f t="shared" si="0"/>
        <v>26</v>
      </c>
      <c r="B28" s="1" t="str">
        <f>IF(IFERROR(VLOOKUP(A28,Cálculos!$M:$Q,2,0),"")=0,"não informado",IFERROR(VLOOKUP(A28,Cálculos!$M:$Q,2,0),""))</f>
        <v/>
      </c>
      <c r="C28" s="1" t="str">
        <f>IFERROR(VLOOKUP(A28,Cálculos!$M:$Q,3,0),"")</f>
        <v/>
      </c>
      <c r="D28" s="25" t="str">
        <f>IFERROR(VLOOKUP(A28,Cálculos!$M:$Q,5,0),"")</f>
        <v/>
      </c>
      <c r="E28" s="1"/>
    </row>
    <row r="29" spans="1:5" ht="20" customHeight="1" x14ac:dyDescent="0.35">
      <c r="A29" s="24">
        <f t="shared" si="0"/>
        <v>27</v>
      </c>
      <c r="B29" s="1" t="str">
        <f>IF(IFERROR(VLOOKUP(A29,Cálculos!$M:$Q,2,0),"")=0,"não informado",IFERROR(VLOOKUP(A29,Cálculos!$M:$Q,2,0),""))</f>
        <v/>
      </c>
      <c r="C29" s="1" t="str">
        <f>IFERROR(VLOOKUP(A29,Cálculos!$M:$Q,3,0),"")</f>
        <v/>
      </c>
      <c r="D29" s="25" t="str">
        <f>IFERROR(VLOOKUP(A29,Cálculos!$M:$Q,5,0),"")</f>
        <v/>
      </c>
      <c r="E29" s="1"/>
    </row>
    <row r="30" spans="1:5" ht="20" customHeight="1" x14ac:dyDescent="0.35">
      <c r="A30" s="24">
        <f t="shared" si="0"/>
        <v>28</v>
      </c>
      <c r="B30" s="1" t="str">
        <f>IF(IFERROR(VLOOKUP(A30,Cálculos!$M:$Q,2,0),"")=0,"não informado",IFERROR(VLOOKUP(A30,Cálculos!$M:$Q,2,0),""))</f>
        <v/>
      </c>
      <c r="C30" s="1" t="str">
        <f>IFERROR(VLOOKUP(A30,Cálculos!$M:$Q,3,0),"")</f>
        <v/>
      </c>
      <c r="D30" s="25" t="str">
        <f>IFERROR(VLOOKUP(A30,Cálculos!$M:$Q,5,0),"")</f>
        <v/>
      </c>
      <c r="E30" s="1"/>
    </row>
    <row r="31" spans="1:5" ht="20" customHeight="1" x14ac:dyDescent="0.35">
      <c r="A31" s="24">
        <f t="shared" si="0"/>
        <v>29</v>
      </c>
      <c r="B31" s="1" t="str">
        <f>IF(IFERROR(VLOOKUP(A31,Cálculos!$M:$Q,2,0),"")=0,"não informado",IFERROR(VLOOKUP(A31,Cálculos!$M:$Q,2,0),""))</f>
        <v/>
      </c>
      <c r="C31" s="1" t="str">
        <f>IFERROR(VLOOKUP(A31,Cálculos!$M:$Q,3,0),"")</f>
        <v/>
      </c>
      <c r="D31" s="25" t="str">
        <f>IFERROR(VLOOKUP(A31,Cálculos!$M:$Q,5,0),"")</f>
        <v/>
      </c>
      <c r="E31" s="1"/>
    </row>
    <row r="32" spans="1:5" ht="20" customHeight="1" x14ac:dyDescent="0.35">
      <c r="A32" s="24">
        <f t="shared" si="0"/>
        <v>30</v>
      </c>
      <c r="B32" s="1" t="str">
        <f>IF(IFERROR(VLOOKUP(A32,Cálculos!$M:$Q,2,0),"")=0,"não informado",IFERROR(VLOOKUP(A32,Cálculos!$M:$Q,2,0),""))</f>
        <v/>
      </c>
      <c r="C32" s="1" t="str">
        <f>IFERROR(VLOOKUP(A32,Cálculos!$M:$Q,3,0),"")</f>
        <v/>
      </c>
      <c r="D32" s="25" t="str">
        <f>IFERROR(VLOOKUP(A32,Cálculos!$M:$Q,5,0),"")</f>
        <v/>
      </c>
      <c r="E32" s="1"/>
    </row>
    <row r="33" spans="1:5" ht="20" customHeight="1" x14ac:dyDescent="0.35">
      <c r="A33" s="24">
        <f t="shared" si="0"/>
        <v>31</v>
      </c>
      <c r="B33" s="1" t="str">
        <f>IF(IFERROR(VLOOKUP(A33,Cálculos!$M:$Q,2,0),"")=0,"não informado",IFERROR(VLOOKUP(A33,Cálculos!$M:$Q,2,0),""))</f>
        <v/>
      </c>
      <c r="C33" s="1" t="str">
        <f>IFERROR(VLOOKUP(A33,Cálculos!$M:$Q,3,0),"")</f>
        <v/>
      </c>
      <c r="D33" s="25" t="str">
        <f>IFERROR(VLOOKUP(A33,Cálculos!$M:$Q,5,0),"")</f>
        <v/>
      </c>
      <c r="E33" s="1"/>
    </row>
    <row r="34" spans="1:5" ht="20" customHeight="1" x14ac:dyDescent="0.35">
      <c r="A34" s="24">
        <f t="shared" si="0"/>
        <v>32</v>
      </c>
      <c r="B34" s="1" t="str">
        <f>IF(IFERROR(VLOOKUP(A34,Cálculos!$M:$Q,2,0),"")=0,"não informado",IFERROR(VLOOKUP(A34,Cálculos!$M:$Q,2,0),""))</f>
        <v/>
      </c>
      <c r="C34" s="1" t="str">
        <f>IFERROR(VLOOKUP(A34,Cálculos!$M:$Q,3,0),"")</f>
        <v/>
      </c>
      <c r="D34" s="25" t="str">
        <f>IFERROR(VLOOKUP(A34,Cálculos!$M:$Q,5,0),"")</f>
        <v/>
      </c>
      <c r="E34" s="1"/>
    </row>
    <row r="35" spans="1:5" ht="20" customHeight="1" x14ac:dyDescent="0.35">
      <c r="A35" s="24">
        <f t="shared" si="0"/>
        <v>33</v>
      </c>
      <c r="B35" s="1" t="str">
        <f>IF(IFERROR(VLOOKUP(A35,Cálculos!$M:$Q,2,0),"")=0,"não informado",IFERROR(VLOOKUP(A35,Cálculos!$M:$Q,2,0),""))</f>
        <v/>
      </c>
      <c r="C35" s="1" t="str">
        <f>IFERROR(VLOOKUP(A35,Cálculos!$M:$Q,3,0),"")</f>
        <v/>
      </c>
      <c r="D35" s="25" t="str">
        <f>IFERROR(VLOOKUP(A35,Cálculos!$M:$Q,5,0),"")</f>
        <v/>
      </c>
      <c r="E35" s="1"/>
    </row>
    <row r="36" spans="1:5" ht="20" customHeight="1" x14ac:dyDescent="0.35">
      <c r="A36" s="24">
        <f t="shared" si="0"/>
        <v>34</v>
      </c>
      <c r="B36" s="1" t="str">
        <f>IF(IFERROR(VLOOKUP(A36,Cálculos!$M:$Q,2,0),"")=0,"não informado",IFERROR(VLOOKUP(A36,Cálculos!$M:$Q,2,0),""))</f>
        <v/>
      </c>
      <c r="C36" s="1" t="str">
        <f>IFERROR(VLOOKUP(A36,Cálculos!$M:$Q,3,0),"")</f>
        <v/>
      </c>
      <c r="D36" s="25" t="str">
        <f>IFERROR(VLOOKUP(A36,Cálculos!$M:$Q,5,0),"")</f>
        <v/>
      </c>
      <c r="E36" s="1"/>
    </row>
    <row r="37" spans="1:5" ht="20" customHeight="1" x14ac:dyDescent="0.35">
      <c r="A37" s="24">
        <f t="shared" si="0"/>
        <v>35</v>
      </c>
      <c r="B37" s="1" t="str">
        <f>IF(IFERROR(VLOOKUP(A37,Cálculos!$M:$Q,2,0),"")=0,"não informado",IFERROR(VLOOKUP(A37,Cálculos!$M:$Q,2,0),""))</f>
        <v/>
      </c>
      <c r="C37" s="1" t="str">
        <f>IFERROR(VLOOKUP(A37,Cálculos!$M:$Q,3,0),"")</f>
        <v/>
      </c>
      <c r="D37" s="25" t="str">
        <f>IFERROR(VLOOKUP(A37,Cálculos!$M:$Q,5,0),"")</f>
        <v/>
      </c>
      <c r="E37" s="1"/>
    </row>
    <row r="38" spans="1:5" ht="20" customHeight="1" x14ac:dyDescent="0.35">
      <c r="A38" s="24">
        <f t="shared" si="0"/>
        <v>36</v>
      </c>
      <c r="B38" s="1" t="str">
        <f>IF(IFERROR(VLOOKUP(A38,Cálculos!$M:$Q,2,0),"")=0,"não informado",IFERROR(VLOOKUP(A38,Cálculos!$M:$Q,2,0),""))</f>
        <v/>
      </c>
      <c r="C38" s="1" t="str">
        <f>IFERROR(VLOOKUP(A38,Cálculos!$M:$Q,3,0),"")</f>
        <v/>
      </c>
      <c r="D38" s="25" t="str">
        <f>IFERROR(VLOOKUP(A38,Cálculos!$M:$Q,5,0),"")</f>
        <v/>
      </c>
      <c r="E38" s="1"/>
    </row>
    <row r="39" spans="1:5" ht="20" customHeight="1" x14ac:dyDescent="0.35">
      <c r="A39" s="24">
        <f t="shared" si="0"/>
        <v>37</v>
      </c>
      <c r="B39" s="1" t="str">
        <f>IF(IFERROR(VLOOKUP(A39,Cálculos!$M:$Q,2,0),"")=0,"não informado",IFERROR(VLOOKUP(A39,Cálculos!$M:$Q,2,0),""))</f>
        <v/>
      </c>
      <c r="C39" s="1" t="str">
        <f>IFERROR(VLOOKUP(A39,Cálculos!$M:$Q,3,0),"")</f>
        <v/>
      </c>
      <c r="D39" s="25" t="str">
        <f>IFERROR(VLOOKUP(A39,Cálculos!$M:$Q,5,0),"")</f>
        <v/>
      </c>
      <c r="E39" s="1"/>
    </row>
    <row r="40" spans="1:5" ht="20" customHeight="1" x14ac:dyDescent="0.35">
      <c r="A40" s="24">
        <f t="shared" si="0"/>
        <v>38</v>
      </c>
      <c r="B40" s="1" t="str">
        <f>IF(IFERROR(VLOOKUP(A40,Cálculos!$M:$Q,2,0),"")=0,"não informado",IFERROR(VLOOKUP(A40,Cálculos!$M:$Q,2,0),""))</f>
        <v/>
      </c>
      <c r="C40" s="1" t="str">
        <f>IFERROR(VLOOKUP(A40,Cálculos!$M:$Q,3,0),"")</f>
        <v/>
      </c>
      <c r="D40" s="25" t="str">
        <f>IFERROR(VLOOKUP(A40,Cálculos!$M:$Q,5,0),"")</f>
        <v/>
      </c>
      <c r="E40" s="1"/>
    </row>
    <row r="41" spans="1:5" ht="20" customHeight="1" x14ac:dyDescent="0.35">
      <c r="A41" s="24">
        <f t="shared" si="0"/>
        <v>39</v>
      </c>
      <c r="B41" s="1" t="str">
        <f>IF(IFERROR(VLOOKUP(A41,Cálculos!$M:$Q,2,0),"")=0,"não informado",IFERROR(VLOOKUP(A41,Cálculos!$M:$Q,2,0),""))</f>
        <v/>
      </c>
      <c r="C41" s="1" t="str">
        <f>IFERROR(VLOOKUP(A41,Cálculos!$M:$Q,3,0),"")</f>
        <v/>
      </c>
      <c r="D41" s="25" t="str">
        <f>IFERROR(VLOOKUP(A41,Cálculos!$M:$Q,5,0),"")</f>
        <v/>
      </c>
      <c r="E41" s="1"/>
    </row>
    <row r="42" spans="1:5" ht="20" customHeight="1" x14ac:dyDescent="0.35">
      <c r="A42" s="24">
        <f t="shared" si="0"/>
        <v>40</v>
      </c>
      <c r="B42" s="1" t="str">
        <f>IF(IFERROR(VLOOKUP(A42,Cálculos!$M:$Q,2,0),"")=0,"não informado",IFERROR(VLOOKUP(A42,Cálculos!$M:$Q,2,0),""))</f>
        <v/>
      </c>
      <c r="C42" s="1" t="str">
        <f>IFERROR(VLOOKUP(A42,Cálculos!$M:$Q,3,0),"")</f>
        <v/>
      </c>
      <c r="D42" s="25" t="str">
        <f>IFERROR(VLOOKUP(A42,Cálculos!$M:$Q,5,0),"")</f>
        <v/>
      </c>
      <c r="E42" s="1"/>
    </row>
    <row r="43" spans="1:5" ht="20" customHeight="1" x14ac:dyDescent="0.35">
      <c r="A43" s="24">
        <f t="shared" si="0"/>
        <v>41</v>
      </c>
      <c r="B43" s="1" t="str">
        <f>IF(IFERROR(VLOOKUP(A43,Cálculos!$M:$Q,2,0),"")=0,"não informado",IFERROR(VLOOKUP(A43,Cálculos!$M:$Q,2,0),""))</f>
        <v/>
      </c>
      <c r="C43" s="1" t="str">
        <f>IFERROR(VLOOKUP(A43,Cálculos!$M:$Q,3,0),"")</f>
        <v/>
      </c>
      <c r="D43" s="25" t="str">
        <f>IFERROR(VLOOKUP(A43,Cálculos!$M:$Q,5,0),"")</f>
        <v/>
      </c>
      <c r="E43" s="1"/>
    </row>
    <row r="44" spans="1:5" ht="20" customHeight="1" x14ac:dyDescent="0.35">
      <c r="A44" s="24">
        <f t="shared" si="0"/>
        <v>42</v>
      </c>
      <c r="B44" s="1" t="str">
        <f>IF(IFERROR(VLOOKUP(A44,Cálculos!$M:$Q,2,0),"")=0,"não informado",IFERROR(VLOOKUP(A44,Cálculos!$M:$Q,2,0),""))</f>
        <v/>
      </c>
      <c r="C44" s="1" t="str">
        <f>IFERROR(VLOOKUP(A44,Cálculos!$M:$Q,3,0),"")</f>
        <v/>
      </c>
      <c r="D44" s="25" t="str">
        <f>IFERROR(VLOOKUP(A44,Cálculos!$M:$Q,5,0),"")</f>
        <v/>
      </c>
      <c r="E44" s="1"/>
    </row>
    <row r="45" spans="1:5" ht="20" customHeight="1" x14ac:dyDescent="0.35">
      <c r="A45" s="24">
        <f t="shared" si="0"/>
        <v>43</v>
      </c>
      <c r="B45" s="1" t="str">
        <f>IF(IFERROR(VLOOKUP(A45,Cálculos!$M:$Q,2,0),"")=0,"não informado",IFERROR(VLOOKUP(A45,Cálculos!$M:$Q,2,0),""))</f>
        <v/>
      </c>
      <c r="C45" s="1" t="str">
        <f>IFERROR(VLOOKUP(A45,Cálculos!$M:$Q,3,0),"")</f>
        <v/>
      </c>
      <c r="D45" s="25" t="str">
        <f>IFERROR(VLOOKUP(A45,Cálculos!$M:$Q,5,0),"")</f>
        <v/>
      </c>
      <c r="E45" s="1"/>
    </row>
    <row r="46" spans="1:5" ht="20" customHeight="1" x14ac:dyDescent="0.35">
      <c r="A46" s="24">
        <f t="shared" si="0"/>
        <v>44</v>
      </c>
      <c r="B46" s="1" t="str">
        <f>IF(IFERROR(VLOOKUP(A46,Cálculos!$M:$Q,2,0),"")=0,"não informado",IFERROR(VLOOKUP(A46,Cálculos!$M:$Q,2,0),""))</f>
        <v/>
      </c>
      <c r="C46" s="1" t="str">
        <f>IFERROR(VLOOKUP(A46,Cálculos!$M:$Q,3,0),"")</f>
        <v/>
      </c>
      <c r="D46" s="25" t="str">
        <f>IFERROR(VLOOKUP(A46,Cálculos!$M:$Q,5,0),"")</f>
        <v/>
      </c>
      <c r="E46" s="1"/>
    </row>
    <row r="47" spans="1:5" ht="20" customHeight="1" x14ac:dyDescent="0.35">
      <c r="A47" s="24">
        <f t="shared" si="0"/>
        <v>45</v>
      </c>
      <c r="B47" s="1" t="str">
        <f>IF(IFERROR(VLOOKUP(A47,Cálculos!$M:$Q,2,0),"")=0,"não informado",IFERROR(VLOOKUP(A47,Cálculos!$M:$Q,2,0),""))</f>
        <v/>
      </c>
      <c r="C47" s="1" t="str">
        <f>IFERROR(VLOOKUP(A47,Cálculos!$M:$Q,3,0),"")</f>
        <v/>
      </c>
      <c r="D47" s="25" t="str">
        <f>IFERROR(VLOOKUP(A47,Cálculos!$M:$Q,5,0),"")</f>
        <v/>
      </c>
      <c r="E47" s="1"/>
    </row>
    <row r="48" spans="1:5" ht="20" customHeight="1" x14ac:dyDescent="0.35">
      <c r="A48" s="24">
        <f t="shared" si="0"/>
        <v>46</v>
      </c>
      <c r="B48" s="1" t="str">
        <f>IF(IFERROR(VLOOKUP(A48,Cálculos!$M:$Q,2,0),"")=0,"não informado",IFERROR(VLOOKUP(A48,Cálculos!$M:$Q,2,0),""))</f>
        <v/>
      </c>
      <c r="C48" s="1" t="str">
        <f>IFERROR(VLOOKUP(A48,Cálculos!$M:$Q,3,0),"")</f>
        <v/>
      </c>
      <c r="D48" s="25" t="str">
        <f>IFERROR(VLOOKUP(A48,Cálculos!$M:$Q,5,0),"")</f>
        <v/>
      </c>
      <c r="E48" s="1"/>
    </row>
    <row r="49" spans="1:5" ht="20" customHeight="1" x14ac:dyDescent="0.35">
      <c r="A49" s="24">
        <f t="shared" si="0"/>
        <v>47</v>
      </c>
      <c r="B49" s="1" t="str">
        <f>IF(IFERROR(VLOOKUP(A49,Cálculos!$M:$Q,2,0),"")=0,"não informado",IFERROR(VLOOKUP(A49,Cálculos!$M:$Q,2,0),""))</f>
        <v/>
      </c>
      <c r="C49" s="1" t="str">
        <f>IFERROR(VLOOKUP(A49,Cálculos!$M:$Q,3,0),"")</f>
        <v/>
      </c>
      <c r="D49" s="25" t="str">
        <f>IFERROR(VLOOKUP(A49,Cálculos!$M:$Q,5,0),"")</f>
        <v/>
      </c>
      <c r="E49" s="1"/>
    </row>
    <row r="50" spans="1:5" ht="20" customHeight="1" x14ac:dyDescent="0.35">
      <c r="A50" s="24">
        <f t="shared" si="0"/>
        <v>48</v>
      </c>
      <c r="B50" s="1" t="str">
        <f>IF(IFERROR(VLOOKUP(A50,Cálculos!$M:$Q,2,0),"")=0,"não informado",IFERROR(VLOOKUP(A50,Cálculos!$M:$Q,2,0),""))</f>
        <v/>
      </c>
      <c r="C50" s="1" t="str">
        <f>IFERROR(VLOOKUP(A50,Cálculos!$M:$Q,3,0),"")</f>
        <v/>
      </c>
      <c r="D50" s="25" t="str">
        <f>IFERROR(VLOOKUP(A50,Cálculos!$M:$Q,5,0),"")</f>
        <v/>
      </c>
      <c r="E50" s="1"/>
    </row>
    <row r="51" spans="1:5" ht="20" customHeight="1" x14ac:dyDescent="0.35">
      <c r="A51" s="24">
        <f t="shared" si="0"/>
        <v>49</v>
      </c>
      <c r="B51" s="1" t="str">
        <f>IF(IFERROR(VLOOKUP(A51,Cálculos!$M:$Q,2,0),"")=0,"não informado",IFERROR(VLOOKUP(A51,Cálculos!$M:$Q,2,0),""))</f>
        <v/>
      </c>
      <c r="C51" s="1" t="str">
        <f>IFERROR(VLOOKUP(A51,Cálculos!$M:$Q,3,0),"")</f>
        <v/>
      </c>
      <c r="D51" s="25" t="str">
        <f>IFERROR(VLOOKUP(A51,Cálculos!$M:$Q,5,0),"")</f>
        <v/>
      </c>
      <c r="E51" s="1"/>
    </row>
    <row r="52" spans="1:5" ht="20" customHeight="1" x14ac:dyDescent="0.35">
      <c r="A52" s="24">
        <f t="shared" si="0"/>
        <v>50</v>
      </c>
      <c r="B52" s="1" t="str">
        <f>IF(IFERROR(VLOOKUP(A52,Cálculos!$M:$Q,2,0),"")=0,"não informado",IFERROR(VLOOKUP(A52,Cálculos!$M:$Q,2,0),""))</f>
        <v/>
      </c>
      <c r="C52" s="1" t="str">
        <f>IFERROR(VLOOKUP(A52,Cálculos!$M:$Q,3,0),"")</f>
        <v/>
      </c>
      <c r="D52" s="25" t="str">
        <f>IFERROR(VLOOKUP(A52,Cálculos!$M:$Q,5,0),"")</f>
        <v/>
      </c>
      <c r="E52" s="1"/>
    </row>
    <row r="53" spans="1:5" ht="20" customHeight="1" x14ac:dyDescent="0.35">
      <c r="A53" s="24">
        <f t="shared" si="0"/>
        <v>51</v>
      </c>
      <c r="B53" s="1" t="str">
        <f>IF(IFERROR(VLOOKUP(A53,Cálculos!$M:$Q,2,0),"")=0,"não informado",IFERROR(VLOOKUP(A53,Cálculos!$M:$Q,2,0),""))</f>
        <v/>
      </c>
      <c r="C53" s="1" t="str">
        <f>IFERROR(VLOOKUP(A53,Cálculos!$M:$Q,3,0),"")</f>
        <v/>
      </c>
      <c r="D53" s="25" t="str">
        <f>IFERROR(VLOOKUP(A53,Cálculos!$M:$Q,5,0),"")</f>
        <v/>
      </c>
      <c r="E53" s="1"/>
    </row>
    <row r="54" spans="1:5" ht="20" customHeight="1" x14ac:dyDescent="0.35">
      <c r="A54" s="24">
        <f t="shared" si="0"/>
        <v>52</v>
      </c>
      <c r="B54" s="1" t="str">
        <f>IF(IFERROR(VLOOKUP(A54,Cálculos!$M:$Q,2,0),"")=0,"não informado",IFERROR(VLOOKUP(A54,Cálculos!$M:$Q,2,0),""))</f>
        <v/>
      </c>
      <c r="C54" s="1" t="str">
        <f>IFERROR(VLOOKUP(A54,Cálculos!$M:$Q,3,0),"")</f>
        <v/>
      </c>
      <c r="D54" s="25" t="str">
        <f>IFERROR(VLOOKUP(A54,Cálculos!$M:$Q,5,0),"")</f>
        <v/>
      </c>
      <c r="E54" s="1"/>
    </row>
    <row r="55" spans="1:5" ht="20" customHeight="1" x14ac:dyDescent="0.35">
      <c r="A55" s="24">
        <f t="shared" si="0"/>
        <v>53</v>
      </c>
      <c r="B55" s="1" t="str">
        <f>IF(IFERROR(VLOOKUP(A55,Cálculos!$M:$Q,2,0),"")=0,"não informado",IFERROR(VLOOKUP(A55,Cálculos!$M:$Q,2,0),""))</f>
        <v/>
      </c>
      <c r="C55" s="1" t="str">
        <f>IFERROR(VLOOKUP(A55,Cálculos!$M:$Q,3,0),"")</f>
        <v/>
      </c>
      <c r="D55" s="25" t="str">
        <f>IFERROR(VLOOKUP(A55,Cálculos!$M:$Q,5,0),"")</f>
        <v/>
      </c>
      <c r="E55" s="1"/>
    </row>
    <row r="56" spans="1:5" ht="20" customHeight="1" x14ac:dyDescent="0.35">
      <c r="A56" s="24">
        <f t="shared" si="0"/>
        <v>54</v>
      </c>
      <c r="B56" s="1" t="str">
        <f>IF(IFERROR(VLOOKUP(A56,Cálculos!$M:$Q,2,0),"")=0,"não informado",IFERROR(VLOOKUP(A56,Cálculos!$M:$Q,2,0),""))</f>
        <v/>
      </c>
      <c r="C56" s="1" t="str">
        <f>IFERROR(VLOOKUP(A56,Cálculos!$M:$Q,3,0),"")</f>
        <v/>
      </c>
      <c r="D56" s="25" t="str">
        <f>IFERROR(VLOOKUP(A56,Cálculos!$M:$Q,5,0),"")</f>
        <v/>
      </c>
      <c r="E56" s="1"/>
    </row>
    <row r="57" spans="1:5" ht="20" customHeight="1" x14ac:dyDescent="0.35">
      <c r="A57" s="24">
        <f t="shared" si="0"/>
        <v>55</v>
      </c>
      <c r="B57" s="1" t="str">
        <f>IF(IFERROR(VLOOKUP(A57,Cálculos!$M:$Q,2,0),"")=0,"não informado",IFERROR(VLOOKUP(A57,Cálculos!$M:$Q,2,0),""))</f>
        <v/>
      </c>
      <c r="C57" s="1" t="str">
        <f>IFERROR(VLOOKUP(A57,Cálculos!$M:$Q,3,0),"")</f>
        <v/>
      </c>
      <c r="D57" s="25" t="str">
        <f>IFERROR(VLOOKUP(A57,Cálculos!$M:$Q,5,0),"")</f>
        <v/>
      </c>
      <c r="E57" s="1"/>
    </row>
    <row r="58" spans="1:5" ht="20" customHeight="1" x14ac:dyDescent="0.35">
      <c r="A58" s="24">
        <f t="shared" si="0"/>
        <v>56</v>
      </c>
      <c r="B58" s="1" t="str">
        <f>IF(IFERROR(VLOOKUP(A58,Cálculos!$M:$Q,2,0),"")=0,"não informado",IFERROR(VLOOKUP(A58,Cálculos!$M:$Q,2,0),""))</f>
        <v/>
      </c>
      <c r="C58" s="1" t="str">
        <f>IFERROR(VLOOKUP(A58,Cálculos!$M:$Q,3,0),"")</f>
        <v/>
      </c>
      <c r="D58" s="25" t="str">
        <f>IFERROR(VLOOKUP(A58,Cálculos!$M:$Q,5,0),"")</f>
        <v/>
      </c>
      <c r="E58" s="1"/>
    </row>
    <row r="59" spans="1:5" ht="20" customHeight="1" x14ac:dyDescent="0.35">
      <c r="A59" s="24">
        <f t="shared" si="0"/>
        <v>57</v>
      </c>
      <c r="B59" s="1" t="str">
        <f>IF(IFERROR(VLOOKUP(A59,Cálculos!$M:$Q,2,0),"")=0,"não informado",IFERROR(VLOOKUP(A59,Cálculos!$M:$Q,2,0),""))</f>
        <v/>
      </c>
      <c r="C59" s="1" t="str">
        <f>IFERROR(VLOOKUP(A59,Cálculos!$M:$Q,3,0),"")</f>
        <v/>
      </c>
      <c r="D59" s="25" t="str">
        <f>IFERROR(VLOOKUP(A59,Cálculos!$M:$Q,5,0),"")</f>
        <v/>
      </c>
      <c r="E59" s="1"/>
    </row>
    <row r="60" spans="1:5" ht="20" customHeight="1" x14ac:dyDescent="0.35">
      <c r="A60" s="24">
        <f t="shared" si="0"/>
        <v>58</v>
      </c>
      <c r="B60" s="1" t="str">
        <f>IF(IFERROR(VLOOKUP(A60,Cálculos!$M:$Q,2,0),"")=0,"não informado",IFERROR(VLOOKUP(A60,Cálculos!$M:$Q,2,0),""))</f>
        <v/>
      </c>
      <c r="C60" s="1" t="str">
        <f>IFERROR(VLOOKUP(A60,Cálculos!$M:$Q,3,0),"")</f>
        <v/>
      </c>
      <c r="D60" s="25" t="str">
        <f>IFERROR(VLOOKUP(A60,Cálculos!$M:$Q,5,0),"")</f>
        <v/>
      </c>
      <c r="E60" s="1"/>
    </row>
    <row r="61" spans="1:5" ht="20" customHeight="1" x14ac:dyDescent="0.35">
      <c r="A61" s="24">
        <f t="shared" si="0"/>
        <v>59</v>
      </c>
      <c r="B61" s="1" t="str">
        <f>IF(IFERROR(VLOOKUP(A61,Cálculos!$M:$Q,2,0),"")=0,"não informado",IFERROR(VLOOKUP(A61,Cálculos!$M:$Q,2,0),""))</f>
        <v/>
      </c>
      <c r="C61" s="1" t="str">
        <f>IFERROR(VLOOKUP(A61,Cálculos!$M:$Q,3,0),"")</f>
        <v/>
      </c>
      <c r="D61" s="25" t="str">
        <f>IFERROR(VLOOKUP(A61,Cálculos!$M:$Q,5,0),"")</f>
        <v/>
      </c>
      <c r="E61" s="1"/>
    </row>
    <row r="62" spans="1:5" ht="20" customHeight="1" x14ac:dyDescent="0.35">
      <c r="A62" s="24">
        <f t="shared" si="0"/>
        <v>60</v>
      </c>
      <c r="B62" s="1" t="str">
        <f>IF(IFERROR(VLOOKUP(A62,Cálculos!$M:$Q,2,0),"")=0,"não informado",IFERROR(VLOOKUP(A62,Cálculos!$M:$Q,2,0),""))</f>
        <v/>
      </c>
      <c r="C62" s="1" t="str">
        <f>IFERROR(VLOOKUP(A62,Cálculos!$M:$Q,3,0),"")</f>
        <v/>
      </c>
      <c r="D62" s="25" t="str">
        <f>IFERROR(VLOOKUP(A62,Cálculos!$M:$Q,5,0),"")</f>
        <v/>
      </c>
      <c r="E62" s="1"/>
    </row>
    <row r="63" spans="1:5" ht="20" customHeight="1" x14ac:dyDescent="0.35">
      <c r="A63" s="24">
        <f t="shared" si="0"/>
        <v>61</v>
      </c>
      <c r="B63" s="1" t="str">
        <f>IF(IFERROR(VLOOKUP(A63,Cálculos!$M:$Q,2,0),"")=0,"não informado",IFERROR(VLOOKUP(A63,Cálculos!$M:$Q,2,0),""))</f>
        <v/>
      </c>
      <c r="C63" s="1" t="str">
        <f>IFERROR(VLOOKUP(A63,Cálculos!$M:$Q,3,0),"")</f>
        <v/>
      </c>
      <c r="D63" s="25" t="str">
        <f>IFERROR(VLOOKUP(A63,Cálculos!$M:$Q,5,0),"")</f>
        <v/>
      </c>
      <c r="E63" s="1"/>
    </row>
    <row r="64" spans="1:5" ht="20" customHeight="1" x14ac:dyDescent="0.35">
      <c r="A64" s="24">
        <f t="shared" si="0"/>
        <v>62</v>
      </c>
      <c r="B64" s="1" t="str">
        <f>IF(IFERROR(VLOOKUP(A64,Cálculos!$M:$Q,2,0),"")=0,"não informado",IFERROR(VLOOKUP(A64,Cálculos!$M:$Q,2,0),""))</f>
        <v/>
      </c>
      <c r="C64" s="1" t="str">
        <f>IFERROR(VLOOKUP(A64,Cálculos!$M:$Q,3,0),"")</f>
        <v/>
      </c>
      <c r="D64" s="25" t="str">
        <f>IFERROR(VLOOKUP(A64,Cálculos!$M:$Q,5,0),"")</f>
        <v/>
      </c>
      <c r="E64" s="1"/>
    </row>
    <row r="65" spans="1:5" ht="20" customHeight="1" x14ac:dyDescent="0.35">
      <c r="A65" s="24">
        <f t="shared" si="0"/>
        <v>63</v>
      </c>
      <c r="B65" s="1" t="str">
        <f>IF(IFERROR(VLOOKUP(A65,Cálculos!$M:$Q,2,0),"")=0,"não informado",IFERROR(VLOOKUP(A65,Cálculos!$M:$Q,2,0),""))</f>
        <v/>
      </c>
      <c r="C65" s="1" t="str">
        <f>IFERROR(VLOOKUP(A65,Cálculos!$M:$Q,3,0),"")</f>
        <v/>
      </c>
      <c r="D65" s="25" t="str">
        <f>IFERROR(VLOOKUP(A65,Cálculos!$M:$Q,5,0),"")</f>
        <v/>
      </c>
      <c r="E65" s="1"/>
    </row>
    <row r="66" spans="1:5" ht="20" customHeight="1" x14ac:dyDescent="0.35">
      <c r="A66" s="24">
        <f t="shared" si="0"/>
        <v>64</v>
      </c>
      <c r="B66" s="1" t="str">
        <f>IF(IFERROR(VLOOKUP(A66,Cálculos!$M:$Q,2,0),"")=0,"não informado",IFERROR(VLOOKUP(A66,Cálculos!$M:$Q,2,0),""))</f>
        <v/>
      </c>
      <c r="C66" s="1" t="str">
        <f>IFERROR(VLOOKUP(A66,Cálculos!$M:$Q,3,0),"")</f>
        <v/>
      </c>
      <c r="D66" s="25" t="str">
        <f>IFERROR(VLOOKUP(A66,Cálculos!$M:$Q,5,0),"")</f>
        <v/>
      </c>
      <c r="E66" s="1"/>
    </row>
    <row r="67" spans="1:5" ht="20" customHeight="1" x14ac:dyDescent="0.35">
      <c r="A67" s="24">
        <f t="shared" si="0"/>
        <v>65</v>
      </c>
      <c r="B67" s="1" t="str">
        <f>IF(IFERROR(VLOOKUP(A67,Cálculos!$M:$Q,2,0),"")=0,"não informado",IFERROR(VLOOKUP(A67,Cálculos!$M:$Q,2,0),""))</f>
        <v/>
      </c>
      <c r="C67" s="1" t="str">
        <f>IFERROR(VLOOKUP(A67,Cálculos!$M:$Q,3,0),"")</f>
        <v/>
      </c>
      <c r="D67" s="25" t="str">
        <f>IFERROR(VLOOKUP(A67,Cálculos!$M:$Q,5,0),"")</f>
        <v/>
      </c>
      <c r="E67" s="1"/>
    </row>
    <row r="68" spans="1:5" ht="20" customHeight="1" x14ac:dyDescent="0.35">
      <c r="A68" s="24">
        <f t="shared" si="0"/>
        <v>66</v>
      </c>
      <c r="B68" s="1" t="str">
        <f>IF(IFERROR(VLOOKUP(A68,Cálculos!$M:$Q,2,0),"")=0,"não informado",IFERROR(VLOOKUP(A68,Cálculos!$M:$Q,2,0),""))</f>
        <v/>
      </c>
      <c r="C68" s="1" t="str">
        <f>IFERROR(VLOOKUP(A68,Cálculos!$M:$Q,3,0),"")</f>
        <v/>
      </c>
      <c r="D68" s="25" t="str">
        <f>IFERROR(VLOOKUP(A68,Cálculos!$M:$Q,5,0),"")</f>
        <v/>
      </c>
      <c r="E68" s="1"/>
    </row>
    <row r="69" spans="1:5" ht="20" customHeight="1" x14ac:dyDescent="0.35">
      <c r="A69" s="24">
        <f>A68+1</f>
        <v>67</v>
      </c>
      <c r="B69" s="1" t="str">
        <f>IF(IFERROR(VLOOKUP(A69,Cálculos!$M:$Q,2,0),"")=0,"não informado",IFERROR(VLOOKUP(A69,Cálculos!$M:$Q,2,0),""))</f>
        <v/>
      </c>
      <c r="C69" s="1" t="str">
        <f>IFERROR(VLOOKUP(A69,Cálculos!$M:$Q,3,0),"")</f>
        <v/>
      </c>
      <c r="D69" s="25" t="str">
        <f>IFERROR(VLOOKUP(A69,Cálculos!$M:$Q,5,0),"")</f>
        <v/>
      </c>
      <c r="E69" s="1"/>
    </row>
    <row r="70" spans="1:5" ht="20" customHeight="1" x14ac:dyDescent="0.35">
      <c r="A70" s="24">
        <f>A69+1</f>
        <v>68</v>
      </c>
      <c r="B70" s="1" t="str">
        <f>IF(IFERROR(VLOOKUP(A70,Cálculos!$M:$Q,2,0),"")=0,"não informado",IFERROR(VLOOKUP(A70,Cálculos!$M:$Q,2,0),""))</f>
        <v/>
      </c>
      <c r="C70" s="1" t="str">
        <f>IFERROR(VLOOKUP(A70,Cálculos!$M:$Q,3,0),"")</f>
        <v/>
      </c>
      <c r="D70" s="25" t="str">
        <f>IFERROR(VLOOKUP(A70,Cálculos!$M:$Q,5,0),"")</f>
        <v/>
      </c>
      <c r="E70" s="1"/>
    </row>
    <row r="71" spans="1:5" ht="20" customHeight="1" x14ac:dyDescent="0.35">
      <c r="A71" s="24">
        <f>A70+1</f>
        <v>69</v>
      </c>
      <c r="B71" s="1" t="str">
        <f>IF(IFERROR(VLOOKUP(A71,Cálculos!$M:$Q,2,0),"")=0,"não informado",IFERROR(VLOOKUP(A71,Cálculos!$M:$Q,2,0),""))</f>
        <v/>
      </c>
      <c r="C71" s="1" t="str">
        <f>IFERROR(VLOOKUP(A71,Cálculos!$M:$Q,3,0),"")</f>
        <v/>
      </c>
      <c r="D71" s="25" t="str">
        <f>IFERROR(VLOOKUP(A71,Cálculos!$M:$Q,5,0),"")</f>
        <v/>
      </c>
      <c r="E71" s="1"/>
    </row>
    <row r="72" spans="1:5" ht="20" customHeight="1" x14ac:dyDescent="0.35">
      <c r="A72" s="24">
        <f>A71+1</f>
        <v>70</v>
      </c>
      <c r="B72" s="1" t="str">
        <f>IF(IFERROR(VLOOKUP(A72,Cálculos!$M:$Q,2,0),"")=0,"não informado",IFERROR(VLOOKUP(A72,Cálculos!$M:$Q,2,0),""))</f>
        <v/>
      </c>
      <c r="C72" s="1" t="str">
        <f>IFERROR(VLOOKUP(A72,Cálculos!$M:$Q,3,0),"")</f>
        <v/>
      </c>
      <c r="D72" s="25" t="str">
        <f>IFERROR(VLOOKUP(A72,Cálculos!$M:$Q,5,0),"")</f>
        <v/>
      </c>
      <c r="E72" s="1"/>
    </row>
    <row r="73" spans="1:5" ht="20" customHeight="1" x14ac:dyDescent="0.35">
      <c r="B73" s="1" t="str">
        <f>IF(IFERROR(VLOOKUP(A73,Cálculos!$M:$Q,2,0),"")=0,"não informado",IFERROR(VLOOKUP(A73,Cálculos!$M:$Q,2,0),""))</f>
        <v/>
      </c>
      <c r="C73" s="1" t="str">
        <f>IFERROR(VLOOKUP(A73,Cálculos!$M:$Q,3,0),"")</f>
        <v/>
      </c>
      <c r="D73" s="25" t="str">
        <f>IFERROR(VLOOKUP(A73,Cálculos!$M:$Q,5,0),"")</f>
        <v/>
      </c>
    </row>
    <row r="74" spans="1:5" ht="20" customHeight="1" x14ac:dyDescent="0.35">
      <c r="B74" s="1" t="str">
        <f>IF(IFERROR(VLOOKUP(A74,Cálculos!$M:$Q,2,0),"")=0,"não informado",IFERROR(VLOOKUP(A74,Cálculos!$M:$Q,2,0),""))</f>
        <v/>
      </c>
      <c r="C74" s="1" t="str">
        <f>IFERROR(VLOOKUP(A74,Cálculos!$M:$Q,3,0),"")</f>
        <v/>
      </c>
      <c r="D74" s="25" t="str">
        <f>IFERROR(VLOOKUP(A74,Cálculos!$M:$Q,5,0),"")</f>
        <v/>
      </c>
    </row>
    <row r="75" spans="1:5" ht="20" customHeight="1" x14ac:dyDescent="0.35">
      <c r="B75" s="1" t="str">
        <f>IF(IFERROR(VLOOKUP(A75,Cálculos!$M:$Q,2,0),"")=0,"não informado",IFERROR(VLOOKUP(A75,Cálculos!$M:$Q,2,0),""))</f>
        <v/>
      </c>
      <c r="C75" s="1" t="str">
        <f>IFERROR(VLOOKUP(A75,Cálculos!$M:$Q,3,0),"")</f>
        <v/>
      </c>
      <c r="D75" s="25" t="str">
        <f>IFERROR(VLOOKUP(A75,Cálculos!$M:$Q,5,0),"")</f>
        <v/>
      </c>
    </row>
    <row r="76" spans="1:5" ht="20" customHeight="1" x14ac:dyDescent="0.35">
      <c r="B76" s="1" t="str">
        <f>IF(IFERROR(VLOOKUP(A76,Cálculos!$M:$Q,2,0),"")=0,"não informado",IFERROR(VLOOKUP(A76,Cálculos!$M:$Q,2,0),""))</f>
        <v/>
      </c>
      <c r="C76" s="1" t="str">
        <f>IFERROR(VLOOKUP(A76,Cálculos!$M:$Q,3,0),"")</f>
        <v/>
      </c>
      <c r="D76" s="25" t="str">
        <f>IFERROR(VLOOKUP(A76,Cálculos!$M:$Q,5,0),"")</f>
        <v/>
      </c>
    </row>
    <row r="77" spans="1:5" ht="20" customHeight="1" x14ac:dyDescent="0.35">
      <c r="B77" s="1" t="str">
        <f>IF(IFERROR(VLOOKUP(A77,Cálculos!$M:$Q,2,0),"")=0,"não informado",IFERROR(VLOOKUP(A77,Cálculos!$M:$Q,2,0),""))</f>
        <v/>
      </c>
      <c r="C77" s="1" t="str">
        <f>IFERROR(VLOOKUP(A77,Cálculos!$M:$Q,3,0),"")</f>
        <v/>
      </c>
      <c r="D77" s="25" t="str">
        <f>IFERROR(VLOOKUP(A77,Cálculos!$M:$Q,5,0),"")</f>
        <v/>
      </c>
    </row>
    <row r="78" spans="1:5" ht="20" customHeight="1" x14ac:dyDescent="0.35">
      <c r="B78" s="1" t="str">
        <f>IF(IFERROR(VLOOKUP(A78,Cálculos!$M:$Q,2,0),"")=0,"não informado",IFERROR(VLOOKUP(A78,Cálculos!$M:$Q,2,0),""))</f>
        <v/>
      </c>
      <c r="C78" s="1" t="str">
        <f>IFERROR(VLOOKUP(A78,Cálculos!$M:$Q,3,0),"")</f>
        <v/>
      </c>
      <c r="D78" s="25" t="str">
        <f>IFERROR(VLOOKUP(A78,Cálculos!$M:$Q,5,0),"")</f>
        <v/>
      </c>
    </row>
    <row r="79" spans="1:5" ht="20" customHeight="1" x14ac:dyDescent="0.35">
      <c r="B79" s="1" t="str">
        <f>IF(IFERROR(VLOOKUP(A79,Cálculos!$M:$Q,2,0),"")=0,"não informado",IFERROR(VLOOKUP(A79,Cálculos!$M:$Q,2,0),""))</f>
        <v/>
      </c>
      <c r="C79" s="1" t="str">
        <f>IFERROR(VLOOKUP(A79,Cálculos!$M:$Q,3,0),"")</f>
        <v/>
      </c>
      <c r="D79" s="25" t="str">
        <f>IFERROR(VLOOKUP(A79,Cálculos!$M:$Q,5,0),"")</f>
        <v/>
      </c>
    </row>
    <row r="80" spans="1:5" ht="20" customHeight="1" x14ac:dyDescent="0.35">
      <c r="B80" s="1" t="str">
        <f>IF(IFERROR(VLOOKUP(A80,Cálculos!$M:$Q,2,0),"")=0,"não informado",IFERROR(VLOOKUP(A80,Cálculos!$M:$Q,2,0),""))</f>
        <v/>
      </c>
      <c r="C80" s="1" t="str">
        <f>IFERROR(VLOOKUP(A80,Cálculos!$M:$Q,3,0),"")</f>
        <v/>
      </c>
      <c r="D80" s="25" t="str">
        <f>IFERROR(VLOOKUP(A80,Cálculos!$M:$Q,5,0),"")</f>
        <v/>
      </c>
    </row>
    <row r="81" spans="2:4" ht="20" customHeight="1" x14ac:dyDescent="0.35">
      <c r="B81" s="1" t="str">
        <f>IF(IFERROR(VLOOKUP(A81,Cálculos!$M:$Q,2,0),"")=0,"não informado",IFERROR(VLOOKUP(A81,Cálculos!$M:$Q,2,0),""))</f>
        <v/>
      </c>
      <c r="C81" s="1" t="str">
        <f>IFERROR(VLOOKUP(A81,Cálculos!$M:$Q,3,0),"")</f>
        <v/>
      </c>
      <c r="D81" s="25" t="str">
        <f>IFERROR(VLOOKUP(A81,Cálculos!$M:$Q,5,0),"")</f>
        <v/>
      </c>
    </row>
    <row r="82" spans="2:4" ht="20" customHeight="1" x14ac:dyDescent="0.35">
      <c r="B82" s="1" t="str">
        <f>IF(IFERROR(VLOOKUP(A82,Cálculos!$M:$Q,2,0),"")=0,"não informado",IFERROR(VLOOKUP(A82,Cálculos!$M:$Q,2,0),""))</f>
        <v/>
      </c>
      <c r="C82" s="1" t="str">
        <f>IFERROR(VLOOKUP(A82,Cálculos!$M:$Q,3,0),"")</f>
        <v/>
      </c>
      <c r="D82" s="25" t="str">
        <f>IFERROR(VLOOKUP(A82,Cálculos!$M:$Q,5,0),"")</f>
        <v/>
      </c>
    </row>
    <row r="83" spans="2:4" ht="20" customHeight="1" x14ac:dyDescent="0.35">
      <c r="B83" s="1" t="str">
        <f>IF(IFERROR(VLOOKUP(A83,Cálculos!$M:$Q,2,0),"")=0,"não informado",IFERROR(VLOOKUP(A83,Cálculos!$M:$Q,2,0),""))</f>
        <v/>
      </c>
      <c r="C83" s="1" t="str">
        <f>IFERROR(VLOOKUP(A83,Cálculos!$M:$Q,3,0),"")</f>
        <v/>
      </c>
      <c r="D83" s="25" t="str">
        <f>IFERROR(VLOOKUP(A83,Cálculos!$M:$Q,5,0),"")</f>
        <v/>
      </c>
    </row>
    <row r="84" spans="2:4" ht="20" customHeight="1" x14ac:dyDescent="0.35">
      <c r="B84" s="1" t="str">
        <f>IF(IFERROR(VLOOKUP(A84,Cálculos!$M:$Q,2,0),"")=0,"não informado",IFERROR(VLOOKUP(A84,Cálculos!$M:$Q,2,0),""))</f>
        <v/>
      </c>
      <c r="C84" s="1" t="str">
        <f>IFERROR(VLOOKUP(A84,Cálculos!$M:$Q,3,0),"")</f>
        <v/>
      </c>
      <c r="D84" s="25" t="str">
        <f>IFERROR(VLOOKUP(A84,Cálculos!$M:$Q,5,0),"")</f>
        <v/>
      </c>
    </row>
    <row r="85" spans="2:4" ht="20" customHeight="1" x14ac:dyDescent="0.35">
      <c r="B85" s="1" t="str">
        <f>IF(IFERROR(VLOOKUP(A85,Cálculos!$M:$Q,2,0),"")=0,"não informado",IFERROR(VLOOKUP(A85,Cálculos!$M:$Q,2,0),""))</f>
        <v/>
      </c>
      <c r="C85" s="1" t="str">
        <f>IFERROR(VLOOKUP(A85,Cálculos!$M:$Q,3,0),"")</f>
        <v/>
      </c>
      <c r="D85" s="25" t="str">
        <f>IFERROR(VLOOKUP(A85,Cálculos!$M:$Q,5,0),"")</f>
        <v/>
      </c>
    </row>
    <row r="86" spans="2:4" ht="20" customHeight="1" x14ac:dyDescent="0.35">
      <c r="B86" s="1" t="str">
        <f>IF(IFERROR(VLOOKUP(A86,Cálculos!$M:$Q,2,0),"")=0,"não informado",IFERROR(VLOOKUP(A86,Cálculos!$M:$Q,2,0),""))</f>
        <v/>
      </c>
      <c r="C86" s="1" t="str">
        <f>IFERROR(VLOOKUP(A86,Cálculos!$M:$Q,3,0),"")</f>
        <v/>
      </c>
      <c r="D86" s="25" t="str">
        <f>IFERROR(VLOOKUP(A86,Cálculos!$M:$Q,5,0),"")</f>
        <v/>
      </c>
    </row>
    <row r="87" spans="2:4" ht="20" customHeight="1" x14ac:dyDescent="0.35">
      <c r="B87" s="1" t="str">
        <f>IF(IFERROR(VLOOKUP(A87,Cálculos!$M:$Q,2,0),"")=0,"não informado",IFERROR(VLOOKUP(A87,Cálculos!$M:$Q,2,0),""))</f>
        <v/>
      </c>
      <c r="C87" s="1" t="str">
        <f>IFERROR(VLOOKUP(A87,Cálculos!$M:$Q,3,0),"")</f>
        <v/>
      </c>
      <c r="D87" s="25" t="str">
        <f>IFERROR(VLOOKUP(A87,Cálculos!$M:$Q,5,0),"")</f>
        <v/>
      </c>
    </row>
    <row r="88" spans="2:4" ht="20" customHeight="1" x14ac:dyDescent="0.35">
      <c r="B88" s="1" t="str">
        <f>IF(IFERROR(VLOOKUP(A88,Cálculos!$M:$Q,2,0),"")=0,"não informado",IFERROR(VLOOKUP(A88,Cálculos!$M:$Q,2,0),""))</f>
        <v/>
      </c>
      <c r="C88" s="1" t="str">
        <f>IFERROR(VLOOKUP(A88,Cálculos!$M:$Q,3,0),"")</f>
        <v/>
      </c>
      <c r="D88" s="25" t="str">
        <f>IFERROR(VLOOKUP(A88,Cálculos!$M:$Q,5,0),"")</f>
        <v/>
      </c>
    </row>
    <row r="89" spans="2:4" ht="20" customHeight="1" x14ac:dyDescent="0.35">
      <c r="B89" s="1" t="str">
        <f>IF(IFERROR(VLOOKUP(A89,Cálculos!$M:$Q,2,0),"")=0,"não informado",IFERROR(VLOOKUP(A89,Cálculos!$M:$Q,2,0),""))</f>
        <v/>
      </c>
      <c r="C89" s="1" t="str">
        <f>IFERROR(VLOOKUP(A89,Cálculos!$M:$Q,3,0),"")</f>
        <v/>
      </c>
      <c r="D89" s="25" t="str">
        <f>IFERROR(VLOOKUP(A89,Cálculos!$M:$Q,5,0),"")</f>
        <v/>
      </c>
    </row>
    <row r="90" spans="2:4" ht="20" customHeight="1" x14ac:dyDescent="0.35">
      <c r="B90" s="1" t="str">
        <f>IF(IFERROR(VLOOKUP(A90,Cálculos!$M:$Q,2,0),"")=0,"não informado",IFERROR(VLOOKUP(A90,Cálculos!$M:$Q,2,0),""))</f>
        <v/>
      </c>
      <c r="C90" s="1" t="str">
        <f>IFERROR(VLOOKUP(A90,Cálculos!$M:$Q,3,0),"")</f>
        <v/>
      </c>
      <c r="D90" s="25" t="str">
        <f>IFERROR(VLOOKUP(A90,Cálculos!$M:$Q,5,0),"")</f>
        <v/>
      </c>
    </row>
    <row r="91" spans="2:4" ht="20" customHeight="1" x14ac:dyDescent="0.35">
      <c r="B91" s="1" t="str">
        <f>IF(IFERROR(VLOOKUP(A91,Cálculos!$M:$Q,2,0),"")=0,"não informado",IFERROR(VLOOKUP(A91,Cálculos!$M:$Q,2,0),""))</f>
        <v/>
      </c>
      <c r="C91" s="1" t="str">
        <f>IFERROR(VLOOKUP(A91,Cálculos!$M:$Q,3,0),"")</f>
        <v/>
      </c>
      <c r="D91" s="25" t="str">
        <f>IFERROR(VLOOKUP(A91,Cálculos!$M:$Q,5,0),"")</f>
        <v/>
      </c>
    </row>
    <row r="92" spans="2:4" ht="20" customHeight="1" x14ac:dyDescent="0.35">
      <c r="B92" s="1" t="str">
        <f>IF(IFERROR(VLOOKUP(A92,Cálculos!$M:$Q,2,0),"")=0,"não informado",IFERROR(VLOOKUP(A92,Cálculos!$M:$Q,2,0),""))</f>
        <v/>
      </c>
      <c r="C92" s="1" t="str">
        <f>IFERROR(VLOOKUP(A92,Cálculos!$M:$Q,3,0),"")</f>
        <v/>
      </c>
      <c r="D92" s="25" t="str">
        <f>IFERROR(VLOOKUP(A92,Cálculos!$M:$Q,5,0),"")</f>
        <v/>
      </c>
    </row>
    <row r="93" spans="2:4" ht="20" customHeight="1" x14ac:dyDescent="0.35">
      <c r="B93" s="1" t="str">
        <f>IF(IFERROR(VLOOKUP(A93,Cálculos!$M:$Q,2,0),"")=0,"não informado",IFERROR(VLOOKUP(A93,Cálculos!$M:$Q,2,0),""))</f>
        <v/>
      </c>
      <c r="C93" s="1" t="str">
        <f>IFERROR(VLOOKUP(A93,Cálculos!$M:$Q,3,0),"")</f>
        <v/>
      </c>
      <c r="D93" s="25" t="str">
        <f>IFERROR(VLOOKUP(A93,Cálculos!$M:$Q,5,0),"")</f>
        <v/>
      </c>
    </row>
    <row r="94" spans="2:4" ht="20" customHeight="1" x14ac:dyDescent="0.35">
      <c r="B94" s="1" t="str">
        <f>IF(IFERROR(VLOOKUP(A94,Cálculos!$M:$Q,2,0),"")=0,"não informado",IFERROR(VLOOKUP(A94,Cálculos!$M:$Q,2,0),""))</f>
        <v/>
      </c>
      <c r="C94" s="1" t="str">
        <f>IFERROR(VLOOKUP(A94,Cálculos!$M:$Q,3,0),"")</f>
        <v/>
      </c>
      <c r="D94" s="25" t="str">
        <f>IFERROR(VLOOKUP(A94,Cálculos!$M:$Q,5,0),"")</f>
        <v/>
      </c>
    </row>
    <row r="95" spans="2:4" ht="20" customHeight="1" x14ac:dyDescent="0.35">
      <c r="B95" s="1" t="str">
        <f>IF(IFERROR(VLOOKUP(A95,Cálculos!$M:$Q,2,0),"")=0,"não informado",IFERROR(VLOOKUP(A95,Cálculos!$M:$Q,2,0),""))</f>
        <v/>
      </c>
      <c r="C95" s="1" t="str">
        <f>IFERROR(VLOOKUP(A95,Cálculos!$M:$Q,3,0),"")</f>
        <v/>
      </c>
      <c r="D95" s="25" t="str">
        <f>IFERROR(VLOOKUP(A95,Cálculos!$M:$Q,5,0),"")</f>
        <v/>
      </c>
    </row>
    <row r="96" spans="2:4" ht="20" customHeight="1" x14ac:dyDescent="0.35">
      <c r="B96" s="1" t="str">
        <f>IF(IFERROR(VLOOKUP(A96,Cálculos!$M:$Q,2,0),"")=0,"não informado",IFERROR(VLOOKUP(A96,Cálculos!$M:$Q,2,0),""))</f>
        <v/>
      </c>
      <c r="C96" s="1" t="str">
        <f>IFERROR(VLOOKUP(A96,Cálculos!$M:$Q,3,0),"")</f>
        <v/>
      </c>
      <c r="D96" s="25" t="str">
        <f>IFERROR(VLOOKUP(A96,Cálculos!$M:$Q,5,0),"")</f>
        <v/>
      </c>
    </row>
    <row r="97" spans="2:4" ht="20" customHeight="1" x14ac:dyDescent="0.35">
      <c r="B97" s="1" t="str">
        <f>IF(IFERROR(VLOOKUP(A97,Cálculos!$M:$Q,2,0),"")=0,"não informado",IFERROR(VLOOKUP(A97,Cálculos!$M:$Q,2,0),""))</f>
        <v/>
      </c>
      <c r="C97" s="1" t="str">
        <f>IFERROR(VLOOKUP(A97,Cálculos!$M:$Q,3,0),"")</f>
        <v/>
      </c>
      <c r="D97" s="25" t="str">
        <f>IFERROR(VLOOKUP(A97,Cálculos!$M:$Q,5,0),"")</f>
        <v/>
      </c>
    </row>
    <row r="98" spans="2:4" ht="20" customHeight="1" x14ac:dyDescent="0.35">
      <c r="B98" s="1" t="str">
        <f>IF(IFERROR(VLOOKUP(A98,Cálculos!$M:$Q,2,0),"")=0,"não informado",IFERROR(VLOOKUP(A98,Cálculos!$M:$Q,2,0),""))</f>
        <v/>
      </c>
      <c r="C98" s="1" t="str">
        <f>IFERROR(VLOOKUP(A98,Cálculos!$M:$Q,3,0),"")</f>
        <v/>
      </c>
      <c r="D98" s="25" t="str">
        <f>IFERROR(VLOOKUP(A98,Cálculos!$M:$Q,5,0),"")</f>
        <v/>
      </c>
    </row>
    <row r="99" spans="2:4" ht="20" customHeight="1" x14ac:dyDescent="0.35">
      <c r="B99" s="1" t="str">
        <f>IF(IFERROR(VLOOKUP(A99,Cálculos!$M:$Q,2,0),"")=0,"não informado",IFERROR(VLOOKUP(A99,Cálculos!$M:$Q,2,0),""))</f>
        <v/>
      </c>
      <c r="C99" s="1" t="str">
        <f>IFERROR(VLOOKUP(A99,Cálculos!$M:$Q,3,0),"")</f>
        <v/>
      </c>
      <c r="D99" s="25" t="str">
        <f>IFERROR(VLOOKUP(A99,Cálculos!$M:$Q,5,0),"")</f>
        <v/>
      </c>
    </row>
    <row r="100" spans="2:4" ht="20" customHeight="1" x14ac:dyDescent="0.35">
      <c r="B100" s="1" t="str">
        <f>IF(IFERROR(VLOOKUP(A100,Cálculos!$M:$Q,2,0),"")=0,"não informado",IFERROR(VLOOKUP(A100,Cálculos!$M:$Q,2,0),""))</f>
        <v/>
      </c>
      <c r="C100" s="1" t="str">
        <f>IFERROR(VLOOKUP(A100,Cálculos!$M:$Q,3,0),"")</f>
        <v/>
      </c>
      <c r="D100" s="25" t="str">
        <f>IFERROR(VLOOKUP(A100,Cálculos!$M:$Q,5,0),"")</f>
        <v/>
      </c>
    </row>
    <row r="101" spans="2:4" ht="20" customHeight="1" x14ac:dyDescent="0.35">
      <c r="B101" s="1" t="str">
        <f>IF(IFERROR(VLOOKUP(A101,Cálculos!$M:$Q,2,0),"")=0,"não informado",IFERROR(VLOOKUP(A101,Cálculos!$M:$Q,2,0),""))</f>
        <v/>
      </c>
      <c r="C101" s="1" t="str">
        <f>IFERROR(VLOOKUP(A101,Cálculos!$M:$Q,3,0),"")</f>
        <v/>
      </c>
      <c r="D101" s="25" t="str">
        <f>IFERROR(VLOOKUP(A101,Cálculos!$M:$Q,5,0),"")</f>
        <v/>
      </c>
    </row>
    <row r="102" spans="2:4" ht="20" customHeight="1" x14ac:dyDescent="0.35">
      <c r="B102" s="1" t="str">
        <f>IF(IFERROR(VLOOKUP(A102,Cálculos!$M:$Q,2,0),"")=0,"não informado",IFERROR(VLOOKUP(A102,Cálculos!$M:$Q,2,0),""))</f>
        <v/>
      </c>
      <c r="C102" s="1" t="str">
        <f>IFERROR(VLOOKUP(A102,Cálculos!$M:$Q,3,0),"")</f>
        <v/>
      </c>
      <c r="D102" s="25" t="str">
        <f>IFERROR(VLOOKUP(A102,Cálculos!$M:$Q,5,0),"")</f>
        <v/>
      </c>
    </row>
  </sheetData>
  <sheetProtection algorithmName="SHA-512" hashValue="Md6G1WS1SlxUEkFI7m7zGU9evya7N6UgmfnlDGI9n648YF3REsJWzJKQqbSzgZ99OfeiraK/hZBPRS/7lwwyug==" saltValue="SZYZn2ut0v7uvCiNu55HWg==" spinCount="100000" sheet="1" objects="1" scenarios="1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66EDC-8C5A-4725-AD3F-42B5041DAC4C}">
  <sheetPr codeName="Planilha4"/>
  <dimension ref="A1:AW101"/>
  <sheetViews>
    <sheetView showGridLines="0" workbookViewId="0"/>
  </sheetViews>
  <sheetFormatPr defaultColWidth="8.81640625" defaultRowHeight="14.5" x14ac:dyDescent="0.35"/>
  <cols>
    <col min="2" max="2" width="9.453125" bestFit="1" customWidth="1"/>
    <col min="3" max="3" width="40" customWidth="1"/>
    <col min="4" max="4" width="15.54296875" customWidth="1"/>
    <col min="6" max="6" width="4.1796875" bestFit="1" customWidth="1"/>
    <col min="7" max="7" width="38.54296875" customWidth="1"/>
    <col min="8" max="8" width="26.453125" bestFit="1" customWidth="1"/>
    <col min="9" max="9" width="10.1796875" bestFit="1" customWidth="1"/>
    <col min="12" max="12" width="11.81640625" bestFit="1" customWidth="1"/>
    <col min="24" max="24" width="19.453125" bestFit="1" customWidth="1"/>
    <col min="25" max="25" width="13.453125" bestFit="1" customWidth="1"/>
    <col min="26" max="26" width="15.1796875" bestFit="1" customWidth="1"/>
    <col min="43" max="43" width="11.81640625" bestFit="1" customWidth="1"/>
    <col min="48" max="48" width="51.453125" bestFit="1" customWidth="1"/>
    <col min="49" max="49" width="26.453125" bestFit="1" customWidth="1"/>
  </cols>
  <sheetData>
    <row r="1" spans="1:49" x14ac:dyDescent="0.35">
      <c r="A1" s="43" t="s">
        <v>39</v>
      </c>
      <c r="B1" s="44" t="s">
        <v>40</v>
      </c>
      <c r="C1" s="45" t="s">
        <v>32</v>
      </c>
      <c r="D1" s="43" t="s">
        <v>41</v>
      </c>
      <c r="F1" s="44" t="s">
        <v>37</v>
      </c>
      <c r="G1" s="44" t="s">
        <v>34</v>
      </c>
      <c r="H1" s="44" t="s">
        <v>38</v>
      </c>
      <c r="I1" s="43" t="s">
        <v>41</v>
      </c>
      <c r="K1" s="44" t="s">
        <v>89</v>
      </c>
      <c r="L1" s="44"/>
      <c r="M1" s="44"/>
      <c r="N1" s="44"/>
      <c r="O1" s="44"/>
      <c r="P1" s="44"/>
      <c r="Q1" s="44"/>
      <c r="R1" s="44"/>
      <c r="T1" s="44" t="s">
        <v>117</v>
      </c>
      <c r="U1" s="44"/>
      <c r="V1" s="44"/>
      <c r="X1" s="44"/>
      <c r="Y1" s="44" t="s">
        <v>121</v>
      </c>
      <c r="Z1" s="44" t="s">
        <v>122</v>
      </c>
      <c r="AC1" t="s">
        <v>127</v>
      </c>
      <c r="AD1" t="s">
        <v>137</v>
      </c>
      <c r="AP1" s="46" t="s">
        <v>64</v>
      </c>
      <c r="AQ1" s="46">
        <v>0</v>
      </c>
      <c r="AS1" s="46" t="s">
        <v>86</v>
      </c>
      <c r="AT1" s="46">
        <v>1</v>
      </c>
      <c r="AV1" s="46" t="s">
        <v>36</v>
      </c>
      <c r="AW1" s="46" t="s">
        <v>36</v>
      </c>
    </row>
    <row r="2" spans="1:49" x14ac:dyDescent="0.35">
      <c r="A2" s="47" t="s">
        <v>2</v>
      </c>
      <c r="B2" s="47">
        <v>1</v>
      </c>
      <c r="C2" s="48" t="str">
        <f t="shared" ref="C2:C33" si="0">VLOOKUP(B2,F:G,2,0)</f>
        <v>Selecione o Ativo</v>
      </c>
      <c r="D2" s="49">
        <f>'2. Sua Carteira de Ativos'!D2</f>
        <v>0</v>
      </c>
      <c r="F2" s="47">
        <v>1</v>
      </c>
      <c r="G2" t="s">
        <v>36</v>
      </c>
      <c r="H2" t="s">
        <v>36</v>
      </c>
      <c r="I2" s="50">
        <f>SUMIFS($D:$D,$C:$C,G2)</f>
        <v>0</v>
      </c>
      <c r="K2" s="47">
        <f t="shared" ref="K2:K33" si="1">VALUE(TRIM(RIGHT(A2,2)))</f>
        <v>1</v>
      </c>
      <c r="L2" s="47" t="str">
        <f t="shared" ref="L2:L33" si="2">IF(IFERROR(VLOOKUP(VLOOKUP(C2,$G$2:$H$19,2,0),$AP$1:$AQ$12,2,0),0)*K2=0,"",IFERROR(VLOOKUP(VLOOKUP(C2,$G$2:$H$19,2,0),$AP$1:$AQ$12,2,0),0)*K2)</f>
        <v/>
      </c>
      <c r="M2" t="str">
        <f>IFERROR(RANK(L2,$L$2:$L$101,1),"")</f>
        <v/>
      </c>
      <c r="N2" s="48">
        <f>VLOOKUP(A2,'2. Sua Carteira de Ativos'!$A$2:$B$101,2,0)</f>
        <v>0</v>
      </c>
      <c r="O2" t="str">
        <f>VLOOKUP(C2,$AV$1:$AW$18,2,0)</f>
        <v>Selecione o Ativo</v>
      </c>
      <c r="P2" s="51">
        <f t="shared" ref="P2:P33" si="3">IF(M2="",0,D2)</f>
        <v>0</v>
      </c>
      <c r="Q2" t="e">
        <f>P2/SUM($P$2:$P$101)</f>
        <v>#DIV/0!</v>
      </c>
      <c r="T2" t="s">
        <v>118</v>
      </c>
      <c r="X2" t="str">
        <f>'3. Resultados'!A5</f>
        <v>Renda Fixa Pós</v>
      </c>
      <c r="Y2" s="52">
        <f>'3. Resultados'!B5</f>
        <v>0</v>
      </c>
      <c r="Z2" s="52">
        <f>'3. Resultados'!D5</f>
        <v>0.15</v>
      </c>
      <c r="AB2" t="str">
        <f>X2</f>
        <v>Renda Fixa Pós</v>
      </c>
      <c r="AC2" s="52">
        <v>0.15</v>
      </c>
      <c r="AD2" s="52">
        <v>0.15</v>
      </c>
      <c r="AP2" s="46" t="s">
        <v>112</v>
      </c>
      <c r="AQ2" s="46">
        <v>1</v>
      </c>
      <c r="AS2" s="46" t="s">
        <v>97</v>
      </c>
      <c r="AT2" s="46">
        <v>100</v>
      </c>
      <c r="AV2" s="46" t="s">
        <v>130</v>
      </c>
      <c r="AW2" s="46" t="s">
        <v>64</v>
      </c>
    </row>
    <row r="3" spans="1:49" x14ac:dyDescent="0.35">
      <c r="A3" s="47" t="s">
        <v>3</v>
      </c>
      <c r="B3" s="47">
        <v>1</v>
      </c>
      <c r="C3" s="48" t="str">
        <f t="shared" si="0"/>
        <v>Selecione o Ativo</v>
      </c>
      <c r="D3" s="49">
        <f>'2. Sua Carteira de Ativos'!D3</f>
        <v>0</v>
      </c>
      <c r="F3" s="47">
        <f>F2+1</f>
        <v>2</v>
      </c>
      <c r="G3" t="s">
        <v>130</v>
      </c>
      <c r="H3" t="s">
        <v>64</v>
      </c>
      <c r="I3" s="50">
        <f t="shared" ref="I3:I19" si="4">SUMIFS($D:$D,$C:$C,G3)</f>
        <v>0</v>
      </c>
      <c r="K3" s="47">
        <f t="shared" si="1"/>
        <v>2</v>
      </c>
      <c r="L3" s="47" t="str">
        <f t="shared" si="2"/>
        <v/>
      </c>
      <c r="M3" t="str">
        <f t="shared" ref="M3:M66" si="5">IFERROR(RANK(L3,$L$2:$L$101,1),"")</f>
        <v/>
      </c>
      <c r="N3" s="48">
        <f>VLOOKUP(A3,'2. Sua Carteira de Ativos'!$A$2:$B$101,2,0)</f>
        <v>0</v>
      </c>
      <c r="O3" t="str">
        <f t="shared" ref="O3:O33" si="6">VLOOKUP(C3,$AV$1:$AW$18,2,0)</f>
        <v>Selecione o Ativo</v>
      </c>
      <c r="P3" s="51">
        <f t="shared" si="3"/>
        <v>0</v>
      </c>
      <c r="Q3" t="e">
        <f t="shared" ref="Q3:Q66" si="7">P3/SUM($P$2:$P$101)</f>
        <v>#DIV/0!</v>
      </c>
      <c r="T3" t="s">
        <v>127</v>
      </c>
      <c r="X3" t="str">
        <f>'3. Resultados'!A6</f>
        <v>Renda Fixa Dinâmica</v>
      </c>
      <c r="Y3" s="52">
        <f>'3. Resultados'!B6</f>
        <v>0</v>
      </c>
      <c r="Z3" s="52">
        <f>'3. Resultados'!D6</f>
        <v>0.2</v>
      </c>
      <c r="AB3" t="str">
        <f t="shared" ref="AB3:AB9" si="8">X3</f>
        <v>Renda Fixa Dinâmica</v>
      </c>
      <c r="AC3" s="52">
        <v>0.2</v>
      </c>
      <c r="AD3" s="52">
        <v>0.2</v>
      </c>
      <c r="AP3" s="46" t="s">
        <v>113</v>
      </c>
      <c r="AQ3" s="46">
        <f>AQ2*100</f>
        <v>100</v>
      </c>
      <c r="AS3" s="46" t="s">
        <v>98</v>
      </c>
      <c r="AT3" s="46">
        <v>10000</v>
      </c>
      <c r="AV3" s="46" t="s">
        <v>131</v>
      </c>
      <c r="AW3" s="46" t="s">
        <v>64</v>
      </c>
    </row>
    <row r="4" spans="1:49" x14ac:dyDescent="0.35">
      <c r="A4" s="47" t="s">
        <v>4</v>
      </c>
      <c r="B4" s="47">
        <v>1</v>
      </c>
      <c r="C4" s="48" t="str">
        <f t="shared" si="0"/>
        <v>Selecione o Ativo</v>
      </c>
      <c r="D4" s="49">
        <f>'2. Sua Carteira de Ativos'!D4</f>
        <v>0</v>
      </c>
      <c r="F4" s="47">
        <f t="shared" ref="F4:F19" si="9">F3+1</f>
        <v>3</v>
      </c>
      <c r="G4" t="s">
        <v>131</v>
      </c>
      <c r="H4" t="s">
        <v>64</v>
      </c>
      <c r="I4" s="50">
        <f t="shared" si="4"/>
        <v>0</v>
      </c>
      <c r="K4" s="47">
        <f t="shared" si="1"/>
        <v>3</v>
      </c>
      <c r="L4" s="47" t="str">
        <f t="shared" si="2"/>
        <v/>
      </c>
      <c r="M4" t="str">
        <f t="shared" si="5"/>
        <v/>
      </c>
      <c r="N4" s="48">
        <f>VLOOKUP(A4,'2. Sua Carteira de Ativos'!$A$2:$B$101,2,0)</f>
        <v>0</v>
      </c>
      <c r="O4" t="str">
        <f t="shared" si="6"/>
        <v>Selecione o Ativo</v>
      </c>
      <c r="P4" s="51">
        <f t="shared" si="3"/>
        <v>0</v>
      </c>
      <c r="Q4" t="e">
        <f t="shared" si="7"/>
        <v>#DIV/0!</v>
      </c>
      <c r="T4" t="s">
        <v>119</v>
      </c>
      <c r="X4" t="str">
        <f>'3. Resultados'!A7</f>
        <v>Fundo Multimercado</v>
      </c>
      <c r="Y4" s="52">
        <f>'3. Resultados'!B7</f>
        <v>0</v>
      </c>
      <c r="Z4" s="52">
        <f>'3. Resultados'!D7</f>
        <v>0.12</v>
      </c>
      <c r="AB4" t="str">
        <f t="shared" si="8"/>
        <v>Fundo Multimercado</v>
      </c>
      <c r="AC4" s="52">
        <v>0.12</v>
      </c>
      <c r="AD4" s="52">
        <v>0.3</v>
      </c>
      <c r="AP4" s="46" t="s">
        <v>108</v>
      </c>
      <c r="AQ4" s="46">
        <f>AQ3*100</f>
        <v>10000</v>
      </c>
      <c r="AS4" s="46" t="s">
        <v>99</v>
      </c>
      <c r="AT4" s="46">
        <v>1000000</v>
      </c>
      <c r="AV4" s="46" t="s">
        <v>103</v>
      </c>
      <c r="AW4" s="46" t="s">
        <v>112</v>
      </c>
    </row>
    <row r="5" spans="1:49" x14ac:dyDescent="0.35">
      <c r="A5" s="47" t="s">
        <v>5</v>
      </c>
      <c r="B5" s="47">
        <v>1</v>
      </c>
      <c r="C5" s="48" t="str">
        <f t="shared" si="0"/>
        <v>Selecione o Ativo</v>
      </c>
      <c r="D5" s="49">
        <f>'2. Sua Carteira de Ativos'!D5</f>
        <v>0</v>
      </c>
      <c r="F5" s="47">
        <f t="shared" si="9"/>
        <v>4</v>
      </c>
      <c r="G5" t="s">
        <v>103</v>
      </c>
      <c r="H5" t="s">
        <v>112</v>
      </c>
      <c r="I5" s="50">
        <f t="shared" si="4"/>
        <v>0</v>
      </c>
      <c r="K5" s="47">
        <f t="shared" si="1"/>
        <v>4</v>
      </c>
      <c r="L5" s="47" t="str">
        <f t="shared" si="2"/>
        <v/>
      </c>
      <c r="M5" t="str">
        <f t="shared" si="5"/>
        <v/>
      </c>
      <c r="N5" s="48">
        <f>VLOOKUP(A5,'2. Sua Carteira de Ativos'!$A$2:$B$101,2,0)</f>
        <v>0</v>
      </c>
      <c r="O5" t="str">
        <f t="shared" si="6"/>
        <v>Selecione o Ativo</v>
      </c>
      <c r="P5" s="51">
        <f t="shared" si="3"/>
        <v>0</v>
      </c>
      <c r="Q5" t="e">
        <f t="shared" si="7"/>
        <v>#DIV/0!</v>
      </c>
      <c r="T5" s="53">
        <v>2</v>
      </c>
      <c r="X5" t="str">
        <f>'3. Resultados'!A8</f>
        <v>Fundo Imobiliário (FII)</v>
      </c>
      <c r="Y5" s="52">
        <f>'3. Resultados'!B8</f>
        <v>0</v>
      </c>
      <c r="Z5" s="52">
        <f>'3. Resultados'!D8</f>
        <v>0.15</v>
      </c>
      <c r="AB5" t="str">
        <f t="shared" si="8"/>
        <v>Fundo Imobiliário (FII)</v>
      </c>
      <c r="AC5" s="52">
        <v>0.15</v>
      </c>
      <c r="AD5" s="52">
        <v>0</v>
      </c>
      <c r="AP5" s="46" t="s">
        <v>109</v>
      </c>
      <c r="AQ5" s="46">
        <f>AQ4*100</f>
        <v>1000000</v>
      </c>
      <c r="AV5" s="46" t="s">
        <v>104</v>
      </c>
      <c r="AW5" s="46" t="s">
        <v>112</v>
      </c>
    </row>
    <row r="6" spans="1:49" x14ac:dyDescent="0.35">
      <c r="A6" s="47" t="s">
        <v>6</v>
      </c>
      <c r="B6" s="47">
        <v>1</v>
      </c>
      <c r="C6" s="48" t="str">
        <f t="shared" si="0"/>
        <v>Selecione o Ativo</v>
      </c>
      <c r="D6" s="49">
        <f>'2. Sua Carteira de Ativos'!D6</f>
        <v>0</v>
      </c>
      <c r="F6" s="47">
        <f t="shared" si="9"/>
        <v>5</v>
      </c>
      <c r="G6" t="s">
        <v>104</v>
      </c>
      <c r="H6" t="s">
        <v>112</v>
      </c>
      <c r="I6" s="50">
        <f t="shared" si="4"/>
        <v>0</v>
      </c>
      <c r="K6" s="47">
        <f t="shared" si="1"/>
        <v>5</v>
      </c>
      <c r="L6" s="47" t="str">
        <f t="shared" si="2"/>
        <v/>
      </c>
      <c r="M6" t="str">
        <f t="shared" si="5"/>
        <v/>
      </c>
      <c r="N6" s="48">
        <f>VLOOKUP(A6,'2. Sua Carteira de Ativos'!$A$2:$B$101,2,0)</f>
        <v>0</v>
      </c>
      <c r="O6" t="str">
        <f t="shared" si="6"/>
        <v>Selecione o Ativo</v>
      </c>
      <c r="P6" s="51">
        <f t="shared" si="3"/>
        <v>0</v>
      </c>
      <c r="Q6" t="e">
        <f t="shared" si="7"/>
        <v>#DIV/0!</v>
      </c>
      <c r="X6" t="str">
        <f>'3. Resultados'!A9</f>
        <v>Renda Variável</v>
      </c>
      <c r="Y6" s="52">
        <f>'3. Resultados'!B9</f>
        <v>0</v>
      </c>
      <c r="Z6" s="52">
        <f>'3. Resultados'!D9</f>
        <v>0.15</v>
      </c>
      <c r="AB6" t="str">
        <f t="shared" si="8"/>
        <v>Renda Variável</v>
      </c>
      <c r="AC6" s="52">
        <v>0.15</v>
      </c>
      <c r="AD6" s="52">
        <v>0.15</v>
      </c>
      <c r="AP6" s="46" t="s">
        <v>1</v>
      </c>
      <c r="AQ6" s="46">
        <f t="shared" ref="AQ6:AQ7" si="10">AQ5*100</f>
        <v>100000000</v>
      </c>
      <c r="AV6" s="46" t="s">
        <v>105</v>
      </c>
      <c r="AW6" s="46" t="s">
        <v>113</v>
      </c>
    </row>
    <row r="7" spans="1:49" x14ac:dyDescent="0.35">
      <c r="A7" s="47" t="s">
        <v>7</v>
      </c>
      <c r="B7" s="47">
        <v>1</v>
      </c>
      <c r="C7" s="48" t="str">
        <f t="shared" si="0"/>
        <v>Selecione o Ativo</v>
      </c>
      <c r="D7" s="49">
        <f>'2. Sua Carteira de Ativos'!D7</f>
        <v>0</v>
      </c>
      <c r="F7" s="47">
        <f t="shared" si="9"/>
        <v>6</v>
      </c>
      <c r="G7" t="s">
        <v>105</v>
      </c>
      <c r="H7" t="s">
        <v>113</v>
      </c>
      <c r="I7" s="50">
        <f t="shared" si="4"/>
        <v>0</v>
      </c>
      <c r="K7" s="47">
        <f t="shared" si="1"/>
        <v>6</v>
      </c>
      <c r="L7" s="47" t="str">
        <f t="shared" si="2"/>
        <v/>
      </c>
      <c r="M7" t="str">
        <f t="shared" si="5"/>
        <v/>
      </c>
      <c r="N7" s="48">
        <f>VLOOKUP(A7,'2. Sua Carteira de Ativos'!$A$2:$B$101,2,0)</f>
        <v>0</v>
      </c>
      <c r="O7" t="str">
        <f t="shared" si="6"/>
        <v>Selecione o Ativo</v>
      </c>
      <c r="P7" s="51">
        <f t="shared" si="3"/>
        <v>0</v>
      </c>
      <c r="Q7" t="e">
        <f t="shared" si="7"/>
        <v>#DIV/0!</v>
      </c>
      <c r="X7" t="s">
        <v>123</v>
      </c>
      <c r="Y7" s="52">
        <f>SUM('3. Resultados'!B10:B12)</f>
        <v>0</v>
      </c>
      <c r="Z7" s="52">
        <f>SUM('3. Resultados'!D10:D12)</f>
        <v>0.17</v>
      </c>
      <c r="AB7" t="str">
        <f t="shared" si="8"/>
        <v>Investimento Global</v>
      </c>
      <c r="AC7" s="52">
        <v>0.16999999999999998</v>
      </c>
      <c r="AD7" s="52">
        <v>0.16999999999999998</v>
      </c>
      <c r="AP7" s="46" t="s">
        <v>132</v>
      </c>
      <c r="AQ7" s="46">
        <f t="shared" si="10"/>
        <v>10000000000</v>
      </c>
      <c r="AV7" s="46" t="s">
        <v>106</v>
      </c>
      <c r="AW7" s="46" t="s">
        <v>113</v>
      </c>
    </row>
    <row r="8" spans="1:49" x14ac:dyDescent="0.35">
      <c r="A8" s="47" t="s">
        <v>8</v>
      </c>
      <c r="B8" s="47">
        <v>1</v>
      </c>
      <c r="C8" s="48" t="str">
        <f t="shared" si="0"/>
        <v>Selecione o Ativo</v>
      </c>
      <c r="D8" s="49">
        <f>'2. Sua Carteira de Ativos'!D8</f>
        <v>0</v>
      </c>
      <c r="F8" s="47">
        <f t="shared" si="9"/>
        <v>7</v>
      </c>
      <c r="G8" t="s">
        <v>106</v>
      </c>
      <c r="H8" t="s">
        <v>113</v>
      </c>
      <c r="I8" s="50">
        <f t="shared" si="4"/>
        <v>0</v>
      </c>
      <c r="K8" s="47">
        <f t="shared" si="1"/>
        <v>7</v>
      </c>
      <c r="L8" s="47" t="str">
        <f t="shared" ref="L8:L23" si="11">IF(IFERROR(VLOOKUP(VLOOKUP(C8,$G$2:$H$19,2,0),$AP$1:$AQ$12,2,0),0)*K8=0,"",IFERROR(VLOOKUP(VLOOKUP(C8,$G$2:$H$19,2,0),$AP$1:$AQ$12,2,0),0)*K8)</f>
        <v/>
      </c>
      <c r="M8" t="str">
        <f t="shared" si="5"/>
        <v/>
      </c>
      <c r="N8" s="48">
        <f>VLOOKUP(A8,'2. Sua Carteira de Ativos'!$A$2:$B$101,2,0)</f>
        <v>0</v>
      </c>
      <c r="O8" t="str">
        <f t="shared" si="6"/>
        <v>Selecione o Ativo</v>
      </c>
      <c r="P8" s="51">
        <f t="shared" si="3"/>
        <v>0</v>
      </c>
      <c r="Q8" t="e">
        <f t="shared" si="7"/>
        <v>#DIV/0!</v>
      </c>
      <c r="X8" t="s">
        <v>124</v>
      </c>
      <c r="Y8" s="52">
        <f>'3. Resultados'!B13</f>
        <v>0</v>
      </c>
      <c r="Z8" s="52">
        <f>'3. Resultados'!D13</f>
        <v>0.03</v>
      </c>
      <c r="AB8" t="str">
        <f t="shared" si="8"/>
        <v>Ouro</v>
      </c>
      <c r="AC8" s="52">
        <v>0.03</v>
      </c>
      <c r="AD8" s="52">
        <v>0.03</v>
      </c>
      <c r="AP8" s="46" t="s">
        <v>133</v>
      </c>
      <c r="AQ8" s="46">
        <f>AQ7*100</f>
        <v>1000000000000</v>
      </c>
      <c r="AV8" s="46" t="s">
        <v>107</v>
      </c>
      <c r="AW8" s="46" t="s">
        <v>113</v>
      </c>
    </row>
    <row r="9" spans="1:49" x14ac:dyDescent="0.35">
      <c r="A9" s="47" t="s">
        <v>9</v>
      </c>
      <c r="B9" s="47">
        <v>1</v>
      </c>
      <c r="C9" s="48" t="str">
        <f t="shared" si="0"/>
        <v>Selecione o Ativo</v>
      </c>
      <c r="D9" s="49">
        <f>'2. Sua Carteira de Ativos'!D9</f>
        <v>0</v>
      </c>
      <c r="F9" s="47">
        <f t="shared" si="9"/>
        <v>8</v>
      </c>
      <c r="G9" t="s">
        <v>107</v>
      </c>
      <c r="H9" t="s">
        <v>113</v>
      </c>
      <c r="I9" s="50">
        <f t="shared" si="4"/>
        <v>0</v>
      </c>
      <c r="K9" s="47">
        <f t="shared" si="1"/>
        <v>8</v>
      </c>
      <c r="L9" s="47" t="str">
        <f t="shared" si="11"/>
        <v/>
      </c>
      <c r="M9" t="str">
        <f t="shared" si="5"/>
        <v/>
      </c>
      <c r="N9" s="48">
        <f>VLOOKUP(A9,'2. Sua Carteira de Ativos'!$A$2:$B$101,2,0)</f>
        <v>0</v>
      </c>
      <c r="O9" t="str">
        <f t="shared" si="6"/>
        <v>Selecione o Ativo</v>
      </c>
      <c r="P9" s="51">
        <f t="shared" si="3"/>
        <v>0</v>
      </c>
      <c r="Q9" t="e">
        <f t="shared" si="7"/>
        <v>#DIV/0!</v>
      </c>
      <c r="X9" t="s">
        <v>111</v>
      </c>
      <c r="Y9" s="52">
        <f>'3. Resultados'!B14</f>
        <v>0</v>
      </c>
      <c r="Z9" s="52">
        <f>'3. Resultados'!D14</f>
        <v>0.03</v>
      </c>
      <c r="AB9" t="str">
        <f t="shared" si="8"/>
        <v>Alternativos</v>
      </c>
      <c r="AC9" s="52">
        <v>0.03</v>
      </c>
      <c r="AD9" s="52">
        <v>0</v>
      </c>
      <c r="AP9" s="46" t="s">
        <v>134</v>
      </c>
      <c r="AQ9" s="46">
        <f>AQ8*100</f>
        <v>100000000000000</v>
      </c>
      <c r="AV9" s="46" t="s">
        <v>108</v>
      </c>
      <c r="AW9" s="46" t="s">
        <v>108</v>
      </c>
    </row>
    <row r="10" spans="1:49" x14ac:dyDescent="0.35">
      <c r="A10" s="47" t="s">
        <v>10</v>
      </c>
      <c r="B10" s="47">
        <v>1</v>
      </c>
      <c r="C10" s="48" t="str">
        <f t="shared" si="0"/>
        <v>Selecione o Ativo</v>
      </c>
      <c r="D10" s="49">
        <f>'2. Sua Carteira de Ativos'!D10</f>
        <v>0</v>
      </c>
      <c r="F10" s="47">
        <f t="shared" si="9"/>
        <v>9</v>
      </c>
      <c r="G10" t="s">
        <v>108</v>
      </c>
      <c r="H10" t="s">
        <v>108</v>
      </c>
      <c r="I10" s="50">
        <f t="shared" si="4"/>
        <v>0</v>
      </c>
      <c r="K10" s="47">
        <f t="shared" si="1"/>
        <v>9</v>
      </c>
      <c r="L10" s="47" t="str">
        <f t="shared" si="11"/>
        <v/>
      </c>
      <c r="M10" t="str">
        <f t="shared" si="5"/>
        <v/>
      </c>
      <c r="N10" s="48">
        <f>VLOOKUP(A10,'2. Sua Carteira de Ativos'!$A$2:$B$101,2,0)</f>
        <v>0</v>
      </c>
      <c r="O10" t="str">
        <f t="shared" si="6"/>
        <v>Selecione o Ativo</v>
      </c>
      <c r="P10" s="51">
        <f t="shared" si="3"/>
        <v>0</v>
      </c>
      <c r="Q10" t="e">
        <f t="shared" si="7"/>
        <v>#DIV/0!</v>
      </c>
      <c r="AP10" s="46" t="s">
        <v>135</v>
      </c>
      <c r="AQ10" s="46">
        <f>AQ9*100</f>
        <v>1E+16</v>
      </c>
      <c r="AV10" s="46" t="s">
        <v>109</v>
      </c>
      <c r="AW10" s="46" t="s">
        <v>109</v>
      </c>
    </row>
    <row r="11" spans="1:49" x14ac:dyDescent="0.35">
      <c r="A11" s="47" t="s">
        <v>11</v>
      </c>
      <c r="B11" s="47">
        <v>1</v>
      </c>
      <c r="C11" s="48" t="str">
        <f t="shared" si="0"/>
        <v>Selecione o Ativo</v>
      </c>
      <c r="D11" s="49">
        <f>'2. Sua Carteira de Ativos'!D11</f>
        <v>0</v>
      </c>
      <c r="F11" s="47">
        <f t="shared" si="9"/>
        <v>10</v>
      </c>
      <c r="G11" t="s">
        <v>109</v>
      </c>
      <c r="H11" t="s">
        <v>109</v>
      </c>
      <c r="I11" s="50">
        <f t="shared" si="4"/>
        <v>0</v>
      </c>
      <c r="K11" s="47">
        <f t="shared" si="1"/>
        <v>10</v>
      </c>
      <c r="L11" s="47" t="str">
        <f t="shared" si="11"/>
        <v/>
      </c>
      <c r="M11" t="str">
        <f t="shared" si="5"/>
        <v/>
      </c>
      <c r="N11" s="48">
        <f>VLOOKUP(A11,'2. Sua Carteira de Ativos'!$A$2:$B$101,2,0)</f>
        <v>0</v>
      </c>
      <c r="O11" t="str">
        <f t="shared" si="6"/>
        <v>Selecione o Ativo</v>
      </c>
      <c r="P11" s="51">
        <f t="shared" si="3"/>
        <v>0</v>
      </c>
      <c r="Q11" t="e">
        <f t="shared" si="7"/>
        <v>#DIV/0!</v>
      </c>
      <c r="AP11" s="46" t="s">
        <v>111</v>
      </c>
      <c r="AQ11" s="46">
        <f>AQ10*100</f>
        <v>1E+18</v>
      </c>
      <c r="AV11" s="46" t="s">
        <v>136</v>
      </c>
      <c r="AW11" s="46" t="s">
        <v>1</v>
      </c>
    </row>
    <row r="12" spans="1:49" x14ac:dyDescent="0.35">
      <c r="A12" s="47" t="s">
        <v>12</v>
      </c>
      <c r="B12" s="47">
        <v>1</v>
      </c>
      <c r="C12" s="48" t="str">
        <f t="shared" si="0"/>
        <v>Selecione o Ativo</v>
      </c>
      <c r="D12" s="49">
        <f>'2. Sua Carteira de Ativos'!D12</f>
        <v>0</v>
      </c>
      <c r="F12" s="47">
        <f t="shared" si="9"/>
        <v>11</v>
      </c>
      <c r="G12" t="s">
        <v>136</v>
      </c>
      <c r="H12" t="s">
        <v>1</v>
      </c>
      <c r="I12" s="50">
        <f t="shared" si="4"/>
        <v>0</v>
      </c>
      <c r="K12" s="47">
        <f t="shared" si="1"/>
        <v>11</v>
      </c>
      <c r="L12" s="47" t="str">
        <f t="shared" si="11"/>
        <v/>
      </c>
      <c r="M12" t="str">
        <f t="shared" si="5"/>
        <v/>
      </c>
      <c r="N12" s="48">
        <f>VLOOKUP(A12,'2. Sua Carteira de Ativos'!$A$2:$B$101,2,0)</f>
        <v>0</v>
      </c>
      <c r="O12" t="str">
        <f t="shared" si="6"/>
        <v>Selecione o Ativo</v>
      </c>
      <c r="P12" s="51">
        <f t="shared" si="3"/>
        <v>0</v>
      </c>
      <c r="Q12" t="e">
        <f t="shared" si="7"/>
        <v>#DIV/0!</v>
      </c>
      <c r="AV12" s="46" t="s">
        <v>110</v>
      </c>
      <c r="AW12" s="46" t="s">
        <v>1</v>
      </c>
    </row>
    <row r="13" spans="1:49" x14ac:dyDescent="0.35">
      <c r="A13" s="47" t="s">
        <v>13</v>
      </c>
      <c r="B13" s="47">
        <v>1</v>
      </c>
      <c r="C13" s="48" t="str">
        <f t="shared" si="0"/>
        <v>Selecione o Ativo</v>
      </c>
      <c r="D13" s="49">
        <f>'2. Sua Carteira de Ativos'!D13</f>
        <v>0</v>
      </c>
      <c r="F13" s="47">
        <f t="shared" si="9"/>
        <v>12</v>
      </c>
      <c r="G13" t="s">
        <v>110</v>
      </c>
      <c r="H13" t="s">
        <v>1</v>
      </c>
      <c r="I13" s="50">
        <f t="shared" si="4"/>
        <v>0</v>
      </c>
      <c r="K13" s="47">
        <f t="shared" si="1"/>
        <v>12</v>
      </c>
      <c r="L13" s="47" t="str">
        <f t="shared" si="11"/>
        <v/>
      </c>
      <c r="M13" t="str">
        <f t="shared" si="5"/>
        <v/>
      </c>
      <c r="N13" s="48">
        <f>VLOOKUP(A13,'2. Sua Carteira de Ativos'!$A$2:$B$101,2,0)</f>
        <v>0</v>
      </c>
      <c r="O13" t="str">
        <f t="shared" si="6"/>
        <v>Selecione o Ativo</v>
      </c>
      <c r="P13" s="51">
        <f t="shared" si="3"/>
        <v>0</v>
      </c>
      <c r="Q13" t="e">
        <f t="shared" si="7"/>
        <v>#DIV/0!</v>
      </c>
      <c r="AV13" s="46" t="s">
        <v>114</v>
      </c>
      <c r="AW13" s="46" t="s">
        <v>1</v>
      </c>
    </row>
    <row r="14" spans="1:49" x14ac:dyDescent="0.35">
      <c r="A14" s="47" t="s">
        <v>14</v>
      </c>
      <c r="B14" s="47">
        <v>1</v>
      </c>
      <c r="C14" s="48" t="str">
        <f t="shared" si="0"/>
        <v>Selecione o Ativo</v>
      </c>
      <c r="D14" s="49">
        <f>'2. Sua Carteira de Ativos'!D14</f>
        <v>0</v>
      </c>
      <c r="F14" s="47">
        <f t="shared" si="9"/>
        <v>13</v>
      </c>
      <c r="G14" t="s">
        <v>114</v>
      </c>
      <c r="H14" t="s">
        <v>1</v>
      </c>
      <c r="I14" s="50">
        <f t="shared" si="4"/>
        <v>0</v>
      </c>
      <c r="K14" s="47">
        <f t="shared" si="1"/>
        <v>13</v>
      </c>
      <c r="L14" s="47" t="str">
        <f t="shared" si="11"/>
        <v/>
      </c>
      <c r="M14" t="str">
        <f t="shared" si="5"/>
        <v/>
      </c>
      <c r="N14" s="48">
        <f>VLOOKUP(A14,'2. Sua Carteira de Ativos'!$A$2:$B$101,2,0)</f>
        <v>0</v>
      </c>
      <c r="O14" t="str">
        <f t="shared" si="6"/>
        <v>Selecione o Ativo</v>
      </c>
      <c r="P14" s="51">
        <f t="shared" si="3"/>
        <v>0</v>
      </c>
      <c r="Q14" t="e">
        <f t="shared" si="7"/>
        <v>#DIV/0!</v>
      </c>
      <c r="AV14" s="46" t="s">
        <v>132</v>
      </c>
      <c r="AW14" s="46" t="s">
        <v>132</v>
      </c>
    </row>
    <row r="15" spans="1:49" ht="15" customHeight="1" x14ac:dyDescent="0.35">
      <c r="A15" s="47" t="s">
        <v>15</v>
      </c>
      <c r="B15" s="47">
        <v>1</v>
      </c>
      <c r="C15" s="48" t="str">
        <f t="shared" si="0"/>
        <v>Selecione o Ativo</v>
      </c>
      <c r="D15" s="49">
        <f>'2. Sua Carteira de Ativos'!D15</f>
        <v>0</v>
      </c>
      <c r="F15" s="47">
        <f t="shared" si="9"/>
        <v>14</v>
      </c>
      <c r="G15" t="s">
        <v>132</v>
      </c>
      <c r="H15" t="s">
        <v>132</v>
      </c>
      <c r="I15" s="50">
        <f t="shared" si="4"/>
        <v>0</v>
      </c>
      <c r="K15" s="47">
        <f t="shared" si="1"/>
        <v>14</v>
      </c>
      <c r="L15" s="47" t="str">
        <f t="shared" si="11"/>
        <v/>
      </c>
      <c r="M15" t="str">
        <f t="shared" si="5"/>
        <v/>
      </c>
      <c r="N15" s="48">
        <f>VLOOKUP(A15,'2. Sua Carteira de Ativos'!$A$2:$B$101,2,0)</f>
        <v>0</v>
      </c>
      <c r="O15" t="str">
        <f t="shared" si="6"/>
        <v>Selecione o Ativo</v>
      </c>
      <c r="P15" s="51">
        <f t="shared" si="3"/>
        <v>0</v>
      </c>
      <c r="Q15" t="e">
        <f t="shared" si="7"/>
        <v>#DIV/0!</v>
      </c>
      <c r="AV15" s="46" t="s">
        <v>133</v>
      </c>
      <c r="AW15" s="46" t="s">
        <v>133</v>
      </c>
    </row>
    <row r="16" spans="1:49" ht="15" customHeight="1" x14ac:dyDescent="0.35">
      <c r="A16" s="47" t="s">
        <v>16</v>
      </c>
      <c r="B16" s="47">
        <v>1</v>
      </c>
      <c r="C16" s="48" t="str">
        <f>VLOOKUP(B16,F:G,2,0)</f>
        <v>Selecione o Ativo</v>
      </c>
      <c r="D16" s="49">
        <f>'2. Sua Carteira de Ativos'!D16</f>
        <v>0</v>
      </c>
      <c r="F16" s="47">
        <f t="shared" si="9"/>
        <v>15</v>
      </c>
      <c r="G16" t="s">
        <v>133</v>
      </c>
      <c r="H16" t="s">
        <v>133</v>
      </c>
      <c r="I16" s="50">
        <f t="shared" si="4"/>
        <v>0</v>
      </c>
      <c r="K16" s="47">
        <f t="shared" si="1"/>
        <v>15</v>
      </c>
      <c r="L16" s="47" t="str">
        <f t="shared" si="11"/>
        <v/>
      </c>
      <c r="M16" t="str">
        <f t="shared" si="5"/>
        <v/>
      </c>
      <c r="N16" s="48">
        <f>VLOOKUP(A16,'2. Sua Carteira de Ativos'!$A$2:$B$101,2,0)</f>
        <v>0</v>
      </c>
      <c r="O16" t="str">
        <f t="shared" si="6"/>
        <v>Selecione o Ativo</v>
      </c>
      <c r="P16" s="51">
        <f t="shared" si="3"/>
        <v>0</v>
      </c>
      <c r="Q16" t="e">
        <f t="shared" si="7"/>
        <v>#DIV/0!</v>
      </c>
      <c r="AV16" s="46" t="s">
        <v>134</v>
      </c>
      <c r="AW16" s="46" t="s">
        <v>134</v>
      </c>
    </row>
    <row r="17" spans="1:49" ht="15" customHeight="1" x14ac:dyDescent="0.35">
      <c r="A17" s="47" t="s">
        <v>17</v>
      </c>
      <c r="B17" s="47">
        <v>1</v>
      </c>
      <c r="C17" s="48" t="str">
        <f t="shared" si="0"/>
        <v>Selecione o Ativo</v>
      </c>
      <c r="D17" s="49">
        <f>'2. Sua Carteira de Ativos'!D17</f>
        <v>0</v>
      </c>
      <c r="F17" s="47">
        <f t="shared" si="9"/>
        <v>16</v>
      </c>
      <c r="G17" t="s">
        <v>134</v>
      </c>
      <c r="H17" t="s">
        <v>134</v>
      </c>
      <c r="I17" s="50">
        <f t="shared" si="4"/>
        <v>0</v>
      </c>
      <c r="K17" s="47">
        <f t="shared" si="1"/>
        <v>16</v>
      </c>
      <c r="L17" s="47" t="str">
        <f t="shared" si="11"/>
        <v/>
      </c>
      <c r="M17" t="str">
        <f t="shared" si="5"/>
        <v/>
      </c>
      <c r="N17" s="48">
        <f>VLOOKUP(A17,'2. Sua Carteira de Ativos'!$A$2:$B$101,2,0)</f>
        <v>0</v>
      </c>
      <c r="O17" t="str">
        <f t="shared" si="6"/>
        <v>Selecione o Ativo</v>
      </c>
      <c r="P17" s="51">
        <f t="shared" si="3"/>
        <v>0</v>
      </c>
      <c r="Q17" t="e">
        <f t="shared" si="7"/>
        <v>#DIV/0!</v>
      </c>
      <c r="AV17" s="46" t="s">
        <v>135</v>
      </c>
      <c r="AW17" s="46" t="s">
        <v>135</v>
      </c>
    </row>
    <row r="18" spans="1:49" ht="15" customHeight="1" x14ac:dyDescent="0.35">
      <c r="A18" s="47" t="s">
        <v>18</v>
      </c>
      <c r="B18" s="47">
        <v>1</v>
      </c>
      <c r="C18" s="48" t="str">
        <f t="shared" si="0"/>
        <v>Selecione o Ativo</v>
      </c>
      <c r="D18" s="49">
        <f>'2. Sua Carteira de Ativos'!D18</f>
        <v>0</v>
      </c>
      <c r="F18" s="47">
        <f t="shared" si="9"/>
        <v>17</v>
      </c>
      <c r="G18" t="s">
        <v>135</v>
      </c>
      <c r="H18" t="s">
        <v>135</v>
      </c>
      <c r="I18" s="50">
        <f t="shared" si="4"/>
        <v>0</v>
      </c>
      <c r="K18" s="47">
        <f t="shared" si="1"/>
        <v>17</v>
      </c>
      <c r="L18" s="47" t="str">
        <f t="shared" si="11"/>
        <v/>
      </c>
      <c r="M18" t="str">
        <f t="shared" si="5"/>
        <v/>
      </c>
      <c r="N18" s="48">
        <f>VLOOKUP(A18,'2. Sua Carteira de Ativos'!$A$2:$B$101,2,0)</f>
        <v>0</v>
      </c>
      <c r="O18" t="str">
        <f t="shared" si="6"/>
        <v>Selecione o Ativo</v>
      </c>
      <c r="P18" s="51">
        <f t="shared" si="3"/>
        <v>0</v>
      </c>
      <c r="Q18" t="e">
        <f t="shared" si="7"/>
        <v>#DIV/0!</v>
      </c>
      <c r="AV18" s="46" t="s">
        <v>111</v>
      </c>
      <c r="AW18" s="46" t="s">
        <v>111</v>
      </c>
    </row>
    <row r="19" spans="1:49" ht="15" customHeight="1" x14ac:dyDescent="0.35">
      <c r="A19" s="47" t="s">
        <v>19</v>
      </c>
      <c r="B19" s="47">
        <v>1</v>
      </c>
      <c r="C19" s="48" t="str">
        <f t="shared" si="0"/>
        <v>Selecione o Ativo</v>
      </c>
      <c r="D19" s="49">
        <f>'2. Sua Carteira de Ativos'!D19</f>
        <v>0</v>
      </c>
      <c r="F19" s="47">
        <f t="shared" si="9"/>
        <v>18</v>
      </c>
      <c r="G19" t="s">
        <v>111</v>
      </c>
      <c r="H19" t="s">
        <v>111</v>
      </c>
      <c r="I19" s="50">
        <f t="shared" si="4"/>
        <v>0</v>
      </c>
      <c r="K19" s="47">
        <f t="shared" si="1"/>
        <v>18</v>
      </c>
      <c r="L19" s="47" t="str">
        <f t="shared" si="11"/>
        <v/>
      </c>
      <c r="M19" t="str">
        <f t="shared" si="5"/>
        <v/>
      </c>
      <c r="N19" s="48">
        <f>VLOOKUP(A19,'2. Sua Carteira de Ativos'!$A$2:$B$101,2,0)</f>
        <v>0</v>
      </c>
      <c r="O19" t="str">
        <f t="shared" si="6"/>
        <v>Selecione o Ativo</v>
      </c>
      <c r="P19" s="51">
        <f t="shared" si="3"/>
        <v>0</v>
      </c>
      <c r="Q19" t="e">
        <f t="shared" si="7"/>
        <v>#DIV/0!</v>
      </c>
    </row>
    <row r="20" spans="1:49" x14ac:dyDescent="0.35">
      <c r="A20" s="47" t="s">
        <v>20</v>
      </c>
      <c r="B20" s="47">
        <v>1</v>
      </c>
      <c r="C20" s="48" t="str">
        <f t="shared" si="0"/>
        <v>Selecione o Ativo</v>
      </c>
      <c r="D20" s="49">
        <f>'2. Sua Carteira de Ativos'!D20</f>
        <v>0</v>
      </c>
      <c r="F20" s="47"/>
      <c r="I20" s="50"/>
      <c r="K20" s="47">
        <f t="shared" si="1"/>
        <v>19</v>
      </c>
      <c r="L20" s="47" t="str">
        <f t="shared" si="11"/>
        <v/>
      </c>
      <c r="M20" t="str">
        <f t="shared" si="5"/>
        <v/>
      </c>
      <c r="N20" s="48">
        <f>VLOOKUP(A20,'2. Sua Carteira de Ativos'!$A$2:$B$101,2,0)</f>
        <v>0</v>
      </c>
      <c r="O20" t="str">
        <f t="shared" si="6"/>
        <v>Selecione o Ativo</v>
      </c>
      <c r="P20" s="51">
        <f t="shared" si="3"/>
        <v>0</v>
      </c>
      <c r="Q20" t="e">
        <f t="shared" si="7"/>
        <v>#DIV/0!</v>
      </c>
    </row>
    <row r="21" spans="1:49" x14ac:dyDescent="0.35">
      <c r="A21" s="47" t="s">
        <v>21</v>
      </c>
      <c r="B21" s="47">
        <v>1</v>
      </c>
      <c r="C21" s="48" t="str">
        <f t="shared" si="0"/>
        <v>Selecione o Ativo</v>
      </c>
      <c r="D21" s="49">
        <f>'2. Sua Carteira de Ativos'!D21</f>
        <v>0</v>
      </c>
      <c r="F21" s="47"/>
      <c r="I21" s="50"/>
      <c r="K21" s="47">
        <f t="shared" si="1"/>
        <v>20</v>
      </c>
      <c r="L21" s="47" t="str">
        <f t="shared" si="11"/>
        <v/>
      </c>
      <c r="M21" t="str">
        <f t="shared" si="5"/>
        <v/>
      </c>
      <c r="N21" s="48">
        <f>VLOOKUP(A21,'2. Sua Carteira de Ativos'!$A$2:$B$101,2,0)</f>
        <v>0</v>
      </c>
      <c r="O21" t="str">
        <f t="shared" si="6"/>
        <v>Selecione o Ativo</v>
      </c>
      <c r="P21" s="51">
        <f t="shared" si="3"/>
        <v>0</v>
      </c>
      <c r="Q21" t="e">
        <f t="shared" si="7"/>
        <v>#DIV/0!</v>
      </c>
    </row>
    <row r="22" spans="1:49" x14ac:dyDescent="0.35">
      <c r="A22" s="47" t="s">
        <v>22</v>
      </c>
      <c r="B22" s="47">
        <v>1</v>
      </c>
      <c r="C22" s="48" t="str">
        <f t="shared" si="0"/>
        <v>Selecione o Ativo</v>
      </c>
      <c r="D22" s="49">
        <f>'2. Sua Carteira de Ativos'!D22</f>
        <v>0</v>
      </c>
      <c r="F22" s="47"/>
      <c r="I22" s="50"/>
      <c r="K22" s="47">
        <f t="shared" si="1"/>
        <v>21</v>
      </c>
      <c r="L22" s="47" t="str">
        <f t="shared" si="11"/>
        <v/>
      </c>
      <c r="M22" t="str">
        <f t="shared" si="5"/>
        <v/>
      </c>
      <c r="N22" s="48">
        <f>VLOOKUP(A22,'2. Sua Carteira de Ativos'!$A$2:$B$101,2,0)</f>
        <v>0</v>
      </c>
      <c r="O22" t="str">
        <f t="shared" si="6"/>
        <v>Selecione o Ativo</v>
      </c>
      <c r="P22" s="51">
        <f t="shared" si="3"/>
        <v>0</v>
      </c>
      <c r="Q22" t="e">
        <f t="shared" si="7"/>
        <v>#DIV/0!</v>
      </c>
    </row>
    <row r="23" spans="1:49" x14ac:dyDescent="0.35">
      <c r="A23" s="47" t="s">
        <v>23</v>
      </c>
      <c r="B23" s="47">
        <v>1</v>
      </c>
      <c r="C23" s="48" t="str">
        <f t="shared" si="0"/>
        <v>Selecione o Ativo</v>
      </c>
      <c r="D23" s="49">
        <f>'2. Sua Carteira de Ativos'!D23</f>
        <v>0</v>
      </c>
      <c r="F23" s="47"/>
      <c r="I23" s="50"/>
      <c r="K23" s="47">
        <f t="shared" si="1"/>
        <v>22</v>
      </c>
      <c r="L23" s="47" t="str">
        <f t="shared" si="11"/>
        <v/>
      </c>
      <c r="M23" t="str">
        <f t="shared" si="5"/>
        <v/>
      </c>
      <c r="N23" s="48">
        <f>VLOOKUP(A23,'2. Sua Carteira de Ativos'!$A$2:$B$101,2,0)</f>
        <v>0</v>
      </c>
      <c r="O23" t="str">
        <f t="shared" si="6"/>
        <v>Selecione o Ativo</v>
      </c>
      <c r="P23" s="51">
        <f t="shared" si="3"/>
        <v>0</v>
      </c>
      <c r="Q23" t="e">
        <f t="shared" si="7"/>
        <v>#DIV/0!</v>
      </c>
    </row>
    <row r="24" spans="1:49" x14ac:dyDescent="0.35">
      <c r="A24" s="47" t="s">
        <v>24</v>
      </c>
      <c r="B24" s="47">
        <v>1</v>
      </c>
      <c r="C24" s="48" t="str">
        <f t="shared" si="0"/>
        <v>Selecione o Ativo</v>
      </c>
      <c r="D24" s="49">
        <f>'2. Sua Carteira de Ativos'!D24</f>
        <v>0</v>
      </c>
      <c r="F24" s="47"/>
      <c r="I24" s="50"/>
      <c r="K24" s="47">
        <f t="shared" si="1"/>
        <v>23</v>
      </c>
      <c r="L24" s="47" t="str">
        <f t="shared" si="2"/>
        <v/>
      </c>
      <c r="M24" t="str">
        <f t="shared" si="5"/>
        <v/>
      </c>
      <c r="N24" s="48">
        <f>VLOOKUP(A24,'2. Sua Carteira de Ativos'!$A$2:$B$101,2,0)</f>
        <v>0</v>
      </c>
      <c r="O24" t="str">
        <f t="shared" si="6"/>
        <v>Selecione o Ativo</v>
      </c>
      <c r="P24" s="51">
        <f t="shared" si="3"/>
        <v>0</v>
      </c>
      <c r="Q24" t="e">
        <f t="shared" si="7"/>
        <v>#DIV/0!</v>
      </c>
    </row>
    <row r="25" spans="1:49" x14ac:dyDescent="0.35">
      <c r="A25" s="47" t="s">
        <v>25</v>
      </c>
      <c r="B25" s="47">
        <v>1</v>
      </c>
      <c r="C25" s="48" t="str">
        <f t="shared" si="0"/>
        <v>Selecione o Ativo</v>
      </c>
      <c r="D25" s="49">
        <f>'2. Sua Carteira de Ativos'!D25</f>
        <v>0</v>
      </c>
      <c r="F25" s="47"/>
      <c r="I25" s="50"/>
      <c r="K25" s="47">
        <f t="shared" si="1"/>
        <v>24</v>
      </c>
      <c r="L25" s="47" t="str">
        <f t="shared" si="2"/>
        <v/>
      </c>
      <c r="M25" t="str">
        <f t="shared" si="5"/>
        <v/>
      </c>
      <c r="N25" s="48">
        <f>VLOOKUP(A25,'2. Sua Carteira de Ativos'!$A$2:$B$101,2,0)</f>
        <v>0</v>
      </c>
      <c r="O25" t="str">
        <f t="shared" si="6"/>
        <v>Selecione o Ativo</v>
      </c>
      <c r="P25" s="51">
        <f t="shared" si="3"/>
        <v>0</v>
      </c>
      <c r="Q25" t="e">
        <f t="shared" si="7"/>
        <v>#DIV/0!</v>
      </c>
    </row>
    <row r="26" spans="1:49" x14ac:dyDescent="0.35">
      <c r="A26" s="47" t="s">
        <v>26</v>
      </c>
      <c r="B26" s="47">
        <v>1</v>
      </c>
      <c r="C26" s="48" t="str">
        <f t="shared" si="0"/>
        <v>Selecione o Ativo</v>
      </c>
      <c r="D26" s="49">
        <f>'2. Sua Carteira de Ativos'!D26</f>
        <v>0</v>
      </c>
      <c r="F26" s="47"/>
      <c r="I26" s="50"/>
      <c r="K26" s="47">
        <f t="shared" si="1"/>
        <v>25</v>
      </c>
      <c r="L26" s="47" t="str">
        <f t="shared" si="2"/>
        <v/>
      </c>
      <c r="M26" t="str">
        <f t="shared" si="5"/>
        <v/>
      </c>
      <c r="N26" s="48">
        <f>VLOOKUP(A26,'2. Sua Carteira de Ativos'!$A$2:$B$101,2,0)</f>
        <v>0</v>
      </c>
      <c r="O26" t="str">
        <f t="shared" si="6"/>
        <v>Selecione o Ativo</v>
      </c>
      <c r="P26" s="51">
        <f t="shared" si="3"/>
        <v>0</v>
      </c>
      <c r="Q26" t="e">
        <f t="shared" si="7"/>
        <v>#DIV/0!</v>
      </c>
    </row>
    <row r="27" spans="1:49" x14ac:dyDescent="0.35">
      <c r="A27" s="47" t="s">
        <v>27</v>
      </c>
      <c r="B27" s="47">
        <v>1</v>
      </c>
      <c r="C27" s="48" t="str">
        <f t="shared" si="0"/>
        <v>Selecione o Ativo</v>
      </c>
      <c r="D27" s="49">
        <f>'2. Sua Carteira de Ativos'!D27</f>
        <v>0</v>
      </c>
      <c r="F27" s="47"/>
      <c r="I27" s="50"/>
      <c r="K27" s="47">
        <f t="shared" si="1"/>
        <v>26</v>
      </c>
      <c r="L27" s="47" t="str">
        <f t="shared" si="2"/>
        <v/>
      </c>
      <c r="M27" t="str">
        <f t="shared" si="5"/>
        <v/>
      </c>
      <c r="N27" s="48">
        <f>VLOOKUP(A27,'2. Sua Carteira de Ativos'!$A$2:$B$101,2,0)</f>
        <v>0</v>
      </c>
      <c r="O27" t="str">
        <f t="shared" si="6"/>
        <v>Selecione o Ativo</v>
      </c>
      <c r="P27" s="51">
        <f t="shared" si="3"/>
        <v>0</v>
      </c>
      <c r="Q27" t="e">
        <f t="shared" si="7"/>
        <v>#DIV/0!</v>
      </c>
    </row>
    <row r="28" spans="1:49" x14ac:dyDescent="0.35">
      <c r="A28" s="47" t="s">
        <v>28</v>
      </c>
      <c r="B28" s="47">
        <v>1</v>
      </c>
      <c r="C28" s="48" t="str">
        <f t="shared" si="0"/>
        <v>Selecione o Ativo</v>
      </c>
      <c r="D28" s="49">
        <f>'2. Sua Carteira de Ativos'!D28</f>
        <v>0</v>
      </c>
      <c r="F28" s="47"/>
      <c r="I28" s="50"/>
      <c r="K28" s="47">
        <f t="shared" si="1"/>
        <v>27</v>
      </c>
      <c r="L28" s="47" t="str">
        <f t="shared" si="2"/>
        <v/>
      </c>
      <c r="M28" t="str">
        <f t="shared" si="5"/>
        <v/>
      </c>
      <c r="N28" s="48">
        <f>VLOOKUP(A28,'2. Sua Carteira de Ativos'!$A$2:$B$101,2,0)</f>
        <v>0</v>
      </c>
      <c r="O28" t="str">
        <f t="shared" si="6"/>
        <v>Selecione o Ativo</v>
      </c>
      <c r="P28" s="51">
        <f t="shared" si="3"/>
        <v>0</v>
      </c>
      <c r="Q28" t="e">
        <f t="shared" si="7"/>
        <v>#DIV/0!</v>
      </c>
    </row>
    <row r="29" spans="1:49" x14ac:dyDescent="0.35">
      <c r="A29" s="47" t="s">
        <v>29</v>
      </c>
      <c r="B29" s="47">
        <v>1</v>
      </c>
      <c r="C29" s="48" t="str">
        <f t="shared" si="0"/>
        <v>Selecione o Ativo</v>
      </c>
      <c r="D29" s="49">
        <f>'2. Sua Carteira de Ativos'!D29</f>
        <v>0</v>
      </c>
      <c r="F29" s="47"/>
      <c r="I29" s="50"/>
      <c r="K29" s="47">
        <f t="shared" si="1"/>
        <v>28</v>
      </c>
      <c r="L29" s="47" t="str">
        <f t="shared" si="2"/>
        <v/>
      </c>
      <c r="M29" t="str">
        <f t="shared" si="5"/>
        <v/>
      </c>
      <c r="N29" s="48">
        <f>VLOOKUP(A29,'2. Sua Carteira de Ativos'!$A$2:$B$101,2,0)</f>
        <v>0</v>
      </c>
      <c r="O29" t="str">
        <f t="shared" si="6"/>
        <v>Selecione o Ativo</v>
      </c>
      <c r="P29" s="51">
        <f t="shared" si="3"/>
        <v>0</v>
      </c>
      <c r="Q29" t="e">
        <f t="shared" si="7"/>
        <v>#DIV/0!</v>
      </c>
    </row>
    <row r="30" spans="1:49" x14ac:dyDescent="0.35">
      <c r="A30" s="47" t="s">
        <v>30</v>
      </c>
      <c r="B30" s="47">
        <v>1</v>
      </c>
      <c r="C30" s="48" t="str">
        <f t="shared" si="0"/>
        <v>Selecione o Ativo</v>
      </c>
      <c r="D30" s="49">
        <f>'2. Sua Carteira de Ativos'!D30</f>
        <v>0</v>
      </c>
      <c r="F30" s="47"/>
      <c r="I30" s="50"/>
      <c r="K30" s="47">
        <f t="shared" si="1"/>
        <v>29</v>
      </c>
      <c r="L30" s="47" t="str">
        <f t="shared" si="2"/>
        <v/>
      </c>
      <c r="M30" t="str">
        <f t="shared" si="5"/>
        <v/>
      </c>
      <c r="N30" s="48">
        <f>VLOOKUP(A30,'2. Sua Carteira de Ativos'!$A$2:$B$101,2,0)</f>
        <v>0</v>
      </c>
      <c r="O30" t="str">
        <f t="shared" si="6"/>
        <v>Selecione o Ativo</v>
      </c>
      <c r="P30" s="51">
        <f t="shared" si="3"/>
        <v>0</v>
      </c>
      <c r="Q30" t="e">
        <f t="shared" si="7"/>
        <v>#DIV/0!</v>
      </c>
    </row>
    <row r="31" spans="1:49" x14ac:dyDescent="0.35">
      <c r="A31" s="47" t="s">
        <v>31</v>
      </c>
      <c r="B31" s="47">
        <v>1</v>
      </c>
      <c r="C31" s="48" t="str">
        <f t="shared" si="0"/>
        <v>Selecione o Ativo</v>
      </c>
      <c r="D31" s="49">
        <f>'2. Sua Carteira de Ativos'!D31</f>
        <v>0</v>
      </c>
      <c r="F31" s="47"/>
      <c r="I31" s="50"/>
      <c r="K31" s="47">
        <f t="shared" si="1"/>
        <v>30</v>
      </c>
      <c r="L31" s="47" t="str">
        <f t="shared" si="2"/>
        <v/>
      </c>
      <c r="M31" t="str">
        <f t="shared" si="5"/>
        <v/>
      </c>
      <c r="N31" s="48">
        <f>VLOOKUP(A31,'2. Sua Carteira de Ativos'!$A$2:$B$101,2,0)</f>
        <v>0</v>
      </c>
      <c r="O31" t="str">
        <f t="shared" si="6"/>
        <v>Selecione o Ativo</v>
      </c>
      <c r="P31" s="51">
        <f t="shared" si="3"/>
        <v>0</v>
      </c>
      <c r="Q31" t="e">
        <f t="shared" si="7"/>
        <v>#DIV/0!</v>
      </c>
    </row>
    <row r="32" spans="1:49" x14ac:dyDescent="0.35">
      <c r="A32" s="47" t="s">
        <v>44</v>
      </c>
      <c r="B32" s="47">
        <v>1</v>
      </c>
      <c r="C32" s="48" t="str">
        <f t="shared" si="0"/>
        <v>Selecione o Ativo</v>
      </c>
      <c r="D32" s="49">
        <f>'2. Sua Carteira de Ativos'!D32</f>
        <v>0</v>
      </c>
      <c r="F32" s="47"/>
      <c r="I32" s="50"/>
      <c r="K32" s="47">
        <f t="shared" si="1"/>
        <v>31</v>
      </c>
      <c r="L32" s="47" t="str">
        <f t="shared" si="2"/>
        <v/>
      </c>
      <c r="M32" t="str">
        <f t="shared" si="5"/>
        <v/>
      </c>
      <c r="N32" s="48">
        <f>VLOOKUP(A32,'2. Sua Carteira de Ativos'!$A$2:$B$101,2,0)</f>
        <v>0</v>
      </c>
      <c r="O32" t="str">
        <f t="shared" si="6"/>
        <v>Selecione o Ativo</v>
      </c>
      <c r="P32" s="51">
        <f t="shared" si="3"/>
        <v>0</v>
      </c>
      <c r="Q32" t="e">
        <f t="shared" si="7"/>
        <v>#DIV/0!</v>
      </c>
    </row>
    <row r="33" spans="1:17" x14ac:dyDescent="0.35">
      <c r="A33" s="47" t="s">
        <v>45</v>
      </c>
      <c r="B33" s="47">
        <v>1</v>
      </c>
      <c r="C33" s="48" t="str">
        <f t="shared" si="0"/>
        <v>Selecione o Ativo</v>
      </c>
      <c r="D33" s="49">
        <f>'2. Sua Carteira de Ativos'!D33</f>
        <v>0</v>
      </c>
      <c r="F33" s="47"/>
      <c r="I33" s="50"/>
      <c r="K33" s="47">
        <f t="shared" si="1"/>
        <v>32</v>
      </c>
      <c r="L33" s="47" t="str">
        <f t="shared" si="2"/>
        <v/>
      </c>
      <c r="M33" t="str">
        <f t="shared" si="5"/>
        <v/>
      </c>
      <c r="N33" s="48">
        <f>VLOOKUP(A33,'2. Sua Carteira de Ativos'!$A$2:$B$101,2,0)</f>
        <v>0</v>
      </c>
      <c r="O33" t="str">
        <f t="shared" si="6"/>
        <v>Selecione o Ativo</v>
      </c>
      <c r="P33" s="51">
        <f t="shared" si="3"/>
        <v>0</v>
      </c>
      <c r="Q33" t="e">
        <f t="shared" si="7"/>
        <v>#DIV/0!</v>
      </c>
    </row>
    <row r="34" spans="1:17" x14ac:dyDescent="0.35">
      <c r="A34" s="47" t="s">
        <v>46</v>
      </c>
      <c r="B34" s="47">
        <v>1</v>
      </c>
      <c r="C34" s="48" t="str">
        <f t="shared" ref="C34:C51" si="12">VLOOKUP(B34,F:G,2,0)</f>
        <v>Selecione o Ativo</v>
      </c>
      <c r="D34" s="49">
        <f>'2. Sua Carteira de Ativos'!D34</f>
        <v>0</v>
      </c>
      <c r="F34" s="47"/>
      <c r="I34" s="50"/>
      <c r="K34" s="47">
        <f t="shared" ref="K34:K65" si="13">VALUE(TRIM(RIGHT(A34,2)))</f>
        <v>33</v>
      </c>
      <c r="L34" s="47" t="str">
        <f t="shared" ref="L34:L65" si="14">IF(IFERROR(VLOOKUP(VLOOKUP(C34,$G$2:$H$19,2,0),$AP$1:$AQ$12,2,0),0)*K34=0,"",IFERROR(VLOOKUP(VLOOKUP(C34,$G$2:$H$19,2,0),$AP$1:$AQ$12,2,0),0)*K34)</f>
        <v/>
      </c>
      <c r="M34" t="str">
        <f t="shared" si="5"/>
        <v/>
      </c>
      <c r="N34" s="48">
        <f>VLOOKUP(A34,'2. Sua Carteira de Ativos'!$A$2:$B$101,2,0)</f>
        <v>0</v>
      </c>
      <c r="O34" t="str">
        <f t="shared" ref="O34:O65" si="15">VLOOKUP(C34,$AV$1:$AW$18,2,0)</f>
        <v>Selecione o Ativo</v>
      </c>
      <c r="P34" s="51">
        <f t="shared" ref="P34:P65" si="16">IF(M34="",0,D34)</f>
        <v>0</v>
      </c>
      <c r="Q34" t="e">
        <f t="shared" si="7"/>
        <v>#DIV/0!</v>
      </c>
    </row>
    <row r="35" spans="1:17" x14ac:dyDescent="0.35">
      <c r="A35" s="47" t="s">
        <v>47</v>
      </c>
      <c r="B35" s="47">
        <v>1</v>
      </c>
      <c r="C35" s="48" t="str">
        <f t="shared" si="12"/>
        <v>Selecione o Ativo</v>
      </c>
      <c r="D35" s="49">
        <f>'2. Sua Carteira de Ativos'!D35</f>
        <v>0</v>
      </c>
      <c r="F35" s="47"/>
      <c r="I35" s="50"/>
      <c r="K35" s="47">
        <f t="shared" si="13"/>
        <v>34</v>
      </c>
      <c r="L35" s="47" t="str">
        <f t="shared" si="14"/>
        <v/>
      </c>
      <c r="M35" t="str">
        <f t="shared" si="5"/>
        <v/>
      </c>
      <c r="N35" s="48">
        <f>VLOOKUP(A35,'2. Sua Carteira de Ativos'!$A$2:$B$101,2,0)</f>
        <v>0</v>
      </c>
      <c r="O35" t="str">
        <f t="shared" si="15"/>
        <v>Selecione o Ativo</v>
      </c>
      <c r="P35" s="51">
        <f t="shared" si="16"/>
        <v>0</v>
      </c>
      <c r="Q35" t="e">
        <f t="shared" si="7"/>
        <v>#DIV/0!</v>
      </c>
    </row>
    <row r="36" spans="1:17" x14ac:dyDescent="0.35">
      <c r="A36" s="47" t="s">
        <v>48</v>
      </c>
      <c r="B36" s="47">
        <v>1</v>
      </c>
      <c r="C36" s="48" t="str">
        <f t="shared" si="12"/>
        <v>Selecione o Ativo</v>
      </c>
      <c r="D36" s="49">
        <f>'2. Sua Carteira de Ativos'!D36</f>
        <v>0</v>
      </c>
      <c r="F36" s="47"/>
      <c r="I36" s="50"/>
      <c r="K36" s="47">
        <f t="shared" si="13"/>
        <v>35</v>
      </c>
      <c r="L36" s="47" t="str">
        <f t="shared" si="14"/>
        <v/>
      </c>
      <c r="M36" t="str">
        <f t="shared" si="5"/>
        <v/>
      </c>
      <c r="N36" s="48">
        <f>VLOOKUP(A36,'2. Sua Carteira de Ativos'!$A$2:$B$101,2,0)</f>
        <v>0</v>
      </c>
      <c r="O36" t="str">
        <f t="shared" si="15"/>
        <v>Selecione o Ativo</v>
      </c>
      <c r="P36" s="51">
        <f t="shared" si="16"/>
        <v>0</v>
      </c>
      <c r="Q36" t="e">
        <f t="shared" si="7"/>
        <v>#DIV/0!</v>
      </c>
    </row>
    <row r="37" spans="1:17" x14ac:dyDescent="0.35">
      <c r="A37" s="47" t="s">
        <v>49</v>
      </c>
      <c r="B37" s="47">
        <v>1</v>
      </c>
      <c r="C37" s="48" t="str">
        <f t="shared" si="12"/>
        <v>Selecione o Ativo</v>
      </c>
      <c r="D37" s="49">
        <f>'2. Sua Carteira de Ativos'!D37</f>
        <v>0</v>
      </c>
      <c r="F37" s="47"/>
      <c r="I37" s="50"/>
      <c r="K37" s="47">
        <f t="shared" si="13"/>
        <v>36</v>
      </c>
      <c r="L37" s="47" t="str">
        <f t="shared" si="14"/>
        <v/>
      </c>
      <c r="M37" t="str">
        <f t="shared" si="5"/>
        <v/>
      </c>
      <c r="N37" s="48">
        <f>VLOOKUP(A37,'2. Sua Carteira de Ativos'!$A$2:$B$101,2,0)</f>
        <v>0</v>
      </c>
      <c r="O37" t="str">
        <f t="shared" si="15"/>
        <v>Selecione o Ativo</v>
      </c>
      <c r="P37" s="51">
        <f t="shared" si="16"/>
        <v>0</v>
      </c>
      <c r="Q37" t="e">
        <f t="shared" si="7"/>
        <v>#DIV/0!</v>
      </c>
    </row>
    <row r="38" spans="1:17" x14ac:dyDescent="0.35">
      <c r="A38" s="47" t="s">
        <v>50</v>
      </c>
      <c r="B38" s="47">
        <v>1</v>
      </c>
      <c r="C38" s="48" t="str">
        <f t="shared" si="12"/>
        <v>Selecione o Ativo</v>
      </c>
      <c r="D38" s="49">
        <f>'2. Sua Carteira de Ativos'!D38</f>
        <v>0</v>
      </c>
      <c r="F38" s="47"/>
      <c r="I38" s="50"/>
      <c r="K38" s="47">
        <f t="shared" si="13"/>
        <v>37</v>
      </c>
      <c r="L38" s="47" t="str">
        <f t="shared" si="14"/>
        <v/>
      </c>
      <c r="M38" t="str">
        <f t="shared" si="5"/>
        <v/>
      </c>
      <c r="N38" s="48">
        <f>VLOOKUP(A38,'2. Sua Carteira de Ativos'!$A$2:$B$101,2,0)</f>
        <v>0</v>
      </c>
      <c r="O38" t="str">
        <f t="shared" si="15"/>
        <v>Selecione o Ativo</v>
      </c>
      <c r="P38" s="51">
        <f t="shared" si="16"/>
        <v>0</v>
      </c>
      <c r="Q38" t="e">
        <f t="shared" si="7"/>
        <v>#DIV/0!</v>
      </c>
    </row>
    <row r="39" spans="1:17" x14ac:dyDescent="0.35">
      <c r="A39" s="47" t="s">
        <v>51</v>
      </c>
      <c r="B39" s="47">
        <v>1</v>
      </c>
      <c r="C39" s="48" t="str">
        <f t="shared" si="12"/>
        <v>Selecione o Ativo</v>
      </c>
      <c r="D39" s="49">
        <f>'2. Sua Carteira de Ativos'!D39</f>
        <v>0</v>
      </c>
      <c r="F39" s="47"/>
      <c r="I39" s="50"/>
      <c r="K39" s="47">
        <f t="shared" si="13"/>
        <v>38</v>
      </c>
      <c r="L39" s="47" t="str">
        <f t="shared" si="14"/>
        <v/>
      </c>
      <c r="M39" t="str">
        <f t="shared" si="5"/>
        <v/>
      </c>
      <c r="N39" s="48">
        <f>VLOOKUP(A39,'2. Sua Carteira de Ativos'!$A$2:$B$101,2,0)</f>
        <v>0</v>
      </c>
      <c r="O39" t="str">
        <f t="shared" si="15"/>
        <v>Selecione o Ativo</v>
      </c>
      <c r="P39" s="51">
        <f t="shared" si="16"/>
        <v>0</v>
      </c>
      <c r="Q39" t="e">
        <f t="shared" si="7"/>
        <v>#DIV/0!</v>
      </c>
    </row>
    <row r="40" spans="1:17" x14ac:dyDescent="0.35">
      <c r="A40" s="47" t="s">
        <v>52</v>
      </c>
      <c r="B40" s="47">
        <v>1</v>
      </c>
      <c r="C40" s="48" t="str">
        <f t="shared" si="12"/>
        <v>Selecione o Ativo</v>
      </c>
      <c r="D40" s="49">
        <f>'2. Sua Carteira de Ativos'!D40</f>
        <v>0</v>
      </c>
      <c r="F40" s="47"/>
      <c r="I40" s="50"/>
      <c r="K40" s="47">
        <f t="shared" si="13"/>
        <v>39</v>
      </c>
      <c r="L40" s="47" t="str">
        <f t="shared" si="14"/>
        <v/>
      </c>
      <c r="M40" t="str">
        <f t="shared" si="5"/>
        <v/>
      </c>
      <c r="N40" s="48">
        <f>VLOOKUP(A40,'2. Sua Carteira de Ativos'!$A$2:$B$101,2,0)</f>
        <v>0</v>
      </c>
      <c r="O40" t="str">
        <f t="shared" si="15"/>
        <v>Selecione o Ativo</v>
      </c>
      <c r="P40" s="51">
        <f t="shared" si="16"/>
        <v>0</v>
      </c>
      <c r="Q40" t="e">
        <f t="shared" si="7"/>
        <v>#DIV/0!</v>
      </c>
    </row>
    <row r="41" spans="1:17" x14ac:dyDescent="0.35">
      <c r="A41" s="47" t="s">
        <v>53</v>
      </c>
      <c r="B41" s="47">
        <v>1</v>
      </c>
      <c r="C41" s="48" t="str">
        <f t="shared" si="12"/>
        <v>Selecione o Ativo</v>
      </c>
      <c r="D41" s="49">
        <f>'2. Sua Carteira de Ativos'!D41</f>
        <v>0</v>
      </c>
      <c r="K41" s="47">
        <f t="shared" si="13"/>
        <v>40</v>
      </c>
      <c r="L41" s="47" t="str">
        <f t="shared" si="14"/>
        <v/>
      </c>
      <c r="M41" t="str">
        <f t="shared" si="5"/>
        <v/>
      </c>
      <c r="N41" s="48">
        <f>VLOOKUP(A41,'2. Sua Carteira de Ativos'!$A$2:$B$101,2,0)</f>
        <v>0</v>
      </c>
      <c r="O41" t="str">
        <f t="shared" si="15"/>
        <v>Selecione o Ativo</v>
      </c>
      <c r="P41" s="51">
        <f t="shared" si="16"/>
        <v>0</v>
      </c>
      <c r="Q41" t="e">
        <f t="shared" si="7"/>
        <v>#DIV/0!</v>
      </c>
    </row>
    <row r="42" spans="1:17" x14ac:dyDescent="0.35">
      <c r="A42" s="47" t="s">
        <v>54</v>
      </c>
      <c r="B42" s="47">
        <v>1</v>
      </c>
      <c r="C42" s="48" t="str">
        <f t="shared" si="12"/>
        <v>Selecione o Ativo</v>
      </c>
      <c r="D42" s="49">
        <f>'2. Sua Carteira de Ativos'!D42</f>
        <v>0</v>
      </c>
      <c r="K42" s="47">
        <f t="shared" si="13"/>
        <v>41</v>
      </c>
      <c r="L42" s="47" t="str">
        <f t="shared" si="14"/>
        <v/>
      </c>
      <c r="M42" t="str">
        <f t="shared" si="5"/>
        <v/>
      </c>
      <c r="N42" s="48">
        <f>VLOOKUP(A42,'2. Sua Carteira de Ativos'!$A$2:$B$101,2,0)</f>
        <v>0</v>
      </c>
      <c r="O42" t="str">
        <f t="shared" si="15"/>
        <v>Selecione o Ativo</v>
      </c>
      <c r="P42" s="51">
        <f t="shared" si="16"/>
        <v>0</v>
      </c>
      <c r="Q42" t="e">
        <f t="shared" si="7"/>
        <v>#DIV/0!</v>
      </c>
    </row>
    <row r="43" spans="1:17" x14ac:dyDescent="0.35">
      <c r="A43" s="47" t="s">
        <v>55</v>
      </c>
      <c r="B43" s="47">
        <v>1</v>
      </c>
      <c r="C43" s="48" t="str">
        <f t="shared" si="12"/>
        <v>Selecione o Ativo</v>
      </c>
      <c r="D43" s="49">
        <f>'2. Sua Carteira de Ativos'!D43</f>
        <v>0</v>
      </c>
      <c r="K43" s="47">
        <f t="shared" si="13"/>
        <v>42</v>
      </c>
      <c r="L43" s="47" t="str">
        <f t="shared" si="14"/>
        <v/>
      </c>
      <c r="M43" t="str">
        <f t="shared" si="5"/>
        <v/>
      </c>
      <c r="N43" s="48">
        <f>VLOOKUP(A43,'2. Sua Carteira de Ativos'!$A$2:$B$101,2,0)</f>
        <v>0</v>
      </c>
      <c r="O43" t="str">
        <f t="shared" si="15"/>
        <v>Selecione o Ativo</v>
      </c>
      <c r="P43" s="51">
        <f t="shared" si="16"/>
        <v>0</v>
      </c>
      <c r="Q43" t="e">
        <f t="shared" si="7"/>
        <v>#DIV/0!</v>
      </c>
    </row>
    <row r="44" spans="1:17" x14ac:dyDescent="0.35">
      <c r="A44" s="47" t="s">
        <v>56</v>
      </c>
      <c r="B44" s="47">
        <v>1</v>
      </c>
      <c r="C44" s="48" t="str">
        <f t="shared" si="12"/>
        <v>Selecione o Ativo</v>
      </c>
      <c r="D44" s="49">
        <f>'2. Sua Carteira de Ativos'!D44</f>
        <v>0</v>
      </c>
      <c r="K44" s="47">
        <f t="shared" si="13"/>
        <v>43</v>
      </c>
      <c r="L44" s="47" t="str">
        <f t="shared" si="14"/>
        <v/>
      </c>
      <c r="M44" t="str">
        <f t="shared" si="5"/>
        <v/>
      </c>
      <c r="N44" s="48">
        <f>VLOOKUP(A44,'2. Sua Carteira de Ativos'!$A$2:$B$101,2,0)</f>
        <v>0</v>
      </c>
      <c r="O44" t="str">
        <f t="shared" si="15"/>
        <v>Selecione o Ativo</v>
      </c>
      <c r="P44" s="51">
        <f t="shared" si="16"/>
        <v>0</v>
      </c>
      <c r="Q44" t="e">
        <f t="shared" si="7"/>
        <v>#DIV/0!</v>
      </c>
    </row>
    <row r="45" spans="1:17" x14ac:dyDescent="0.35">
      <c r="A45" s="47" t="s">
        <v>57</v>
      </c>
      <c r="B45" s="47">
        <v>1</v>
      </c>
      <c r="C45" s="48" t="str">
        <f t="shared" si="12"/>
        <v>Selecione o Ativo</v>
      </c>
      <c r="D45" s="49">
        <f>'2. Sua Carteira de Ativos'!D45</f>
        <v>0</v>
      </c>
      <c r="K45" s="47">
        <f t="shared" si="13"/>
        <v>44</v>
      </c>
      <c r="L45" s="47" t="str">
        <f t="shared" si="14"/>
        <v/>
      </c>
      <c r="M45" t="str">
        <f t="shared" si="5"/>
        <v/>
      </c>
      <c r="N45" s="48">
        <f>VLOOKUP(A45,'2. Sua Carteira de Ativos'!$A$2:$B$101,2,0)</f>
        <v>0</v>
      </c>
      <c r="O45" t="str">
        <f t="shared" si="15"/>
        <v>Selecione o Ativo</v>
      </c>
      <c r="P45" s="51">
        <f t="shared" si="16"/>
        <v>0</v>
      </c>
      <c r="Q45" t="e">
        <f t="shared" si="7"/>
        <v>#DIV/0!</v>
      </c>
    </row>
    <row r="46" spans="1:17" x14ac:dyDescent="0.35">
      <c r="A46" s="47" t="s">
        <v>58</v>
      </c>
      <c r="B46" s="47">
        <v>1</v>
      </c>
      <c r="C46" s="48" t="str">
        <f t="shared" si="12"/>
        <v>Selecione o Ativo</v>
      </c>
      <c r="D46" s="49">
        <f>'2. Sua Carteira de Ativos'!D46</f>
        <v>0</v>
      </c>
      <c r="K46" s="47">
        <f t="shared" si="13"/>
        <v>45</v>
      </c>
      <c r="L46" s="47" t="str">
        <f t="shared" si="14"/>
        <v/>
      </c>
      <c r="M46" t="str">
        <f t="shared" si="5"/>
        <v/>
      </c>
      <c r="N46" s="48">
        <f>VLOOKUP(A46,'2. Sua Carteira de Ativos'!$A$2:$B$101,2,0)</f>
        <v>0</v>
      </c>
      <c r="O46" t="str">
        <f t="shared" si="15"/>
        <v>Selecione o Ativo</v>
      </c>
      <c r="P46" s="51">
        <f t="shared" si="16"/>
        <v>0</v>
      </c>
      <c r="Q46" t="e">
        <f t="shared" si="7"/>
        <v>#DIV/0!</v>
      </c>
    </row>
    <row r="47" spans="1:17" x14ac:dyDescent="0.35">
      <c r="A47" s="47" t="s">
        <v>59</v>
      </c>
      <c r="B47" s="47">
        <v>1</v>
      </c>
      <c r="C47" s="48" t="str">
        <f t="shared" si="12"/>
        <v>Selecione o Ativo</v>
      </c>
      <c r="D47" s="49">
        <f>'2. Sua Carteira de Ativos'!D47</f>
        <v>0</v>
      </c>
      <c r="K47" s="47">
        <f t="shared" si="13"/>
        <v>46</v>
      </c>
      <c r="L47" s="47" t="str">
        <f t="shared" si="14"/>
        <v/>
      </c>
      <c r="M47" t="str">
        <f t="shared" si="5"/>
        <v/>
      </c>
      <c r="N47" s="48">
        <f>VLOOKUP(A47,'2. Sua Carteira de Ativos'!$A$2:$B$101,2,0)</f>
        <v>0</v>
      </c>
      <c r="O47" t="str">
        <f t="shared" si="15"/>
        <v>Selecione o Ativo</v>
      </c>
      <c r="P47" s="51">
        <f t="shared" si="16"/>
        <v>0</v>
      </c>
      <c r="Q47" t="e">
        <f t="shared" si="7"/>
        <v>#DIV/0!</v>
      </c>
    </row>
    <row r="48" spans="1:17" x14ac:dyDescent="0.35">
      <c r="A48" s="47" t="s">
        <v>60</v>
      </c>
      <c r="B48" s="47">
        <v>1</v>
      </c>
      <c r="C48" s="48" t="str">
        <f t="shared" si="12"/>
        <v>Selecione o Ativo</v>
      </c>
      <c r="D48" s="49">
        <f>'2. Sua Carteira de Ativos'!D48</f>
        <v>0</v>
      </c>
      <c r="K48" s="47">
        <f t="shared" si="13"/>
        <v>47</v>
      </c>
      <c r="L48" s="47" t="str">
        <f t="shared" si="14"/>
        <v/>
      </c>
      <c r="M48" t="str">
        <f t="shared" si="5"/>
        <v/>
      </c>
      <c r="N48" s="48">
        <f>VLOOKUP(A48,'2. Sua Carteira de Ativos'!$A$2:$B$101,2,0)</f>
        <v>0</v>
      </c>
      <c r="O48" t="str">
        <f t="shared" si="15"/>
        <v>Selecione o Ativo</v>
      </c>
      <c r="P48" s="51">
        <f t="shared" si="16"/>
        <v>0</v>
      </c>
      <c r="Q48" t="e">
        <f t="shared" si="7"/>
        <v>#DIV/0!</v>
      </c>
    </row>
    <row r="49" spans="1:17" x14ac:dyDescent="0.35">
      <c r="A49" s="47" t="s">
        <v>61</v>
      </c>
      <c r="B49" s="47">
        <v>1</v>
      </c>
      <c r="C49" s="48" t="str">
        <f t="shared" si="12"/>
        <v>Selecione o Ativo</v>
      </c>
      <c r="D49" s="49">
        <f>'2. Sua Carteira de Ativos'!D49</f>
        <v>0</v>
      </c>
      <c r="K49" s="47">
        <f t="shared" si="13"/>
        <v>48</v>
      </c>
      <c r="L49" s="47" t="str">
        <f t="shared" si="14"/>
        <v/>
      </c>
      <c r="M49" t="str">
        <f t="shared" si="5"/>
        <v/>
      </c>
      <c r="N49" s="48">
        <f>VLOOKUP(A49,'2. Sua Carteira de Ativos'!$A$2:$B$101,2,0)</f>
        <v>0</v>
      </c>
      <c r="O49" t="str">
        <f t="shared" si="15"/>
        <v>Selecione o Ativo</v>
      </c>
      <c r="P49" s="51">
        <f t="shared" si="16"/>
        <v>0</v>
      </c>
      <c r="Q49" t="e">
        <f t="shared" si="7"/>
        <v>#DIV/0!</v>
      </c>
    </row>
    <row r="50" spans="1:17" x14ac:dyDescent="0.35">
      <c r="A50" s="47" t="s">
        <v>62</v>
      </c>
      <c r="B50" s="47">
        <v>1</v>
      </c>
      <c r="C50" s="48" t="str">
        <f t="shared" si="12"/>
        <v>Selecione o Ativo</v>
      </c>
      <c r="D50" s="49">
        <f>'2. Sua Carteira de Ativos'!D50</f>
        <v>0</v>
      </c>
      <c r="K50" s="47">
        <f t="shared" si="13"/>
        <v>49</v>
      </c>
      <c r="L50" s="47" t="str">
        <f t="shared" si="14"/>
        <v/>
      </c>
      <c r="M50" t="str">
        <f t="shared" si="5"/>
        <v/>
      </c>
      <c r="N50" s="48">
        <f>VLOOKUP(A50,'2. Sua Carteira de Ativos'!$A$2:$B$101,2,0)</f>
        <v>0</v>
      </c>
      <c r="O50" t="str">
        <f t="shared" si="15"/>
        <v>Selecione o Ativo</v>
      </c>
      <c r="P50" s="51">
        <f t="shared" si="16"/>
        <v>0</v>
      </c>
      <c r="Q50" t="e">
        <f t="shared" si="7"/>
        <v>#DIV/0!</v>
      </c>
    </row>
    <row r="51" spans="1:17" x14ac:dyDescent="0.35">
      <c r="A51" s="47" t="s">
        <v>63</v>
      </c>
      <c r="B51" s="47">
        <v>1</v>
      </c>
      <c r="C51" s="48" t="str">
        <f t="shared" si="12"/>
        <v>Selecione o Ativo</v>
      </c>
      <c r="D51" s="49">
        <f>'2. Sua Carteira de Ativos'!D51</f>
        <v>0</v>
      </c>
      <c r="K51" s="47">
        <f t="shared" si="13"/>
        <v>50</v>
      </c>
      <c r="L51" s="47" t="str">
        <f t="shared" si="14"/>
        <v/>
      </c>
      <c r="M51" t="str">
        <f t="shared" si="5"/>
        <v/>
      </c>
      <c r="N51" s="48">
        <f>VLOOKUP(A51,'2. Sua Carteira de Ativos'!$A$2:$B$101,2,0)</f>
        <v>0</v>
      </c>
      <c r="O51" t="str">
        <f t="shared" si="15"/>
        <v>Selecione o Ativo</v>
      </c>
      <c r="P51" s="51">
        <f t="shared" si="16"/>
        <v>0</v>
      </c>
      <c r="Q51" t="e">
        <f t="shared" si="7"/>
        <v>#DIV/0!</v>
      </c>
    </row>
    <row r="52" spans="1:17" x14ac:dyDescent="0.35">
      <c r="A52" s="47" t="s">
        <v>66</v>
      </c>
      <c r="B52" s="47">
        <v>1</v>
      </c>
      <c r="C52" s="48" t="str">
        <f t="shared" ref="C52:C101" si="17">VLOOKUP(B52,F:G,2,0)</f>
        <v>Selecione o Ativo</v>
      </c>
      <c r="D52" s="49">
        <f>'2. Sua Carteira de Ativos'!D52</f>
        <v>0</v>
      </c>
      <c r="K52" s="47">
        <f t="shared" si="13"/>
        <v>51</v>
      </c>
      <c r="L52" s="47" t="str">
        <f t="shared" si="14"/>
        <v/>
      </c>
      <c r="M52" t="str">
        <f t="shared" si="5"/>
        <v/>
      </c>
      <c r="N52" s="48">
        <f>VLOOKUP(A52,'2. Sua Carteira de Ativos'!$A$2:$B$101,2,0)</f>
        <v>0</v>
      </c>
      <c r="O52" t="str">
        <f t="shared" si="15"/>
        <v>Selecione o Ativo</v>
      </c>
      <c r="P52" s="51">
        <f t="shared" si="16"/>
        <v>0</v>
      </c>
      <c r="Q52" t="e">
        <f t="shared" si="7"/>
        <v>#DIV/0!</v>
      </c>
    </row>
    <row r="53" spans="1:17" x14ac:dyDescent="0.35">
      <c r="A53" s="47" t="s">
        <v>67</v>
      </c>
      <c r="B53" s="47">
        <v>1</v>
      </c>
      <c r="C53" s="48" t="str">
        <f t="shared" si="17"/>
        <v>Selecione o Ativo</v>
      </c>
      <c r="D53" s="49">
        <f>'2. Sua Carteira de Ativos'!D53</f>
        <v>0</v>
      </c>
      <c r="K53" s="47">
        <f t="shared" si="13"/>
        <v>52</v>
      </c>
      <c r="L53" s="47" t="str">
        <f t="shared" si="14"/>
        <v/>
      </c>
      <c r="M53" t="str">
        <f t="shared" si="5"/>
        <v/>
      </c>
      <c r="N53" s="48">
        <f>VLOOKUP(A53,'2. Sua Carteira de Ativos'!$A$2:$B$101,2,0)</f>
        <v>0</v>
      </c>
      <c r="O53" t="str">
        <f t="shared" si="15"/>
        <v>Selecione o Ativo</v>
      </c>
      <c r="P53" s="51">
        <f t="shared" si="16"/>
        <v>0</v>
      </c>
      <c r="Q53" t="e">
        <f t="shared" si="7"/>
        <v>#DIV/0!</v>
      </c>
    </row>
    <row r="54" spans="1:17" x14ac:dyDescent="0.35">
      <c r="A54" s="47" t="s">
        <v>68</v>
      </c>
      <c r="B54" s="47">
        <v>1</v>
      </c>
      <c r="C54" s="48" t="str">
        <f t="shared" si="17"/>
        <v>Selecione o Ativo</v>
      </c>
      <c r="D54" s="49">
        <f>'2. Sua Carteira de Ativos'!D54</f>
        <v>0</v>
      </c>
      <c r="K54" s="47">
        <f t="shared" si="13"/>
        <v>53</v>
      </c>
      <c r="L54" s="47" t="str">
        <f t="shared" si="14"/>
        <v/>
      </c>
      <c r="M54" t="str">
        <f t="shared" si="5"/>
        <v/>
      </c>
      <c r="N54" s="48">
        <f>VLOOKUP(A54,'2. Sua Carteira de Ativos'!$A$2:$B$101,2,0)</f>
        <v>0</v>
      </c>
      <c r="O54" t="str">
        <f t="shared" si="15"/>
        <v>Selecione o Ativo</v>
      </c>
      <c r="P54" s="51">
        <f t="shared" si="16"/>
        <v>0</v>
      </c>
      <c r="Q54" t="e">
        <f t="shared" si="7"/>
        <v>#DIV/0!</v>
      </c>
    </row>
    <row r="55" spans="1:17" x14ac:dyDescent="0.35">
      <c r="A55" s="47" t="s">
        <v>69</v>
      </c>
      <c r="B55" s="47">
        <v>1</v>
      </c>
      <c r="C55" s="48" t="str">
        <f t="shared" si="17"/>
        <v>Selecione o Ativo</v>
      </c>
      <c r="D55" s="49">
        <f>'2. Sua Carteira de Ativos'!D55</f>
        <v>0</v>
      </c>
      <c r="K55" s="47">
        <f t="shared" si="13"/>
        <v>54</v>
      </c>
      <c r="L55" s="47" t="str">
        <f t="shared" si="14"/>
        <v/>
      </c>
      <c r="M55" t="str">
        <f t="shared" si="5"/>
        <v/>
      </c>
      <c r="N55" s="48">
        <f>VLOOKUP(A55,'2. Sua Carteira de Ativos'!$A$2:$B$101,2,0)</f>
        <v>0</v>
      </c>
      <c r="O55" t="str">
        <f t="shared" si="15"/>
        <v>Selecione o Ativo</v>
      </c>
      <c r="P55" s="51">
        <f t="shared" si="16"/>
        <v>0</v>
      </c>
      <c r="Q55" t="e">
        <f t="shared" si="7"/>
        <v>#DIV/0!</v>
      </c>
    </row>
    <row r="56" spans="1:17" x14ac:dyDescent="0.35">
      <c r="A56" s="47" t="s">
        <v>70</v>
      </c>
      <c r="B56" s="47">
        <v>1</v>
      </c>
      <c r="C56" s="48" t="str">
        <f t="shared" si="17"/>
        <v>Selecione o Ativo</v>
      </c>
      <c r="D56" s="49">
        <f>'2. Sua Carteira de Ativos'!D56</f>
        <v>0</v>
      </c>
      <c r="K56" s="47">
        <f t="shared" si="13"/>
        <v>55</v>
      </c>
      <c r="L56" s="47" t="str">
        <f t="shared" si="14"/>
        <v/>
      </c>
      <c r="M56" t="str">
        <f t="shared" si="5"/>
        <v/>
      </c>
      <c r="N56" s="48">
        <f>VLOOKUP(A56,'2. Sua Carteira de Ativos'!$A$2:$B$101,2,0)</f>
        <v>0</v>
      </c>
      <c r="O56" t="str">
        <f t="shared" si="15"/>
        <v>Selecione o Ativo</v>
      </c>
      <c r="P56" s="51">
        <f t="shared" si="16"/>
        <v>0</v>
      </c>
      <c r="Q56" t="e">
        <f t="shared" si="7"/>
        <v>#DIV/0!</v>
      </c>
    </row>
    <row r="57" spans="1:17" x14ac:dyDescent="0.35">
      <c r="A57" s="47" t="s">
        <v>71</v>
      </c>
      <c r="B57" s="47">
        <v>1</v>
      </c>
      <c r="C57" s="48" t="str">
        <f t="shared" si="17"/>
        <v>Selecione o Ativo</v>
      </c>
      <c r="D57" s="49">
        <f>'2. Sua Carteira de Ativos'!D57</f>
        <v>0</v>
      </c>
      <c r="K57" s="47">
        <f t="shared" si="13"/>
        <v>56</v>
      </c>
      <c r="L57" s="47" t="str">
        <f t="shared" si="14"/>
        <v/>
      </c>
      <c r="M57" t="str">
        <f t="shared" si="5"/>
        <v/>
      </c>
      <c r="N57" s="48">
        <f>VLOOKUP(A57,'2. Sua Carteira de Ativos'!$A$2:$B$101,2,0)</f>
        <v>0</v>
      </c>
      <c r="O57" t="str">
        <f t="shared" si="15"/>
        <v>Selecione o Ativo</v>
      </c>
      <c r="P57" s="51">
        <f t="shared" si="16"/>
        <v>0</v>
      </c>
      <c r="Q57" t="e">
        <f t="shared" si="7"/>
        <v>#DIV/0!</v>
      </c>
    </row>
    <row r="58" spans="1:17" x14ac:dyDescent="0.35">
      <c r="A58" s="47" t="s">
        <v>72</v>
      </c>
      <c r="B58" s="47">
        <v>1</v>
      </c>
      <c r="C58" s="48" t="str">
        <f t="shared" si="17"/>
        <v>Selecione o Ativo</v>
      </c>
      <c r="D58" s="49">
        <f>'2. Sua Carteira de Ativos'!D58</f>
        <v>0</v>
      </c>
      <c r="K58" s="47">
        <f t="shared" si="13"/>
        <v>57</v>
      </c>
      <c r="L58" s="47" t="str">
        <f t="shared" si="14"/>
        <v/>
      </c>
      <c r="M58" t="str">
        <f t="shared" si="5"/>
        <v/>
      </c>
      <c r="N58" s="48">
        <f>VLOOKUP(A58,'2. Sua Carteira de Ativos'!$A$2:$B$101,2,0)</f>
        <v>0</v>
      </c>
      <c r="O58" t="str">
        <f t="shared" si="15"/>
        <v>Selecione o Ativo</v>
      </c>
      <c r="P58" s="51">
        <f t="shared" si="16"/>
        <v>0</v>
      </c>
      <c r="Q58" t="e">
        <f t="shared" si="7"/>
        <v>#DIV/0!</v>
      </c>
    </row>
    <row r="59" spans="1:17" x14ac:dyDescent="0.35">
      <c r="A59" s="47" t="s">
        <v>73</v>
      </c>
      <c r="B59" s="47">
        <v>1</v>
      </c>
      <c r="C59" s="48" t="str">
        <f t="shared" si="17"/>
        <v>Selecione o Ativo</v>
      </c>
      <c r="D59" s="49">
        <f>'2. Sua Carteira de Ativos'!D59</f>
        <v>0</v>
      </c>
      <c r="K59" s="47">
        <f t="shared" si="13"/>
        <v>58</v>
      </c>
      <c r="L59" s="47" t="str">
        <f t="shared" si="14"/>
        <v/>
      </c>
      <c r="M59" t="str">
        <f t="shared" si="5"/>
        <v/>
      </c>
      <c r="N59" s="48">
        <f>VLOOKUP(A59,'2. Sua Carteira de Ativos'!$A$2:$B$101,2,0)</f>
        <v>0</v>
      </c>
      <c r="O59" t="str">
        <f t="shared" si="15"/>
        <v>Selecione o Ativo</v>
      </c>
      <c r="P59" s="51">
        <f t="shared" si="16"/>
        <v>0</v>
      </c>
      <c r="Q59" t="e">
        <f t="shared" si="7"/>
        <v>#DIV/0!</v>
      </c>
    </row>
    <row r="60" spans="1:17" x14ac:dyDescent="0.35">
      <c r="A60" s="47" t="s">
        <v>74</v>
      </c>
      <c r="B60" s="47">
        <v>1</v>
      </c>
      <c r="C60" s="48" t="str">
        <f t="shared" si="17"/>
        <v>Selecione o Ativo</v>
      </c>
      <c r="D60" s="49">
        <f>'2. Sua Carteira de Ativos'!D60</f>
        <v>0</v>
      </c>
      <c r="K60" s="47">
        <f t="shared" si="13"/>
        <v>59</v>
      </c>
      <c r="L60" s="47" t="str">
        <f t="shared" si="14"/>
        <v/>
      </c>
      <c r="M60" t="str">
        <f t="shared" si="5"/>
        <v/>
      </c>
      <c r="N60" s="48">
        <f>VLOOKUP(A60,'2. Sua Carteira de Ativos'!$A$2:$B$101,2,0)</f>
        <v>0</v>
      </c>
      <c r="O60" t="str">
        <f t="shared" si="15"/>
        <v>Selecione o Ativo</v>
      </c>
      <c r="P60" s="51">
        <f t="shared" si="16"/>
        <v>0</v>
      </c>
      <c r="Q60" t="e">
        <f t="shared" si="7"/>
        <v>#DIV/0!</v>
      </c>
    </row>
    <row r="61" spans="1:17" x14ac:dyDescent="0.35">
      <c r="A61" s="47" t="s">
        <v>75</v>
      </c>
      <c r="B61" s="47">
        <v>1</v>
      </c>
      <c r="C61" s="48" t="str">
        <f t="shared" si="17"/>
        <v>Selecione o Ativo</v>
      </c>
      <c r="D61" s="49">
        <f>'2. Sua Carteira de Ativos'!D61</f>
        <v>0</v>
      </c>
      <c r="K61" s="47">
        <f t="shared" si="13"/>
        <v>60</v>
      </c>
      <c r="L61" s="47" t="str">
        <f t="shared" si="14"/>
        <v/>
      </c>
      <c r="M61" t="str">
        <f t="shared" si="5"/>
        <v/>
      </c>
      <c r="N61" s="48">
        <f>VLOOKUP(A61,'2. Sua Carteira de Ativos'!$A$2:$B$101,2,0)</f>
        <v>0</v>
      </c>
      <c r="O61" t="str">
        <f t="shared" si="15"/>
        <v>Selecione o Ativo</v>
      </c>
      <c r="P61" s="51">
        <f t="shared" si="16"/>
        <v>0</v>
      </c>
      <c r="Q61" t="e">
        <f t="shared" si="7"/>
        <v>#DIV/0!</v>
      </c>
    </row>
    <row r="62" spans="1:17" x14ac:dyDescent="0.35">
      <c r="A62" s="47" t="s">
        <v>76</v>
      </c>
      <c r="B62" s="47">
        <v>1</v>
      </c>
      <c r="C62" s="48" t="str">
        <f t="shared" si="17"/>
        <v>Selecione o Ativo</v>
      </c>
      <c r="D62" s="49">
        <f>'2. Sua Carteira de Ativos'!D62</f>
        <v>0</v>
      </c>
      <c r="K62" s="47">
        <f t="shared" si="13"/>
        <v>61</v>
      </c>
      <c r="L62" s="47" t="str">
        <f t="shared" si="14"/>
        <v/>
      </c>
      <c r="M62" t="str">
        <f t="shared" si="5"/>
        <v/>
      </c>
      <c r="N62" s="48">
        <f>VLOOKUP(A62,'2. Sua Carteira de Ativos'!$A$2:$B$101,2,0)</f>
        <v>0</v>
      </c>
      <c r="O62" t="str">
        <f t="shared" si="15"/>
        <v>Selecione o Ativo</v>
      </c>
      <c r="P62" s="51">
        <f t="shared" si="16"/>
        <v>0</v>
      </c>
      <c r="Q62" t="e">
        <f t="shared" si="7"/>
        <v>#DIV/0!</v>
      </c>
    </row>
    <row r="63" spans="1:17" x14ac:dyDescent="0.35">
      <c r="A63" s="47" t="s">
        <v>77</v>
      </c>
      <c r="B63" s="47">
        <v>1</v>
      </c>
      <c r="C63" s="48" t="str">
        <f t="shared" si="17"/>
        <v>Selecione o Ativo</v>
      </c>
      <c r="D63" s="49">
        <f>'2. Sua Carteira de Ativos'!D63</f>
        <v>0</v>
      </c>
      <c r="K63" s="47">
        <f t="shared" si="13"/>
        <v>62</v>
      </c>
      <c r="L63" s="47" t="str">
        <f t="shared" si="14"/>
        <v/>
      </c>
      <c r="M63" t="str">
        <f t="shared" si="5"/>
        <v/>
      </c>
      <c r="N63" s="48">
        <f>VLOOKUP(A63,'2. Sua Carteira de Ativos'!$A$2:$B$101,2,0)</f>
        <v>0</v>
      </c>
      <c r="O63" t="str">
        <f t="shared" si="15"/>
        <v>Selecione o Ativo</v>
      </c>
      <c r="P63" s="51">
        <f t="shared" si="16"/>
        <v>0</v>
      </c>
      <c r="Q63" t="e">
        <f t="shared" si="7"/>
        <v>#DIV/0!</v>
      </c>
    </row>
    <row r="64" spans="1:17" x14ac:dyDescent="0.35">
      <c r="A64" s="47" t="s">
        <v>78</v>
      </c>
      <c r="B64" s="47">
        <v>1</v>
      </c>
      <c r="C64" s="48" t="str">
        <f t="shared" si="17"/>
        <v>Selecione o Ativo</v>
      </c>
      <c r="D64" s="49">
        <f>'2. Sua Carteira de Ativos'!D64</f>
        <v>0</v>
      </c>
      <c r="K64" s="47">
        <f t="shared" si="13"/>
        <v>63</v>
      </c>
      <c r="L64" s="47" t="str">
        <f t="shared" si="14"/>
        <v/>
      </c>
      <c r="M64" t="str">
        <f t="shared" si="5"/>
        <v/>
      </c>
      <c r="N64" s="48">
        <f>VLOOKUP(A64,'2. Sua Carteira de Ativos'!$A$2:$B$101,2,0)</f>
        <v>0</v>
      </c>
      <c r="O64" t="str">
        <f t="shared" si="15"/>
        <v>Selecione o Ativo</v>
      </c>
      <c r="P64" s="51">
        <f t="shared" si="16"/>
        <v>0</v>
      </c>
      <c r="Q64" t="e">
        <f t="shared" si="7"/>
        <v>#DIV/0!</v>
      </c>
    </row>
    <row r="65" spans="1:17" x14ac:dyDescent="0.35">
      <c r="A65" s="47" t="s">
        <v>79</v>
      </c>
      <c r="B65" s="47">
        <v>1</v>
      </c>
      <c r="C65" s="48" t="str">
        <f t="shared" si="17"/>
        <v>Selecione o Ativo</v>
      </c>
      <c r="D65" s="49">
        <f>'2. Sua Carteira de Ativos'!D65</f>
        <v>0</v>
      </c>
      <c r="K65" s="47">
        <f t="shared" si="13"/>
        <v>64</v>
      </c>
      <c r="L65" s="47" t="str">
        <f t="shared" si="14"/>
        <v/>
      </c>
      <c r="M65" t="str">
        <f t="shared" si="5"/>
        <v/>
      </c>
      <c r="N65" s="48">
        <f>VLOOKUP(A65,'2. Sua Carteira de Ativos'!$A$2:$B$101,2,0)</f>
        <v>0</v>
      </c>
      <c r="O65" t="str">
        <f t="shared" si="15"/>
        <v>Selecione o Ativo</v>
      </c>
      <c r="P65" s="51">
        <f t="shared" si="16"/>
        <v>0</v>
      </c>
      <c r="Q65" t="e">
        <f t="shared" si="7"/>
        <v>#DIV/0!</v>
      </c>
    </row>
    <row r="66" spans="1:17" x14ac:dyDescent="0.35">
      <c r="A66" s="47" t="s">
        <v>80</v>
      </c>
      <c r="B66" s="47">
        <v>1</v>
      </c>
      <c r="C66" s="48" t="str">
        <f t="shared" si="17"/>
        <v>Selecione o Ativo</v>
      </c>
      <c r="D66" s="49">
        <f>'2. Sua Carteira de Ativos'!D66</f>
        <v>0</v>
      </c>
      <c r="K66" s="47">
        <f t="shared" ref="K66:K71" si="18">VALUE(TRIM(RIGHT(A66,2)))</f>
        <v>65</v>
      </c>
      <c r="L66" s="47" t="str">
        <f t="shared" ref="L66:L71" si="19">IF(IFERROR(VLOOKUP(VLOOKUP(C66,$G$2:$H$19,2,0),$AP$1:$AQ$12,2,0),0)*K66=0,"",IFERROR(VLOOKUP(VLOOKUP(C66,$G$2:$H$19,2,0),$AP$1:$AQ$12,2,0),0)*K66)</f>
        <v/>
      </c>
      <c r="M66" t="str">
        <f t="shared" si="5"/>
        <v/>
      </c>
      <c r="N66" s="48">
        <f>VLOOKUP(A66,'2. Sua Carteira de Ativos'!$A$2:$B$101,2,0)</f>
        <v>0</v>
      </c>
      <c r="O66" t="str">
        <f t="shared" ref="O66:O71" si="20">VLOOKUP(C66,$AV$1:$AW$18,2,0)</f>
        <v>Selecione o Ativo</v>
      </c>
      <c r="P66" s="51">
        <f t="shared" ref="P66:P71" si="21">IF(M66="",0,D66)</f>
        <v>0</v>
      </c>
      <c r="Q66" t="e">
        <f t="shared" si="7"/>
        <v>#DIV/0!</v>
      </c>
    </row>
    <row r="67" spans="1:17" x14ac:dyDescent="0.35">
      <c r="A67" s="47" t="s">
        <v>81</v>
      </c>
      <c r="B67" s="47">
        <v>1</v>
      </c>
      <c r="C67" s="48" t="str">
        <f t="shared" si="17"/>
        <v>Selecione o Ativo</v>
      </c>
      <c r="D67" s="49">
        <f>'2. Sua Carteira de Ativos'!D67</f>
        <v>0</v>
      </c>
      <c r="K67" s="47">
        <f t="shared" si="18"/>
        <v>66</v>
      </c>
      <c r="L67" s="47" t="str">
        <f t="shared" si="19"/>
        <v/>
      </c>
      <c r="M67" t="str">
        <f t="shared" ref="M67:M101" si="22">IFERROR(RANK(L67,$L$2:$L$101,1),"")</f>
        <v/>
      </c>
      <c r="N67" s="48">
        <f>VLOOKUP(A67,'2. Sua Carteira de Ativos'!$A$2:$B$101,2,0)</f>
        <v>0</v>
      </c>
      <c r="O67" t="str">
        <f t="shared" si="20"/>
        <v>Selecione o Ativo</v>
      </c>
      <c r="P67" s="51">
        <f t="shared" si="21"/>
        <v>0</v>
      </c>
      <c r="Q67" t="e">
        <f t="shared" ref="Q67:Q101" si="23">P67/SUM($P$2:$P$101)</f>
        <v>#DIV/0!</v>
      </c>
    </row>
    <row r="68" spans="1:17" x14ac:dyDescent="0.35">
      <c r="A68" s="47" t="s">
        <v>82</v>
      </c>
      <c r="B68" s="47">
        <v>1</v>
      </c>
      <c r="C68" s="48" t="str">
        <f t="shared" si="17"/>
        <v>Selecione o Ativo</v>
      </c>
      <c r="D68" s="49">
        <f>'2. Sua Carteira de Ativos'!D68</f>
        <v>0</v>
      </c>
      <c r="K68" s="47">
        <f t="shared" si="18"/>
        <v>67</v>
      </c>
      <c r="L68" s="47" t="str">
        <f t="shared" si="19"/>
        <v/>
      </c>
      <c r="M68" t="str">
        <f t="shared" si="22"/>
        <v/>
      </c>
      <c r="N68" s="48">
        <f>VLOOKUP(A68,'2. Sua Carteira de Ativos'!$A$2:$B$101,2,0)</f>
        <v>0</v>
      </c>
      <c r="O68" t="str">
        <f t="shared" si="20"/>
        <v>Selecione o Ativo</v>
      </c>
      <c r="P68" s="51">
        <f t="shared" si="21"/>
        <v>0</v>
      </c>
      <c r="Q68" t="e">
        <f t="shared" si="23"/>
        <v>#DIV/0!</v>
      </c>
    </row>
    <row r="69" spans="1:17" x14ac:dyDescent="0.35">
      <c r="A69" s="47" t="s">
        <v>83</v>
      </c>
      <c r="B69" s="47">
        <v>1</v>
      </c>
      <c r="C69" s="48" t="str">
        <f t="shared" si="17"/>
        <v>Selecione o Ativo</v>
      </c>
      <c r="D69" s="49">
        <f>'2. Sua Carteira de Ativos'!D69</f>
        <v>0</v>
      </c>
      <c r="K69" s="47">
        <f t="shared" si="18"/>
        <v>68</v>
      </c>
      <c r="L69" s="47" t="str">
        <f t="shared" si="19"/>
        <v/>
      </c>
      <c r="M69" t="str">
        <f t="shared" si="22"/>
        <v/>
      </c>
      <c r="N69" s="48">
        <f>VLOOKUP(A69,'2. Sua Carteira de Ativos'!$A$2:$B$101,2,0)</f>
        <v>0</v>
      </c>
      <c r="O69" t="str">
        <f t="shared" si="20"/>
        <v>Selecione o Ativo</v>
      </c>
      <c r="P69" s="51">
        <f t="shared" si="21"/>
        <v>0</v>
      </c>
      <c r="Q69" t="e">
        <f t="shared" si="23"/>
        <v>#DIV/0!</v>
      </c>
    </row>
    <row r="70" spans="1:17" x14ac:dyDescent="0.35">
      <c r="A70" s="47" t="s">
        <v>84</v>
      </c>
      <c r="B70" s="47">
        <v>1</v>
      </c>
      <c r="C70" s="48" t="str">
        <f t="shared" si="17"/>
        <v>Selecione o Ativo</v>
      </c>
      <c r="D70" s="49">
        <f>'2. Sua Carteira de Ativos'!D70</f>
        <v>0</v>
      </c>
      <c r="K70" s="47">
        <f t="shared" si="18"/>
        <v>69</v>
      </c>
      <c r="L70" s="47" t="str">
        <f t="shared" si="19"/>
        <v/>
      </c>
      <c r="M70" t="str">
        <f t="shared" si="22"/>
        <v/>
      </c>
      <c r="N70" s="48">
        <f>VLOOKUP(A70,'2. Sua Carteira de Ativos'!$A$2:$B$101,2,0)</f>
        <v>0</v>
      </c>
      <c r="O70" t="str">
        <f t="shared" si="20"/>
        <v>Selecione o Ativo</v>
      </c>
      <c r="P70" s="51">
        <f t="shared" si="21"/>
        <v>0</v>
      </c>
      <c r="Q70" t="e">
        <f t="shared" si="23"/>
        <v>#DIV/0!</v>
      </c>
    </row>
    <row r="71" spans="1:17" x14ac:dyDescent="0.35">
      <c r="A71" s="47" t="s">
        <v>85</v>
      </c>
      <c r="B71" s="47">
        <v>1</v>
      </c>
      <c r="C71" s="48" t="str">
        <f t="shared" si="17"/>
        <v>Selecione o Ativo</v>
      </c>
      <c r="D71" s="49">
        <f>'2. Sua Carteira de Ativos'!D71</f>
        <v>0</v>
      </c>
      <c r="K71" s="47">
        <f t="shared" si="18"/>
        <v>70</v>
      </c>
      <c r="L71" s="47" t="str">
        <f t="shared" si="19"/>
        <v/>
      </c>
      <c r="M71" t="str">
        <f t="shared" si="22"/>
        <v/>
      </c>
      <c r="N71" s="48">
        <f>VLOOKUP(A71,'2. Sua Carteira de Ativos'!$A$2:$B$101,2,0)</f>
        <v>0</v>
      </c>
      <c r="O71" t="str">
        <f t="shared" si="20"/>
        <v>Selecione o Ativo</v>
      </c>
      <c r="P71" s="51">
        <f t="shared" si="21"/>
        <v>0</v>
      </c>
      <c r="Q71" t="e">
        <f t="shared" si="23"/>
        <v>#DIV/0!</v>
      </c>
    </row>
    <row r="72" spans="1:17" x14ac:dyDescent="0.35">
      <c r="A72" s="47" t="s">
        <v>148</v>
      </c>
      <c r="B72" s="47">
        <v>1</v>
      </c>
      <c r="C72" s="48" t="str">
        <f t="shared" si="17"/>
        <v>Selecione o Ativo</v>
      </c>
      <c r="D72" s="49">
        <f>'2. Sua Carteira de Ativos'!D72</f>
        <v>0</v>
      </c>
      <c r="K72" s="47">
        <f t="shared" ref="K72:K100" si="24">VALUE(TRIM(RIGHT(A72,2)))</f>
        <v>71</v>
      </c>
      <c r="L72" s="47" t="str">
        <f t="shared" ref="L72:L100" si="25">IF(IFERROR(VLOOKUP(VLOOKUP(C72,$G$2:$H$19,2,0),$AP$1:$AQ$12,2,0),0)*K72=0,"",IFERROR(VLOOKUP(VLOOKUP(C72,$G$2:$H$19,2,0),$AP$1:$AQ$12,2,0),0)*K72)</f>
        <v/>
      </c>
      <c r="M72" t="str">
        <f t="shared" si="22"/>
        <v/>
      </c>
      <c r="N72" s="48">
        <f>VLOOKUP(A72,'2. Sua Carteira de Ativos'!$A$2:$B$101,2,0)</f>
        <v>0</v>
      </c>
      <c r="O72" t="str">
        <f t="shared" ref="O72:O100" si="26">VLOOKUP(C72,$AV$1:$AW$18,2,0)</f>
        <v>Selecione o Ativo</v>
      </c>
      <c r="P72" s="51">
        <f t="shared" ref="P72:P100" si="27">IF(M72="",0,D72)</f>
        <v>0</v>
      </c>
      <c r="Q72" t="e">
        <f t="shared" si="23"/>
        <v>#DIV/0!</v>
      </c>
    </row>
    <row r="73" spans="1:17" x14ac:dyDescent="0.35">
      <c r="A73" s="47" t="s">
        <v>149</v>
      </c>
      <c r="B73" s="47">
        <v>1</v>
      </c>
      <c r="C73" s="48" t="str">
        <f t="shared" si="17"/>
        <v>Selecione o Ativo</v>
      </c>
      <c r="D73" s="49">
        <f>'2. Sua Carteira de Ativos'!D73</f>
        <v>0</v>
      </c>
      <c r="K73" s="47">
        <f t="shared" si="24"/>
        <v>72</v>
      </c>
      <c r="L73" s="47" t="str">
        <f t="shared" si="25"/>
        <v/>
      </c>
      <c r="M73" t="str">
        <f t="shared" si="22"/>
        <v/>
      </c>
      <c r="N73" s="48">
        <f>VLOOKUP(A73,'2. Sua Carteira de Ativos'!$A$2:$B$101,2,0)</f>
        <v>0</v>
      </c>
      <c r="O73" t="str">
        <f t="shared" si="26"/>
        <v>Selecione o Ativo</v>
      </c>
      <c r="P73" s="51">
        <f t="shared" si="27"/>
        <v>0</v>
      </c>
      <c r="Q73" t="e">
        <f t="shared" si="23"/>
        <v>#DIV/0!</v>
      </c>
    </row>
    <row r="74" spans="1:17" x14ac:dyDescent="0.35">
      <c r="A74" s="47" t="s">
        <v>150</v>
      </c>
      <c r="B74" s="47">
        <v>1</v>
      </c>
      <c r="C74" s="48" t="str">
        <f t="shared" si="17"/>
        <v>Selecione o Ativo</v>
      </c>
      <c r="D74" s="49">
        <f>'2. Sua Carteira de Ativos'!D74</f>
        <v>0</v>
      </c>
      <c r="K74" s="47">
        <f t="shared" si="24"/>
        <v>73</v>
      </c>
      <c r="L74" s="47" t="str">
        <f t="shared" si="25"/>
        <v/>
      </c>
      <c r="M74" t="str">
        <f t="shared" si="22"/>
        <v/>
      </c>
      <c r="N74" s="48">
        <f>VLOOKUP(A74,'2. Sua Carteira de Ativos'!$A$2:$B$101,2,0)</f>
        <v>0</v>
      </c>
      <c r="O74" t="str">
        <f t="shared" si="26"/>
        <v>Selecione o Ativo</v>
      </c>
      <c r="P74" s="51">
        <f t="shared" si="27"/>
        <v>0</v>
      </c>
      <c r="Q74" t="e">
        <f t="shared" si="23"/>
        <v>#DIV/0!</v>
      </c>
    </row>
    <row r="75" spans="1:17" x14ac:dyDescent="0.35">
      <c r="A75" s="47" t="s">
        <v>151</v>
      </c>
      <c r="B75" s="47">
        <v>1</v>
      </c>
      <c r="C75" s="48" t="str">
        <f t="shared" si="17"/>
        <v>Selecione o Ativo</v>
      </c>
      <c r="D75" s="49">
        <f>'2. Sua Carteira de Ativos'!D75</f>
        <v>0</v>
      </c>
      <c r="K75" s="47">
        <f t="shared" si="24"/>
        <v>74</v>
      </c>
      <c r="L75" s="47" t="str">
        <f t="shared" si="25"/>
        <v/>
      </c>
      <c r="M75" t="str">
        <f t="shared" si="22"/>
        <v/>
      </c>
      <c r="N75" s="48">
        <f>VLOOKUP(A75,'2. Sua Carteira de Ativos'!$A$2:$B$101,2,0)</f>
        <v>0</v>
      </c>
      <c r="O75" t="str">
        <f t="shared" si="26"/>
        <v>Selecione o Ativo</v>
      </c>
      <c r="P75" s="51">
        <f t="shared" si="27"/>
        <v>0</v>
      </c>
      <c r="Q75" t="e">
        <f t="shared" si="23"/>
        <v>#DIV/0!</v>
      </c>
    </row>
    <row r="76" spans="1:17" x14ac:dyDescent="0.35">
      <c r="A76" s="47" t="s">
        <v>152</v>
      </c>
      <c r="B76" s="47">
        <v>1</v>
      </c>
      <c r="C76" s="48" t="str">
        <f t="shared" si="17"/>
        <v>Selecione o Ativo</v>
      </c>
      <c r="D76" s="49">
        <f>'2. Sua Carteira de Ativos'!D76</f>
        <v>0</v>
      </c>
      <c r="K76" s="47">
        <f t="shared" si="24"/>
        <v>75</v>
      </c>
      <c r="L76" s="47" t="str">
        <f t="shared" si="25"/>
        <v/>
      </c>
      <c r="M76" t="str">
        <f t="shared" si="22"/>
        <v/>
      </c>
      <c r="N76" s="48">
        <f>VLOOKUP(A76,'2. Sua Carteira de Ativos'!$A$2:$B$101,2,0)</f>
        <v>0</v>
      </c>
      <c r="O76" t="str">
        <f t="shared" si="26"/>
        <v>Selecione o Ativo</v>
      </c>
      <c r="P76" s="51">
        <f t="shared" si="27"/>
        <v>0</v>
      </c>
      <c r="Q76" t="e">
        <f t="shared" si="23"/>
        <v>#DIV/0!</v>
      </c>
    </row>
    <row r="77" spans="1:17" x14ac:dyDescent="0.35">
      <c r="A77" s="47" t="s">
        <v>153</v>
      </c>
      <c r="B77" s="47">
        <v>1</v>
      </c>
      <c r="C77" s="48" t="str">
        <f t="shared" si="17"/>
        <v>Selecione o Ativo</v>
      </c>
      <c r="D77" s="49">
        <f>'2. Sua Carteira de Ativos'!D77</f>
        <v>0</v>
      </c>
      <c r="K77" s="47">
        <f t="shared" si="24"/>
        <v>76</v>
      </c>
      <c r="L77" s="47" t="str">
        <f t="shared" si="25"/>
        <v/>
      </c>
      <c r="M77" t="str">
        <f t="shared" si="22"/>
        <v/>
      </c>
      <c r="N77" s="48">
        <f>VLOOKUP(A77,'2. Sua Carteira de Ativos'!$A$2:$B$101,2,0)</f>
        <v>0</v>
      </c>
      <c r="O77" t="str">
        <f t="shared" si="26"/>
        <v>Selecione o Ativo</v>
      </c>
      <c r="P77" s="51">
        <f t="shared" si="27"/>
        <v>0</v>
      </c>
      <c r="Q77" t="e">
        <f t="shared" si="23"/>
        <v>#DIV/0!</v>
      </c>
    </row>
    <row r="78" spans="1:17" x14ac:dyDescent="0.35">
      <c r="A78" s="47" t="s">
        <v>154</v>
      </c>
      <c r="B78" s="47">
        <v>1</v>
      </c>
      <c r="C78" s="48" t="str">
        <f t="shared" si="17"/>
        <v>Selecione o Ativo</v>
      </c>
      <c r="D78" s="49">
        <f>'2. Sua Carteira de Ativos'!D78</f>
        <v>0</v>
      </c>
      <c r="K78" s="47">
        <f t="shared" si="24"/>
        <v>77</v>
      </c>
      <c r="L78" s="47" t="str">
        <f t="shared" si="25"/>
        <v/>
      </c>
      <c r="M78" t="str">
        <f t="shared" si="22"/>
        <v/>
      </c>
      <c r="N78" s="48">
        <f>VLOOKUP(A78,'2. Sua Carteira de Ativos'!$A$2:$B$101,2,0)</f>
        <v>0</v>
      </c>
      <c r="O78" t="str">
        <f t="shared" si="26"/>
        <v>Selecione o Ativo</v>
      </c>
      <c r="P78" s="51">
        <f t="shared" si="27"/>
        <v>0</v>
      </c>
      <c r="Q78" t="e">
        <f t="shared" si="23"/>
        <v>#DIV/0!</v>
      </c>
    </row>
    <row r="79" spans="1:17" x14ac:dyDescent="0.35">
      <c r="A79" s="47" t="s">
        <v>155</v>
      </c>
      <c r="B79" s="47">
        <v>1</v>
      </c>
      <c r="C79" s="48" t="str">
        <f t="shared" si="17"/>
        <v>Selecione o Ativo</v>
      </c>
      <c r="D79" s="49">
        <f>'2. Sua Carteira de Ativos'!D79</f>
        <v>0</v>
      </c>
      <c r="K79" s="47">
        <f t="shared" si="24"/>
        <v>78</v>
      </c>
      <c r="L79" s="47" t="str">
        <f t="shared" si="25"/>
        <v/>
      </c>
      <c r="M79" t="str">
        <f t="shared" si="22"/>
        <v/>
      </c>
      <c r="N79" s="48">
        <f>VLOOKUP(A79,'2. Sua Carteira de Ativos'!$A$2:$B$101,2,0)</f>
        <v>0</v>
      </c>
      <c r="O79" t="str">
        <f t="shared" si="26"/>
        <v>Selecione o Ativo</v>
      </c>
      <c r="P79" s="51">
        <f t="shared" si="27"/>
        <v>0</v>
      </c>
      <c r="Q79" t="e">
        <f t="shared" si="23"/>
        <v>#DIV/0!</v>
      </c>
    </row>
    <row r="80" spans="1:17" x14ac:dyDescent="0.35">
      <c r="A80" s="47" t="s">
        <v>156</v>
      </c>
      <c r="B80" s="47">
        <v>1</v>
      </c>
      <c r="C80" s="48" t="str">
        <f t="shared" si="17"/>
        <v>Selecione o Ativo</v>
      </c>
      <c r="D80" s="49">
        <f>'2. Sua Carteira de Ativos'!D80</f>
        <v>0</v>
      </c>
      <c r="K80" s="47">
        <f t="shared" si="24"/>
        <v>79</v>
      </c>
      <c r="L80" s="47" t="str">
        <f t="shared" si="25"/>
        <v/>
      </c>
      <c r="M80" t="str">
        <f t="shared" si="22"/>
        <v/>
      </c>
      <c r="N80" s="48">
        <f>VLOOKUP(A80,'2. Sua Carteira de Ativos'!$A$2:$B$101,2,0)</f>
        <v>0</v>
      </c>
      <c r="O80" t="str">
        <f t="shared" si="26"/>
        <v>Selecione o Ativo</v>
      </c>
      <c r="P80" s="51">
        <f t="shared" si="27"/>
        <v>0</v>
      </c>
      <c r="Q80" t="e">
        <f t="shared" si="23"/>
        <v>#DIV/0!</v>
      </c>
    </row>
    <row r="81" spans="1:17" x14ac:dyDescent="0.35">
      <c r="A81" s="47" t="s">
        <v>157</v>
      </c>
      <c r="B81" s="47">
        <v>1</v>
      </c>
      <c r="C81" s="48" t="str">
        <f t="shared" si="17"/>
        <v>Selecione o Ativo</v>
      </c>
      <c r="D81" s="49">
        <f>'2. Sua Carteira de Ativos'!D81</f>
        <v>0</v>
      </c>
      <c r="K81" s="47">
        <f t="shared" si="24"/>
        <v>80</v>
      </c>
      <c r="L81" s="47" t="str">
        <f t="shared" si="25"/>
        <v/>
      </c>
      <c r="M81" t="str">
        <f t="shared" si="22"/>
        <v/>
      </c>
      <c r="N81" s="48">
        <f>VLOOKUP(A81,'2. Sua Carteira de Ativos'!$A$2:$B$101,2,0)</f>
        <v>0</v>
      </c>
      <c r="O81" t="str">
        <f t="shared" si="26"/>
        <v>Selecione o Ativo</v>
      </c>
      <c r="P81" s="51">
        <f t="shared" si="27"/>
        <v>0</v>
      </c>
      <c r="Q81" t="e">
        <f t="shared" si="23"/>
        <v>#DIV/0!</v>
      </c>
    </row>
    <row r="82" spans="1:17" x14ac:dyDescent="0.35">
      <c r="A82" s="47" t="s">
        <v>158</v>
      </c>
      <c r="B82" s="47">
        <v>1</v>
      </c>
      <c r="C82" s="48" t="str">
        <f t="shared" si="17"/>
        <v>Selecione o Ativo</v>
      </c>
      <c r="D82" s="49">
        <f>'2. Sua Carteira de Ativos'!D82</f>
        <v>0</v>
      </c>
      <c r="K82" s="47">
        <f t="shared" si="24"/>
        <v>81</v>
      </c>
      <c r="L82" s="47" t="str">
        <f t="shared" si="25"/>
        <v/>
      </c>
      <c r="M82" t="str">
        <f t="shared" si="22"/>
        <v/>
      </c>
      <c r="N82" s="48">
        <f>VLOOKUP(A82,'2. Sua Carteira de Ativos'!$A$2:$B$101,2,0)</f>
        <v>0</v>
      </c>
      <c r="O82" t="str">
        <f t="shared" si="26"/>
        <v>Selecione o Ativo</v>
      </c>
      <c r="P82" s="51">
        <f t="shared" si="27"/>
        <v>0</v>
      </c>
      <c r="Q82" t="e">
        <f t="shared" si="23"/>
        <v>#DIV/0!</v>
      </c>
    </row>
    <row r="83" spans="1:17" x14ac:dyDescent="0.35">
      <c r="A83" s="47" t="s">
        <v>159</v>
      </c>
      <c r="B83" s="47">
        <v>1</v>
      </c>
      <c r="C83" s="48" t="str">
        <f t="shared" si="17"/>
        <v>Selecione o Ativo</v>
      </c>
      <c r="D83" s="49">
        <f>'2. Sua Carteira de Ativos'!D83</f>
        <v>0</v>
      </c>
      <c r="K83" s="47">
        <f t="shared" si="24"/>
        <v>82</v>
      </c>
      <c r="L83" s="47" t="str">
        <f t="shared" si="25"/>
        <v/>
      </c>
      <c r="M83" t="str">
        <f t="shared" si="22"/>
        <v/>
      </c>
      <c r="N83" s="48">
        <f>VLOOKUP(A83,'2. Sua Carteira de Ativos'!$A$2:$B$101,2,0)</f>
        <v>0</v>
      </c>
      <c r="O83" t="str">
        <f t="shared" si="26"/>
        <v>Selecione o Ativo</v>
      </c>
      <c r="P83" s="51">
        <f t="shared" si="27"/>
        <v>0</v>
      </c>
      <c r="Q83" t="e">
        <f t="shared" si="23"/>
        <v>#DIV/0!</v>
      </c>
    </row>
    <row r="84" spans="1:17" x14ac:dyDescent="0.35">
      <c r="A84" s="47" t="s">
        <v>160</v>
      </c>
      <c r="B84" s="47">
        <v>1</v>
      </c>
      <c r="C84" s="48" t="str">
        <f t="shared" si="17"/>
        <v>Selecione o Ativo</v>
      </c>
      <c r="D84" s="49">
        <f>'2. Sua Carteira de Ativos'!D84</f>
        <v>0</v>
      </c>
      <c r="K84" s="47">
        <f t="shared" si="24"/>
        <v>83</v>
      </c>
      <c r="L84" s="47" t="str">
        <f t="shared" si="25"/>
        <v/>
      </c>
      <c r="M84" t="str">
        <f t="shared" si="22"/>
        <v/>
      </c>
      <c r="N84" s="48">
        <f>VLOOKUP(A84,'2. Sua Carteira de Ativos'!$A$2:$B$101,2,0)</f>
        <v>0</v>
      </c>
      <c r="O84" t="str">
        <f t="shared" si="26"/>
        <v>Selecione o Ativo</v>
      </c>
      <c r="P84" s="51">
        <f t="shared" si="27"/>
        <v>0</v>
      </c>
      <c r="Q84" t="e">
        <f t="shared" si="23"/>
        <v>#DIV/0!</v>
      </c>
    </row>
    <row r="85" spans="1:17" x14ac:dyDescent="0.35">
      <c r="A85" s="47" t="s">
        <v>161</v>
      </c>
      <c r="B85" s="47">
        <v>1</v>
      </c>
      <c r="C85" s="48" t="str">
        <f t="shared" si="17"/>
        <v>Selecione o Ativo</v>
      </c>
      <c r="D85" s="49">
        <f>'2. Sua Carteira de Ativos'!D85</f>
        <v>0</v>
      </c>
      <c r="K85" s="47">
        <f t="shared" si="24"/>
        <v>84</v>
      </c>
      <c r="L85" s="47" t="str">
        <f t="shared" si="25"/>
        <v/>
      </c>
      <c r="M85" t="str">
        <f t="shared" si="22"/>
        <v/>
      </c>
      <c r="N85" s="48">
        <f>VLOOKUP(A85,'2. Sua Carteira de Ativos'!$A$2:$B$101,2,0)</f>
        <v>0</v>
      </c>
      <c r="O85" t="str">
        <f t="shared" si="26"/>
        <v>Selecione o Ativo</v>
      </c>
      <c r="P85" s="51">
        <f t="shared" si="27"/>
        <v>0</v>
      </c>
      <c r="Q85" t="e">
        <f t="shared" si="23"/>
        <v>#DIV/0!</v>
      </c>
    </row>
    <row r="86" spans="1:17" x14ac:dyDescent="0.35">
      <c r="A86" s="47" t="s">
        <v>162</v>
      </c>
      <c r="B86" s="47">
        <v>1</v>
      </c>
      <c r="C86" s="48" t="str">
        <f t="shared" si="17"/>
        <v>Selecione o Ativo</v>
      </c>
      <c r="D86" s="49">
        <f>'2. Sua Carteira de Ativos'!D86</f>
        <v>0</v>
      </c>
      <c r="K86" s="47">
        <f t="shared" si="24"/>
        <v>85</v>
      </c>
      <c r="L86" s="47" t="str">
        <f t="shared" si="25"/>
        <v/>
      </c>
      <c r="M86" t="str">
        <f t="shared" si="22"/>
        <v/>
      </c>
      <c r="N86" s="48">
        <f>VLOOKUP(A86,'2. Sua Carteira de Ativos'!$A$2:$B$101,2,0)</f>
        <v>0</v>
      </c>
      <c r="O86" t="str">
        <f t="shared" si="26"/>
        <v>Selecione o Ativo</v>
      </c>
      <c r="P86" s="51">
        <f t="shared" si="27"/>
        <v>0</v>
      </c>
      <c r="Q86" t="e">
        <f t="shared" si="23"/>
        <v>#DIV/0!</v>
      </c>
    </row>
    <row r="87" spans="1:17" x14ac:dyDescent="0.35">
      <c r="A87" s="47" t="s">
        <v>163</v>
      </c>
      <c r="B87" s="47">
        <v>1</v>
      </c>
      <c r="C87" s="48" t="str">
        <f t="shared" si="17"/>
        <v>Selecione o Ativo</v>
      </c>
      <c r="D87" s="49">
        <f>'2. Sua Carteira de Ativos'!D87</f>
        <v>0</v>
      </c>
      <c r="K87" s="47">
        <f t="shared" si="24"/>
        <v>86</v>
      </c>
      <c r="L87" s="47" t="str">
        <f t="shared" si="25"/>
        <v/>
      </c>
      <c r="M87" t="str">
        <f t="shared" si="22"/>
        <v/>
      </c>
      <c r="N87" s="48">
        <f>VLOOKUP(A87,'2. Sua Carteira de Ativos'!$A$2:$B$101,2,0)</f>
        <v>0</v>
      </c>
      <c r="O87" t="str">
        <f t="shared" si="26"/>
        <v>Selecione o Ativo</v>
      </c>
      <c r="P87" s="51">
        <f t="shared" si="27"/>
        <v>0</v>
      </c>
      <c r="Q87" t="e">
        <f t="shared" si="23"/>
        <v>#DIV/0!</v>
      </c>
    </row>
    <row r="88" spans="1:17" x14ac:dyDescent="0.35">
      <c r="A88" s="47" t="s">
        <v>164</v>
      </c>
      <c r="B88" s="47">
        <v>1</v>
      </c>
      <c r="C88" s="48" t="str">
        <f t="shared" si="17"/>
        <v>Selecione o Ativo</v>
      </c>
      <c r="D88" s="49">
        <f>'2. Sua Carteira de Ativos'!D88</f>
        <v>0</v>
      </c>
      <c r="K88" s="47">
        <f t="shared" si="24"/>
        <v>87</v>
      </c>
      <c r="L88" s="47" t="str">
        <f t="shared" si="25"/>
        <v/>
      </c>
      <c r="M88" t="str">
        <f t="shared" si="22"/>
        <v/>
      </c>
      <c r="N88" s="48">
        <f>VLOOKUP(A88,'2. Sua Carteira de Ativos'!$A$2:$B$101,2,0)</f>
        <v>0</v>
      </c>
      <c r="O88" t="str">
        <f t="shared" si="26"/>
        <v>Selecione o Ativo</v>
      </c>
      <c r="P88" s="51">
        <f t="shared" si="27"/>
        <v>0</v>
      </c>
      <c r="Q88" t="e">
        <f t="shared" si="23"/>
        <v>#DIV/0!</v>
      </c>
    </row>
    <row r="89" spans="1:17" x14ac:dyDescent="0.35">
      <c r="A89" s="47" t="s">
        <v>165</v>
      </c>
      <c r="B89" s="47">
        <v>1</v>
      </c>
      <c r="C89" s="48" t="str">
        <f t="shared" si="17"/>
        <v>Selecione o Ativo</v>
      </c>
      <c r="D89" s="49">
        <f>'2. Sua Carteira de Ativos'!D89</f>
        <v>0</v>
      </c>
      <c r="K89" s="47">
        <f t="shared" si="24"/>
        <v>88</v>
      </c>
      <c r="L89" s="47" t="str">
        <f t="shared" si="25"/>
        <v/>
      </c>
      <c r="M89" t="str">
        <f t="shared" si="22"/>
        <v/>
      </c>
      <c r="N89" s="48">
        <f>VLOOKUP(A89,'2. Sua Carteira de Ativos'!$A$2:$B$101,2,0)</f>
        <v>0</v>
      </c>
      <c r="O89" t="str">
        <f t="shared" si="26"/>
        <v>Selecione o Ativo</v>
      </c>
      <c r="P89" s="51">
        <f t="shared" si="27"/>
        <v>0</v>
      </c>
      <c r="Q89" t="e">
        <f t="shared" si="23"/>
        <v>#DIV/0!</v>
      </c>
    </row>
    <row r="90" spans="1:17" x14ac:dyDescent="0.35">
      <c r="A90" s="47" t="s">
        <v>166</v>
      </c>
      <c r="B90" s="47">
        <v>1</v>
      </c>
      <c r="C90" s="48" t="str">
        <f t="shared" si="17"/>
        <v>Selecione o Ativo</v>
      </c>
      <c r="D90" s="49">
        <f>'2. Sua Carteira de Ativos'!D90</f>
        <v>0</v>
      </c>
      <c r="K90" s="47">
        <f t="shared" si="24"/>
        <v>89</v>
      </c>
      <c r="L90" s="47" t="str">
        <f t="shared" si="25"/>
        <v/>
      </c>
      <c r="M90" t="str">
        <f t="shared" si="22"/>
        <v/>
      </c>
      <c r="N90" s="48">
        <f>VLOOKUP(A90,'2. Sua Carteira de Ativos'!$A$2:$B$101,2,0)</f>
        <v>0</v>
      </c>
      <c r="O90" t="str">
        <f t="shared" si="26"/>
        <v>Selecione o Ativo</v>
      </c>
      <c r="P90" s="51">
        <f t="shared" si="27"/>
        <v>0</v>
      </c>
      <c r="Q90" t="e">
        <f t="shared" si="23"/>
        <v>#DIV/0!</v>
      </c>
    </row>
    <row r="91" spans="1:17" x14ac:dyDescent="0.35">
      <c r="A91" s="47" t="s">
        <v>167</v>
      </c>
      <c r="B91" s="47">
        <v>1</v>
      </c>
      <c r="C91" s="48" t="str">
        <f t="shared" si="17"/>
        <v>Selecione o Ativo</v>
      </c>
      <c r="D91" s="49">
        <f>'2. Sua Carteira de Ativos'!D91</f>
        <v>0</v>
      </c>
      <c r="K91" s="47">
        <f t="shared" si="24"/>
        <v>90</v>
      </c>
      <c r="L91" s="47" t="str">
        <f t="shared" si="25"/>
        <v/>
      </c>
      <c r="M91" t="str">
        <f t="shared" si="22"/>
        <v/>
      </c>
      <c r="N91" s="48">
        <f>VLOOKUP(A91,'2. Sua Carteira de Ativos'!$A$2:$B$101,2,0)</f>
        <v>0</v>
      </c>
      <c r="O91" t="str">
        <f t="shared" si="26"/>
        <v>Selecione o Ativo</v>
      </c>
      <c r="P91" s="51">
        <f t="shared" si="27"/>
        <v>0</v>
      </c>
      <c r="Q91" t="e">
        <f t="shared" si="23"/>
        <v>#DIV/0!</v>
      </c>
    </row>
    <row r="92" spans="1:17" x14ac:dyDescent="0.35">
      <c r="A92" s="47" t="s">
        <v>168</v>
      </c>
      <c r="B92" s="47">
        <v>1</v>
      </c>
      <c r="C92" s="48" t="str">
        <f t="shared" si="17"/>
        <v>Selecione o Ativo</v>
      </c>
      <c r="D92" s="49">
        <f>'2. Sua Carteira de Ativos'!D92</f>
        <v>0</v>
      </c>
      <c r="K92" s="47">
        <f t="shared" si="24"/>
        <v>91</v>
      </c>
      <c r="L92" s="47" t="str">
        <f t="shared" si="25"/>
        <v/>
      </c>
      <c r="M92" t="str">
        <f t="shared" si="22"/>
        <v/>
      </c>
      <c r="N92" s="48">
        <f>VLOOKUP(A92,'2. Sua Carteira de Ativos'!$A$2:$B$101,2,0)</f>
        <v>0</v>
      </c>
      <c r="O92" t="str">
        <f t="shared" si="26"/>
        <v>Selecione o Ativo</v>
      </c>
      <c r="P92" s="51">
        <f t="shared" si="27"/>
        <v>0</v>
      </c>
      <c r="Q92" t="e">
        <f t="shared" si="23"/>
        <v>#DIV/0!</v>
      </c>
    </row>
    <row r="93" spans="1:17" x14ac:dyDescent="0.35">
      <c r="A93" s="47" t="s">
        <v>169</v>
      </c>
      <c r="B93" s="47">
        <v>1</v>
      </c>
      <c r="C93" s="48" t="str">
        <f t="shared" si="17"/>
        <v>Selecione o Ativo</v>
      </c>
      <c r="D93" s="49">
        <f>'2. Sua Carteira de Ativos'!D93</f>
        <v>0</v>
      </c>
      <c r="K93" s="47">
        <f t="shared" si="24"/>
        <v>92</v>
      </c>
      <c r="L93" s="47" t="str">
        <f t="shared" si="25"/>
        <v/>
      </c>
      <c r="M93" t="str">
        <f t="shared" si="22"/>
        <v/>
      </c>
      <c r="N93" s="48">
        <f>VLOOKUP(A93,'2. Sua Carteira de Ativos'!$A$2:$B$101,2,0)</f>
        <v>0</v>
      </c>
      <c r="O93" t="str">
        <f t="shared" si="26"/>
        <v>Selecione o Ativo</v>
      </c>
      <c r="P93" s="51">
        <f t="shared" si="27"/>
        <v>0</v>
      </c>
      <c r="Q93" t="e">
        <f t="shared" si="23"/>
        <v>#DIV/0!</v>
      </c>
    </row>
    <row r="94" spans="1:17" x14ac:dyDescent="0.35">
      <c r="A94" s="47" t="s">
        <v>170</v>
      </c>
      <c r="B94" s="47">
        <v>1</v>
      </c>
      <c r="C94" s="48" t="str">
        <f t="shared" si="17"/>
        <v>Selecione o Ativo</v>
      </c>
      <c r="D94" s="49">
        <f>'2. Sua Carteira de Ativos'!D94</f>
        <v>0</v>
      </c>
      <c r="K94" s="47">
        <f t="shared" si="24"/>
        <v>93</v>
      </c>
      <c r="L94" s="47" t="str">
        <f t="shared" si="25"/>
        <v/>
      </c>
      <c r="M94" t="str">
        <f t="shared" si="22"/>
        <v/>
      </c>
      <c r="N94" s="48">
        <f>VLOOKUP(A94,'2. Sua Carteira de Ativos'!$A$2:$B$101,2,0)</f>
        <v>0</v>
      </c>
      <c r="O94" t="str">
        <f t="shared" si="26"/>
        <v>Selecione o Ativo</v>
      </c>
      <c r="P94" s="51">
        <f t="shared" si="27"/>
        <v>0</v>
      </c>
      <c r="Q94" t="e">
        <f t="shared" si="23"/>
        <v>#DIV/0!</v>
      </c>
    </row>
    <row r="95" spans="1:17" x14ac:dyDescent="0.35">
      <c r="A95" s="47" t="s">
        <v>171</v>
      </c>
      <c r="B95" s="47">
        <v>1</v>
      </c>
      <c r="C95" s="48" t="str">
        <f t="shared" si="17"/>
        <v>Selecione o Ativo</v>
      </c>
      <c r="D95" s="49">
        <f>'2. Sua Carteira de Ativos'!D95</f>
        <v>0</v>
      </c>
      <c r="K95" s="47">
        <f t="shared" si="24"/>
        <v>94</v>
      </c>
      <c r="L95" s="47" t="str">
        <f t="shared" si="25"/>
        <v/>
      </c>
      <c r="M95" t="str">
        <f t="shared" si="22"/>
        <v/>
      </c>
      <c r="N95" s="48">
        <f>VLOOKUP(A95,'2. Sua Carteira de Ativos'!$A$2:$B$101,2,0)</f>
        <v>0</v>
      </c>
      <c r="O95" t="str">
        <f t="shared" si="26"/>
        <v>Selecione o Ativo</v>
      </c>
      <c r="P95" s="51">
        <f t="shared" si="27"/>
        <v>0</v>
      </c>
      <c r="Q95" t="e">
        <f t="shared" si="23"/>
        <v>#DIV/0!</v>
      </c>
    </row>
    <row r="96" spans="1:17" x14ac:dyDescent="0.35">
      <c r="A96" s="47" t="s">
        <v>172</v>
      </c>
      <c r="B96" s="47">
        <v>1</v>
      </c>
      <c r="C96" s="48" t="str">
        <f t="shared" si="17"/>
        <v>Selecione o Ativo</v>
      </c>
      <c r="D96" s="49">
        <f>'2. Sua Carteira de Ativos'!D96</f>
        <v>0</v>
      </c>
      <c r="K96" s="47">
        <f t="shared" si="24"/>
        <v>95</v>
      </c>
      <c r="L96" s="47" t="str">
        <f t="shared" si="25"/>
        <v/>
      </c>
      <c r="M96" t="str">
        <f t="shared" si="22"/>
        <v/>
      </c>
      <c r="N96" s="48">
        <f>VLOOKUP(A96,'2. Sua Carteira de Ativos'!$A$2:$B$101,2,0)</f>
        <v>0</v>
      </c>
      <c r="O96" t="str">
        <f t="shared" si="26"/>
        <v>Selecione o Ativo</v>
      </c>
      <c r="P96" s="51">
        <f t="shared" si="27"/>
        <v>0</v>
      </c>
      <c r="Q96" t="e">
        <f t="shared" si="23"/>
        <v>#DIV/0!</v>
      </c>
    </row>
    <row r="97" spans="1:17" x14ac:dyDescent="0.35">
      <c r="A97" s="47" t="s">
        <v>173</v>
      </c>
      <c r="B97" s="47">
        <v>1</v>
      </c>
      <c r="C97" s="48" t="str">
        <f t="shared" si="17"/>
        <v>Selecione o Ativo</v>
      </c>
      <c r="D97" s="49">
        <f>'2. Sua Carteira de Ativos'!D97</f>
        <v>0</v>
      </c>
      <c r="K97" s="47">
        <f t="shared" si="24"/>
        <v>96</v>
      </c>
      <c r="L97" s="47" t="str">
        <f t="shared" si="25"/>
        <v/>
      </c>
      <c r="M97" t="str">
        <f t="shared" si="22"/>
        <v/>
      </c>
      <c r="N97" s="48">
        <f>VLOOKUP(A97,'2. Sua Carteira de Ativos'!$A$2:$B$101,2,0)</f>
        <v>0</v>
      </c>
      <c r="O97" t="str">
        <f t="shared" si="26"/>
        <v>Selecione o Ativo</v>
      </c>
      <c r="P97" s="51">
        <f t="shared" si="27"/>
        <v>0</v>
      </c>
      <c r="Q97" t="e">
        <f t="shared" si="23"/>
        <v>#DIV/0!</v>
      </c>
    </row>
    <row r="98" spans="1:17" x14ac:dyDescent="0.35">
      <c r="A98" s="47" t="s">
        <v>174</v>
      </c>
      <c r="B98" s="47">
        <v>1</v>
      </c>
      <c r="C98" s="48" t="str">
        <f t="shared" si="17"/>
        <v>Selecione o Ativo</v>
      </c>
      <c r="D98" s="49">
        <f>'2. Sua Carteira de Ativos'!D98</f>
        <v>0</v>
      </c>
      <c r="K98" s="47">
        <f t="shared" si="24"/>
        <v>97</v>
      </c>
      <c r="L98" s="47" t="str">
        <f t="shared" si="25"/>
        <v/>
      </c>
      <c r="M98" t="str">
        <f t="shared" si="22"/>
        <v/>
      </c>
      <c r="N98" s="48">
        <f>VLOOKUP(A98,'2. Sua Carteira de Ativos'!$A$2:$B$101,2,0)</f>
        <v>0</v>
      </c>
      <c r="O98" t="str">
        <f t="shared" si="26"/>
        <v>Selecione o Ativo</v>
      </c>
      <c r="P98" s="51">
        <f t="shared" si="27"/>
        <v>0</v>
      </c>
      <c r="Q98" t="e">
        <f t="shared" si="23"/>
        <v>#DIV/0!</v>
      </c>
    </row>
    <row r="99" spans="1:17" x14ac:dyDescent="0.35">
      <c r="A99" s="47" t="s">
        <v>175</v>
      </c>
      <c r="B99" s="47">
        <v>1</v>
      </c>
      <c r="C99" s="48" t="str">
        <f t="shared" si="17"/>
        <v>Selecione o Ativo</v>
      </c>
      <c r="D99" s="49">
        <f>'2. Sua Carteira de Ativos'!D99</f>
        <v>0</v>
      </c>
      <c r="K99" s="47">
        <f t="shared" si="24"/>
        <v>98</v>
      </c>
      <c r="L99" s="47" t="str">
        <f t="shared" si="25"/>
        <v/>
      </c>
      <c r="M99" t="str">
        <f t="shared" si="22"/>
        <v/>
      </c>
      <c r="N99" s="48">
        <f>VLOOKUP(A99,'2. Sua Carteira de Ativos'!$A$2:$B$101,2,0)</f>
        <v>0</v>
      </c>
      <c r="O99" t="str">
        <f t="shared" si="26"/>
        <v>Selecione o Ativo</v>
      </c>
      <c r="P99" s="51">
        <f t="shared" si="27"/>
        <v>0</v>
      </c>
      <c r="Q99" t="e">
        <f t="shared" si="23"/>
        <v>#DIV/0!</v>
      </c>
    </row>
    <row r="100" spans="1:17" x14ac:dyDescent="0.35">
      <c r="A100" s="47" t="s">
        <v>176</v>
      </c>
      <c r="B100" s="47">
        <v>1</v>
      </c>
      <c r="C100" s="48" t="str">
        <f t="shared" si="17"/>
        <v>Selecione o Ativo</v>
      </c>
      <c r="D100" s="49">
        <f>'2. Sua Carteira de Ativos'!D100</f>
        <v>0</v>
      </c>
      <c r="K100" s="47">
        <f t="shared" si="24"/>
        <v>99</v>
      </c>
      <c r="L100" s="47" t="str">
        <f t="shared" si="25"/>
        <v/>
      </c>
      <c r="M100" t="str">
        <f t="shared" si="22"/>
        <v/>
      </c>
      <c r="N100" s="48">
        <f>VLOOKUP(A100,'2. Sua Carteira de Ativos'!$A$2:$B$101,2,0)</f>
        <v>0</v>
      </c>
      <c r="O100" t="str">
        <f t="shared" si="26"/>
        <v>Selecione o Ativo</v>
      </c>
      <c r="P100" s="51">
        <f t="shared" si="27"/>
        <v>0</v>
      </c>
      <c r="Q100" t="e">
        <f t="shared" si="23"/>
        <v>#DIV/0!</v>
      </c>
    </row>
    <row r="101" spans="1:17" x14ac:dyDescent="0.35">
      <c r="A101" s="47" t="s">
        <v>177</v>
      </c>
      <c r="B101" s="47">
        <v>1</v>
      </c>
      <c r="C101" s="48" t="str">
        <f t="shared" si="17"/>
        <v>Selecione o Ativo</v>
      </c>
      <c r="D101" s="49">
        <f>'2. Sua Carteira de Ativos'!D101</f>
        <v>0</v>
      </c>
      <c r="K101" s="54">
        <v>100</v>
      </c>
      <c r="L101" s="47" t="str">
        <f>IF(IFERROR(VLOOKUP(VLOOKUP(C101,$G$2:$H$19,2,0),$AP$1:$AQ$12,2,0),0)*K101=0,"",IFERROR(VLOOKUP(VLOOKUP(C101,$G$2:$H$19,2,0),$AP$1:$AQ$12,2,0),0)*K101)</f>
        <v/>
      </c>
      <c r="M101" t="str">
        <f t="shared" si="22"/>
        <v/>
      </c>
      <c r="N101" s="48">
        <f>VLOOKUP(A101,'2. Sua Carteira de Ativos'!$A$2:$B$101,2,0)</f>
        <v>0</v>
      </c>
      <c r="O101" t="str">
        <f>VLOOKUP(C101,$AV$1:$AW$18,2,0)</f>
        <v>Selecione o Ativo</v>
      </c>
      <c r="P101" s="51">
        <f>IF(M101="",0,D101)</f>
        <v>0</v>
      </c>
      <c r="Q101" t="e">
        <f t="shared" si="23"/>
        <v>#DIV/0!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1. Comece por aqui</vt:lpstr>
      <vt:lpstr>2. Sua Carteira de Ativos</vt:lpstr>
      <vt:lpstr>3. Resultados</vt:lpstr>
      <vt:lpstr>4. Raio X da Alocação</vt:lpstr>
      <vt:lpstr>Cálculos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Marras Xavier</dc:creator>
  <cp:lastModifiedBy>Rodrigo Marras Xavier</cp:lastModifiedBy>
  <dcterms:created xsi:type="dcterms:W3CDTF">2021-06-25T15:08:27Z</dcterms:created>
  <dcterms:modified xsi:type="dcterms:W3CDTF">2023-03-29T18:58:50Z</dcterms:modified>
</cp:coreProperties>
</file>