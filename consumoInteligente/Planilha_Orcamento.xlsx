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ted.duarte\Downloads\"/>
    </mc:Choice>
  </mc:AlternateContent>
  <xr:revisionPtr revIDLastSave="0" documentId="13_ncr:1_{31F6BEF8-1C9E-4DA6-A41E-646958FB4A38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Orçamento" sheetId="1" r:id="rId1"/>
    <sheet name="Fluxo de Caixa" sheetId="4" r:id="rId2"/>
    <sheet name="Acompanhamento" sheetId="2" r:id="rId3"/>
    <sheet name="Anual" sheetId="3" r:id="rId4"/>
  </sheets>
  <calcPr calcId="191029"/>
  <extLst>
    <ext uri="GoogleSheetsCustomDataVersion2">
      <go:sheetsCustomData xmlns:go="http://customooxmlschemas.google.com/" r:id="rId8" roundtripDataChecksum="tmPr9QLomFjob0D30LiS4vR+BfUy9Q/6KNb/pXAzjXA="/>
    </ext>
  </extLst>
</workbook>
</file>

<file path=xl/calcChain.xml><?xml version="1.0" encoding="utf-8"?>
<calcChain xmlns="http://schemas.openxmlformats.org/spreadsheetml/2006/main">
  <c r="O36" i="3" l="1"/>
  <c r="O50" i="3"/>
  <c r="D13" i="2" s="1"/>
  <c r="O51" i="3"/>
  <c r="D14" i="2" s="1"/>
  <c r="O52" i="3"/>
  <c r="D15" i="2" s="1"/>
  <c r="D12" i="2"/>
  <c r="D10" i="2"/>
  <c r="V5" i="4"/>
  <c r="P5" i="4"/>
  <c r="I43" i="3" s="1"/>
  <c r="J6" i="4"/>
  <c r="J5" i="4"/>
  <c r="O30" i="3" s="1"/>
  <c r="D6" i="4"/>
  <c r="J7" i="3" s="1"/>
  <c r="D5" i="4"/>
  <c r="V4" i="4"/>
  <c r="P4" i="4"/>
  <c r="J4" i="4"/>
  <c r="D4" i="4"/>
  <c r="D51" i="3"/>
  <c r="O49" i="3"/>
  <c r="G49" i="3"/>
  <c r="K43" i="3"/>
  <c r="J43" i="3"/>
  <c r="O42" i="3"/>
  <c r="N42" i="3"/>
  <c r="G42" i="3"/>
  <c r="F42" i="3"/>
  <c r="K41" i="3"/>
  <c r="J41" i="3"/>
  <c r="O40" i="3"/>
  <c r="N40" i="3"/>
  <c r="G40" i="3"/>
  <c r="F40" i="3"/>
  <c r="K39" i="3"/>
  <c r="J39" i="3"/>
  <c r="O38" i="3"/>
  <c r="N38" i="3"/>
  <c r="G38" i="3"/>
  <c r="F38" i="3"/>
  <c r="N37" i="3"/>
  <c r="K37" i="3"/>
  <c r="J37" i="3"/>
  <c r="D37" i="3"/>
  <c r="N36" i="3"/>
  <c r="J36" i="3"/>
  <c r="H36" i="3"/>
  <c r="G36" i="3"/>
  <c r="F36" i="3"/>
  <c r="M30" i="3"/>
  <c r="L30" i="3"/>
  <c r="J30" i="3"/>
  <c r="I30" i="3"/>
  <c r="H30" i="3"/>
  <c r="E30" i="3"/>
  <c r="D30" i="3"/>
  <c r="N29" i="3"/>
  <c r="M29" i="3"/>
  <c r="L29" i="3"/>
  <c r="I29" i="3"/>
  <c r="H29" i="3"/>
  <c r="F29" i="3"/>
  <c r="E29" i="3"/>
  <c r="D29" i="3"/>
  <c r="M28" i="3"/>
  <c r="L28" i="3"/>
  <c r="J28" i="3"/>
  <c r="I28" i="3"/>
  <c r="H28" i="3"/>
  <c r="E28" i="3"/>
  <c r="D28" i="3"/>
  <c r="N27" i="3"/>
  <c r="M27" i="3"/>
  <c r="L27" i="3"/>
  <c r="I27" i="3"/>
  <c r="H27" i="3"/>
  <c r="F27" i="3"/>
  <c r="E27" i="3"/>
  <c r="D27" i="3"/>
  <c r="M26" i="3"/>
  <c r="L26" i="3"/>
  <c r="J26" i="3"/>
  <c r="I26" i="3"/>
  <c r="H26" i="3"/>
  <c r="E26" i="3"/>
  <c r="D26" i="3"/>
  <c r="N25" i="3"/>
  <c r="M25" i="3"/>
  <c r="L25" i="3"/>
  <c r="I25" i="3"/>
  <c r="H25" i="3"/>
  <c r="F25" i="3"/>
  <c r="E25" i="3"/>
  <c r="D25" i="3"/>
  <c r="M24" i="3"/>
  <c r="L24" i="3"/>
  <c r="J24" i="3"/>
  <c r="I24" i="3"/>
  <c r="H24" i="3"/>
  <c r="E24" i="3"/>
  <c r="D24" i="3"/>
  <c r="N23" i="3"/>
  <c r="M23" i="3"/>
  <c r="L23" i="3"/>
  <c r="I23" i="3"/>
  <c r="H23" i="3"/>
  <c r="F23" i="3"/>
  <c r="E23" i="3"/>
  <c r="D23" i="3"/>
  <c r="M22" i="3"/>
  <c r="L22" i="3"/>
  <c r="J22" i="3"/>
  <c r="I22" i="3"/>
  <c r="H22" i="3"/>
  <c r="E22" i="3"/>
  <c r="D22" i="3"/>
  <c r="N21" i="3"/>
  <c r="M21" i="3"/>
  <c r="L21" i="3"/>
  <c r="I21" i="3"/>
  <c r="H21" i="3"/>
  <c r="F21" i="3"/>
  <c r="E21" i="3"/>
  <c r="D21" i="3"/>
  <c r="M20" i="3"/>
  <c r="L20" i="3"/>
  <c r="J20" i="3"/>
  <c r="I20" i="3"/>
  <c r="H20" i="3"/>
  <c r="E20" i="3"/>
  <c r="D20" i="3"/>
  <c r="N19" i="3"/>
  <c r="M19" i="3"/>
  <c r="L19" i="3"/>
  <c r="I19" i="3"/>
  <c r="H19" i="3"/>
  <c r="F19" i="3"/>
  <c r="E19" i="3"/>
  <c r="D19" i="3"/>
  <c r="M18" i="3"/>
  <c r="L18" i="3"/>
  <c r="J18" i="3"/>
  <c r="I18" i="3"/>
  <c r="H18" i="3"/>
  <c r="E18" i="3"/>
  <c r="D18" i="3"/>
  <c r="N17" i="3"/>
  <c r="M17" i="3"/>
  <c r="L17" i="3"/>
  <c r="J17" i="3"/>
  <c r="I17" i="3"/>
  <c r="H17" i="3"/>
  <c r="G17" i="3"/>
  <c r="F17" i="3"/>
  <c r="E17" i="3"/>
  <c r="D17" i="3"/>
  <c r="O16" i="3"/>
  <c r="N16" i="3"/>
  <c r="M16" i="3"/>
  <c r="L16" i="3"/>
  <c r="K16" i="3"/>
  <c r="J16" i="3"/>
  <c r="I16" i="3"/>
  <c r="H16" i="3"/>
  <c r="G16" i="3"/>
  <c r="F16" i="3"/>
  <c r="E16" i="3"/>
  <c r="D16" i="3"/>
  <c r="O15" i="3"/>
  <c r="N15" i="3"/>
  <c r="M15" i="3"/>
  <c r="L15" i="3"/>
  <c r="K15" i="3"/>
  <c r="J15" i="3"/>
  <c r="I15" i="3"/>
  <c r="H15" i="3"/>
  <c r="G15" i="3"/>
  <c r="F15" i="3"/>
  <c r="E15" i="3"/>
  <c r="D15" i="3"/>
  <c r="O14" i="3"/>
  <c r="N14" i="3"/>
  <c r="M14" i="3"/>
  <c r="L14" i="3"/>
  <c r="K14" i="3"/>
  <c r="J14" i="3"/>
  <c r="I14" i="3"/>
  <c r="H14" i="3"/>
  <c r="G14" i="3"/>
  <c r="F14" i="3"/>
  <c r="E14" i="3"/>
  <c r="D14" i="3"/>
  <c r="O13" i="3"/>
  <c r="N13" i="3"/>
  <c r="M13" i="3"/>
  <c r="L13" i="3"/>
  <c r="K13" i="3"/>
  <c r="J13" i="3"/>
  <c r="I13" i="3"/>
  <c r="H13" i="3"/>
  <c r="G13" i="3"/>
  <c r="F13" i="3"/>
  <c r="E13" i="3"/>
  <c r="D13" i="3"/>
  <c r="O12" i="3"/>
  <c r="N12" i="3"/>
  <c r="M12" i="3"/>
  <c r="L12" i="3"/>
  <c r="K12" i="3"/>
  <c r="J12" i="3"/>
  <c r="I12" i="3"/>
  <c r="H12" i="3"/>
  <c r="G12" i="3"/>
  <c r="F12" i="3"/>
  <c r="E12" i="3"/>
  <c r="D12" i="3"/>
  <c r="N5" i="3"/>
  <c r="F5" i="3"/>
  <c r="M2" i="2"/>
  <c r="E21" i="1"/>
  <c r="E11" i="1"/>
  <c r="C12" i="2" s="1"/>
  <c r="O17" i="3" l="1"/>
  <c r="K18" i="3"/>
  <c r="G19" i="3"/>
  <c r="O19" i="3"/>
  <c r="K20" i="3"/>
  <c r="G21" i="3"/>
  <c r="O21" i="3"/>
  <c r="K22" i="3"/>
  <c r="G23" i="3"/>
  <c r="O23" i="3"/>
  <c r="K24" i="3"/>
  <c r="G25" i="3"/>
  <c r="O25" i="3"/>
  <c r="K26" i="3"/>
  <c r="G27" i="3"/>
  <c r="O27" i="3"/>
  <c r="K28" i="3"/>
  <c r="G29" i="3"/>
  <c r="O29" i="3"/>
  <c r="K30" i="3"/>
  <c r="F18" i="3"/>
  <c r="N18" i="3"/>
  <c r="N31" i="3" s="1"/>
  <c r="J19" i="3"/>
  <c r="F20" i="3"/>
  <c r="F31" i="3" s="1"/>
  <c r="N20" i="3"/>
  <c r="J21" i="3"/>
  <c r="F22" i="3"/>
  <c r="N22" i="3"/>
  <c r="J23" i="3"/>
  <c r="F24" i="3"/>
  <c r="N24" i="3"/>
  <c r="J25" i="3"/>
  <c r="J31" i="3" s="1"/>
  <c r="F26" i="3"/>
  <c r="N26" i="3"/>
  <c r="J27" i="3"/>
  <c r="F28" i="3"/>
  <c r="N28" i="3"/>
  <c r="J29" i="3"/>
  <c r="F30" i="3"/>
  <c r="N30" i="3"/>
  <c r="K17" i="3"/>
  <c r="G18" i="3"/>
  <c r="G31" i="3" s="1"/>
  <c r="O18" i="3"/>
  <c r="K19" i="3"/>
  <c r="G20" i="3"/>
  <c r="O20" i="3"/>
  <c r="O31" i="3" s="1"/>
  <c r="K21" i="3"/>
  <c r="K31" i="3" s="1"/>
  <c r="G22" i="3"/>
  <c r="O22" i="3"/>
  <c r="K23" i="3"/>
  <c r="G24" i="3"/>
  <c r="O24" i="3"/>
  <c r="K25" i="3"/>
  <c r="G26" i="3"/>
  <c r="O26" i="3"/>
  <c r="K27" i="3"/>
  <c r="G28" i="3"/>
  <c r="O28" i="3"/>
  <c r="K29" i="3"/>
  <c r="G30" i="3"/>
  <c r="I7" i="3"/>
  <c r="H49" i="3"/>
  <c r="E50" i="3"/>
  <c r="F51" i="3"/>
  <c r="G52" i="3"/>
  <c r="I49" i="3"/>
  <c r="G50" i="3"/>
  <c r="G51" i="3"/>
  <c r="H52" i="3"/>
  <c r="N52" i="3"/>
  <c r="E52" i="3"/>
  <c r="H50" i="3"/>
  <c r="J52" i="3"/>
  <c r="K49" i="3"/>
  <c r="J50" i="3"/>
  <c r="K51" i="3"/>
  <c r="K52" i="3"/>
  <c r="D49" i="3"/>
  <c r="L49" i="3"/>
  <c r="K50" i="3"/>
  <c r="L51" i="3"/>
  <c r="M52" i="3"/>
  <c r="I51" i="3"/>
  <c r="M49" i="3"/>
  <c r="N51" i="3"/>
  <c r="J49" i="3"/>
  <c r="E49" i="3"/>
  <c r="M50" i="3"/>
  <c r="F49" i="3"/>
  <c r="N49" i="3"/>
  <c r="L37" i="3"/>
  <c r="H38" i="3"/>
  <c r="D39" i="3"/>
  <c r="L39" i="3"/>
  <c r="H40" i="3"/>
  <c r="D41" i="3"/>
  <c r="L41" i="3"/>
  <c r="H42" i="3"/>
  <c r="D43" i="3"/>
  <c r="L43" i="3"/>
  <c r="I36" i="3"/>
  <c r="E37" i="3"/>
  <c r="M37" i="3"/>
  <c r="I38" i="3"/>
  <c r="E39" i="3"/>
  <c r="M39" i="3"/>
  <c r="I40" i="3"/>
  <c r="E41" i="3"/>
  <c r="M41" i="3"/>
  <c r="I42" i="3"/>
  <c r="E43" i="3"/>
  <c r="M43" i="3"/>
  <c r="F37" i="3"/>
  <c r="N39" i="3"/>
  <c r="J40" i="3"/>
  <c r="F41" i="3"/>
  <c r="F44" i="3" s="1"/>
  <c r="N41" i="3"/>
  <c r="J42" i="3"/>
  <c r="F43" i="3"/>
  <c r="N43" i="3"/>
  <c r="J38" i="3"/>
  <c r="G37" i="3"/>
  <c r="K38" i="3"/>
  <c r="O39" i="3"/>
  <c r="G41" i="3"/>
  <c r="D36" i="3"/>
  <c r="L36" i="3"/>
  <c r="H37" i="3"/>
  <c r="D38" i="3"/>
  <c r="L38" i="3"/>
  <c r="H39" i="3"/>
  <c r="D40" i="3"/>
  <c r="L40" i="3"/>
  <c r="H41" i="3"/>
  <c r="D42" i="3"/>
  <c r="L42" i="3"/>
  <c r="H43" i="3"/>
  <c r="F39" i="3"/>
  <c r="K36" i="3"/>
  <c r="K44" i="3" s="1"/>
  <c r="O37" i="3"/>
  <c r="G39" i="3"/>
  <c r="K40" i="3"/>
  <c r="O41" i="3"/>
  <c r="K42" i="3"/>
  <c r="G43" i="3"/>
  <c r="O43" i="3"/>
  <c r="E36" i="3"/>
  <c r="M36" i="3"/>
  <c r="I37" i="3"/>
  <c r="E38" i="3"/>
  <c r="M38" i="3"/>
  <c r="I39" i="3"/>
  <c r="E40" i="3"/>
  <c r="M40" i="3"/>
  <c r="I41" i="3"/>
  <c r="I44" i="3" s="1"/>
  <c r="E42" i="3"/>
  <c r="M42" i="3"/>
  <c r="H31" i="3"/>
  <c r="G5" i="3"/>
  <c r="O5" i="3"/>
  <c r="K7" i="3"/>
  <c r="H5" i="3"/>
  <c r="D7" i="3"/>
  <c r="L7" i="3"/>
  <c r="E7" i="3"/>
  <c r="J5" i="3"/>
  <c r="F7" i="3"/>
  <c r="N7" i="3"/>
  <c r="O6" i="3"/>
  <c r="I5" i="3"/>
  <c r="G7" i="3"/>
  <c r="D5" i="3"/>
  <c r="L5" i="3"/>
  <c r="H7" i="3"/>
  <c r="M7" i="3"/>
  <c r="K5" i="3"/>
  <c r="O7" i="3"/>
  <c r="E5" i="3"/>
  <c r="M5" i="3"/>
  <c r="H6" i="3"/>
  <c r="I50" i="3"/>
  <c r="E51" i="3"/>
  <c r="M51" i="3"/>
  <c r="I52" i="3"/>
  <c r="I6" i="3"/>
  <c r="J6" i="3"/>
  <c r="K6" i="3"/>
  <c r="E31" i="3"/>
  <c r="M31" i="3"/>
  <c r="I31" i="3"/>
  <c r="D50" i="3"/>
  <c r="L50" i="3"/>
  <c r="H51" i="3"/>
  <c r="D52" i="3"/>
  <c r="L52" i="3"/>
  <c r="D6" i="3"/>
  <c r="L6" i="3"/>
  <c r="E6" i="3"/>
  <c r="M6" i="3"/>
  <c r="F50" i="3"/>
  <c r="N50" i="3"/>
  <c r="J51" i="3"/>
  <c r="F52" i="3"/>
  <c r="F6" i="3"/>
  <c r="N6" i="3"/>
  <c r="G6" i="3"/>
  <c r="E12" i="2"/>
  <c r="D31" i="3"/>
  <c r="L31" i="3"/>
  <c r="C14" i="2"/>
  <c r="C15" i="2"/>
  <c r="E15" i="2" s="1"/>
  <c r="C10" i="2"/>
  <c r="E10" i="2" s="1"/>
  <c r="C13" i="2"/>
  <c r="C11" i="2"/>
  <c r="N8" i="3" l="1"/>
  <c r="N32" i="3" s="1"/>
  <c r="G8" i="3"/>
  <c r="G32" i="3" s="1"/>
  <c r="L8" i="3"/>
  <c r="E13" i="2"/>
  <c r="I56" i="3"/>
  <c r="K8" i="3"/>
  <c r="K32" i="3" s="1"/>
  <c r="I8" i="3"/>
  <c r="I45" i="3" s="1"/>
  <c r="O8" i="3"/>
  <c r="O32" i="3" s="1"/>
  <c r="F8" i="3"/>
  <c r="E8" i="3"/>
  <c r="E32" i="3" s="1"/>
  <c r="M44" i="3"/>
  <c r="N44" i="3"/>
  <c r="N56" i="3" s="1"/>
  <c r="G44" i="3"/>
  <c r="G56" i="3" s="1"/>
  <c r="H44" i="3"/>
  <c r="H56" i="3" s="1"/>
  <c r="J44" i="3"/>
  <c r="E44" i="3"/>
  <c r="E56" i="3" s="1"/>
  <c r="O44" i="3"/>
  <c r="L44" i="3"/>
  <c r="L56" i="3" s="1"/>
  <c r="L57" i="3" s="1"/>
  <c r="L58" i="3" s="1"/>
  <c r="L45" i="3"/>
  <c r="F56" i="3"/>
  <c r="O56" i="3"/>
  <c r="K56" i="3"/>
  <c r="D44" i="3"/>
  <c r="D56" i="3" s="1"/>
  <c r="J56" i="3"/>
  <c r="J57" i="3" s="1"/>
  <c r="J58" i="3" s="1"/>
  <c r="M56" i="3"/>
  <c r="E14" i="2"/>
  <c r="J8" i="3"/>
  <c r="J32" i="3" s="1"/>
  <c r="H8" i="3"/>
  <c r="H45" i="3" s="1"/>
  <c r="D8" i="3"/>
  <c r="M8" i="3"/>
  <c r="M32" i="3" s="1"/>
  <c r="L32" i="3"/>
  <c r="C16" i="2"/>
  <c r="H32" i="3" l="1"/>
  <c r="N57" i="3"/>
  <c r="N58" i="3" s="1"/>
  <c r="I57" i="3"/>
  <c r="I58" i="3" s="1"/>
  <c r="G45" i="3"/>
  <c r="E57" i="3"/>
  <c r="E58" i="3" s="1"/>
  <c r="G57" i="3"/>
  <c r="G58" i="3" s="1"/>
  <c r="K57" i="3"/>
  <c r="K58" i="3" s="1"/>
  <c r="K45" i="3"/>
  <c r="O45" i="3"/>
  <c r="D11" i="2"/>
  <c r="O57" i="3"/>
  <c r="O58" i="3" s="1"/>
  <c r="I32" i="3"/>
  <c r="D57" i="3"/>
  <c r="D58" i="3" s="1"/>
  <c r="F57" i="3"/>
  <c r="F58" i="3" s="1"/>
  <c r="H57" i="3"/>
  <c r="H58" i="3" s="1"/>
  <c r="J45" i="3"/>
  <c r="N45" i="3"/>
  <c r="E45" i="3"/>
  <c r="D45" i="3"/>
  <c r="M45" i="3"/>
  <c r="M57" i="3"/>
  <c r="M58" i="3" s="1"/>
  <c r="D32" i="3"/>
  <c r="E11" i="2" l="1"/>
  <c r="D16" i="2"/>
  <c r="E16" i="2" s="1"/>
</calcChain>
</file>

<file path=xl/sharedStrings.xml><?xml version="1.0" encoding="utf-8"?>
<sst xmlns="http://schemas.openxmlformats.org/spreadsheetml/2006/main" count="131" uniqueCount="92">
  <si>
    <t>Controle de Orçamento</t>
  </si>
  <si>
    <t>Programação do Orçamento</t>
  </si>
  <si>
    <t>Distribuição do Orçamento</t>
  </si>
  <si>
    <t>Renda Prevista (Mensal)</t>
  </si>
  <si>
    <t>Dívidas (Mensal)</t>
  </si>
  <si>
    <t>Renda Real (Mensal)</t>
  </si>
  <si>
    <t>Tipo de fluxo</t>
  </si>
  <si>
    <t>%</t>
  </si>
  <si>
    <t>Necessidades Básicas</t>
  </si>
  <si>
    <t>Lazer</t>
  </si>
  <si>
    <t>Educação</t>
  </si>
  <si>
    <t>Longo Prazo</t>
  </si>
  <si>
    <t>Liberdade financeira</t>
  </si>
  <si>
    <t>Reserva de Emergência</t>
  </si>
  <si>
    <t>Acompanhamento Mensal</t>
  </si>
  <si>
    <t>Mês</t>
  </si>
  <si>
    <t>Janeiro</t>
  </si>
  <si>
    <t>Planejado</t>
  </si>
  <si>
    <t>Gasto atual</t>
  </si>
  <si>
    <t>Disponível</t>
  </si>
  <si>
    <t>Total</t>
  </si>
  <si>
    <t>*Não edite informações dessa tabela, alterar apenas o mês em cima.</t>
  </si>
  <si>
    <t>Acompanhamento anual de orçamento</t>
  </si>
  <si>
    <t>Receitas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</si>
  <si>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</si>
  <si>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</si>
  <si>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</si>
  <si>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</si>
  <si>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</si>
  <si>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</si>
  <si>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</si>
  <si>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</si>
  <si>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</si>
  <si>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</si>
  <si>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</si>
  <si>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</si>
  <si>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Outros</t>
  </si>
  <si>
    <t>Receita Total</t>
  </si>
  <si>
    <t>*Não edite informações dessa tabela, alterar apenas a planilha "Fluxo de Caixa"</t>
  </si>
  <si>
    <t>Despesas Essenciais (1)</t>
  </si>
  <si>
    <t>Condomínio</t>
  </si>
  <si>
    <t>Aluguel</t>
  </si>
  <si>
    <t>Transporte</t>
  </si>
  <si>
    <t>Alimentação</t>
  </si>
  <si>
    <t>Luz</t>
  </si>
  <si>
    <t>Água</t>
  </si>
  <si>
    <t>Internet</t>
  </si>
  <si>
    <t>Academia</t>
  </si>
  <si>
    <t>Saúde</t>
  </si>
  <si>
    <t>Cartão de Crédito</t>
  </si>
  <si>
    <t>Diarista</t>
  </si>
  <si>
    <t>Livros</t>
  </si>
  <si>
    <t>Empréstimo</t>
  </si>
  <si>
    <t>Celular</t>
  </si>
  <si>
    <t>Plano de Saúde</t>
  </si>
  <si>
    <t>Supermercado</t>
  </si>
  <si>
    <t>Diversos</t>
  </si>
  <si>
    <t>Uber</t>
  </si>
  <si>
    <t>Alterar nome do campo para personalizar #2</t>
  </si>
  <si>
    <t>Despesas Essenciais/Receita</t>
  </si>
  <si>
    <t>Lazer (2)</t>
  </si>
  <si>
    <t>Alimentação (Gastos extras)</t>
  </si>
  <si>
    <t>Assinaturas Mensais</t>
  </si>
  <si>
    <t>Festas/Bares</t>
  </si>
  <si>
    <t>Hobbies</t>
  </si>
  <si>
    <t>Confraternização</t>
  </si>
  <si>
    <t>Uber Lazer</t>
  </si>
  <si>
    <t>Alterar nome do campo para personalizar #1</t>
  </si>
  <si>
    <t>Despesas Não Essenciais</t>
  </si>
  <si>
    <t>Despesas Não Essenciais/Receita</t>
  </si>
  <si>
    <t>Investimentos</t>
  </si>
  <si>
    <t>Educação (3)</t>
  </si>
  <si>
    <t>Longo Prazo (4)</t>
  </si>
  <si>
    <t>Liberdade Financeira (5)</t>
  </si>
  <si>
    <t>Reserva de Emergência (6)</t>
  </si>
  <si>
    <t>Resumo do mês</t>
  </si>
  <si>
    <t>Despesas totais (1 + 2 + 3 + 4)</t>
  </si>
  <si>
    <t>* não editar esses campos</t>
  </si>
  <si>
    <t>Sobras ($)</t>
  </si>
  <si>
    <t>Sobras (%)</t>
  </si>
  <si>
    <t>Despesas Essenciais</t>
  </si>
  <si>
    <t>Data</t>
  </si>
  <si>
    <t>Categoria</t>
  </si>
  <si>
    <t>Descrição</t>
  </si>
  <si>
    <t>Valor</t>
  </si>
  <si>
    <t>Amazon Prime</t>
  </si>
  <si>
    <t>Curso</t>
  </si>
  <si>
    <t>Condominio 01/2024</t>
  </si>
  <si>
    <t>Vale refeição</t>
  </si>
  <si>
    <t>Seu nome</t>
  </si>
  <si>
    <t>Renda mensal</t>
  </si>
  <si>
    <t>*Não edite informações dessa tabela. Altere apenas a planilha "Fluxo de Caixa"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</si>
</sst>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"/>
    <numFmt numFmtId="165" formatCode="mmmm/yy"/>
    <numFmt numFmtId="166" formatCode="d/m/yyyy"/>
  </numFmts>
  <fonts count="38">
    <font>
      <sz val="11"/>
      <color theme="1"/>
      <name val="Calibri"/>
      <scheme val="minor"/>
    </font>
    <font>
      <sz val="11"/>
      <color theme="1"/>
      <name val="Calibri"/>
    </font>
    <font>
      <sz val="18"/>
      <color theme="0"/>
      <name val="Proxima Nova"/>
    </font>
    <font>
      <sz val="11"/>
      <name val="Calibri"/>
    </font>
    <font>
      <sz val="11"/>
      <color theme="0"/>
      <name val="Proxima Nova"/>
    </font>
    <font>
      <sz val="11"/>
      <color rgb="FFFFFFFF"/>
      <name val="Proxima Nova"/>
    </font>
    <font>
      <b/>
      <sz val="18"/>
      <color theme="0"/>
      <name val="Proxima Nova"/>
    </font>
    <font>
      <sz val="18"/>
      <color rgb="FF00C3F6"/>
      <name val="Calibri"/>
    </font>
    <font>
      <sz val="18"/>
      <color theme="0"/>
      <name val="Calibri"/>
    </font>
    <font>
      <sz val="18"/>
      <color rgb="FF00B1DC"/>
      <name val="Calibri"/>
    </font>
    <font>
      <b/>
      <sz val="12"/>
      <color theme="0"/>
      <name val="Proxima Nova"/>
    </font>
    <font>
      <sz val="12"/>
      <color rgb="FF3A3838"/>
      <name val="Proxima Nova"/>
    </font>
    <font>
      <b/>
      <sz val="12"/>
      <color rgb="FFFFFFFF"/>
      <name val="Proxima Nova"/>
    </font>
    <font>
      <sz val="12"/>
      <color theme="1"/>
      <name val="Proxima Nova"/>
    </font>
    <font>
      <sz val="14"/>
      <color theme="1"/>
      <name val="Proxima Nova"/>
    </font>
    <font>
      <b/>
      <sz val="14"/>
      <color theme="0"/>
      <name val="Proxima Nova"/>
    </font>
    <font>
      <sz val="11"/>
      <color theme="1"/>
      <name val="Proxima Nova"/>
    </font>
    <font>
      <b/>
      <sz val="12"/>
      <color theme="1"/>
      <name val="Proxima Nova"/>
    </font>
    <font>
      <sz val="10"/>
      <color theme="1"/>
      <name val="Calibri"/>
    </font>
    <font>
      <b/>
      <sz val="16"/>
      <color rgb="FF0093DC"/>
      <name val="Calibri"/>
    </font>
    <font>
      <b/>
      <sz val="14"/>
      <color rgb="FF0093DC"/>
      <name val="Calibri"/>
    </font>
    <font>
      <sz val="11"/>
      <color rgb="FF595959"/>
      <name val="Calibri"/>
    </font>
    <font>
      <sz val="11"/>
      <color rgb="FF808080"/>
      <name val="Calibri"/>
    </font>
    <font>
      <b/>
      <sz val="12"/>
      <color rgb="FF595959"/>
      <name val="Calibri"/>
    </font>
    <font>
      <b/>
      <sz val="11"/>
      <color rgb="FF595959"/>
      <name val="Calibri"/>
    </font>
    <font>
      <b/>
      <sz val="12"/>
      <color rgb="FF808080"/>
      <name val="Calibri"/>
    </font>
    <font>
      <sz val="16"/>
      <color rgb="FF808080"/>
      <name val="Calibri"/>
    </font>
    <font>
      <b/>
      <sz val="11"/>
      <color theme="1"/>
      <name val="Calibri"/>
    </font>
    <font>
      <b/>
      <sz val="11"/>
      <color rgb="FF808080"/>
      <name val="Calibri"/>
    </font>
    <font>
      <b/>
      <sz val="11"/>
      <color theme="4"/>
      <name val="Calibri"/>
    </font>
    <font>
      <b/>
      <sz val="11"/>
      <color rgb="FF00B050"/>
      <name val="Calibri"/>
    </font>
    <font>
      <sz val="20"/>
      <color theme="1"/>
      <name val="Calibri"/>
    </font>
    <font>
      <b/>
      <sz val="20"/>
      <color theme="1"/>
      <name val="Proxima Nova"/>
    </font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Calibri"/>
    </font>
    <font>
      <sz val="11"/>
      <color theme="0"/>
      <name val="Calibri"/>
      <family val="2"/>
    </font>
    <font>
      <sz val="11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3A3838"/>
        <bgColor rgb="FF3A3838"/>
      </patternFill>
    </fill>
    <fill>
      <patternFill patternType="solid">
        <fgColor rgb="FFF2F2F2"/>
        <bgColor rgb="FFF2F2F2"/>
      </patternFill>
    </fill>
    <fill>
      <patternFill patternType="solid">
        <fgColor rgb="FF00B1DC"/>
        <bgColor rgb="FF00B1DC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EEFFD"/>
        <bgColor rgb="FFCEEFFD"/>
      </patternFill>
    </fill>
    <fill>
      <patternFill patternType="solid">
        <fgColor theme="0"/>
        <bgColor theme="0"/>
      </patternFill>
    </fill>
    <fill>
      <patternFill patternType="solid">
        <fgColor rgb="FF89F7FF"/>
        <bgColor rgb="FF89F7FF"/>
      </patternFill>
    </fill>
    <fill>
      <patternFill patternType="solid">
        <fgColor rgb="FF0093DC"/>
        <bgColor rgb="FF0093DC"/>
      </patternFill>
    </fill>
    <fill>
      <patternFill patternType="solid">
        <fgColor rgb="FFE7E6E6"/>
        <bgColor rgb="FFE7E6E6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292B8"/>
      </bottom>
      <diagonal/>
    </border>
    <border>
      <left/>
      <right/>
      <top style="thin">
        <color rgb="FF0292B8"/>
      </top>
      <bottom style="thin">
        <color rgb="FF0292B8"/>
      </bottom>
      <diagonal/>
    </border>
    <border>
      <left/>
      <right/>
      <top/>
      <bottom style="thin">
        <color rgb="FF97AFB9"/>
      </bottom>
      <diagonal/>
    </border>
    <border>
      <left/>
      <right/>
      <top style="thin">
        <color rgb="FF97AFB9"/>
      </top>
      <bottom style="thin">
        <color rgb="FF97AFB9"/>
      </bottom>
      <diagonal/>
    </border>
    <border>
      <left/>
      <right/>
      <top style="thin">
        <color rgb="FF97AFB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0" fontId="10" fillId="5" borderId="9" xfId="0" applyFont="1" applyFill="1" applyBorder="1"/>
    <xf numFmtId="164" fontId="11" fillId="0" borderId="0" xfId="0" applyNumberFormat="1" applyFont="1" applyAlignment="1"/>
    <xf numFmtId="0" fontId="12" fillId="5" borderId="10" xfId="0" applyFont="1" applyFill="1" applyBorder="1"/>
    <xf numFmtId="164" fontId="11" fillId="6" borderId="1" xfId="0" applyNumberFormat="1" applyFont="1" applyFill="1" applyBorder="1"/>
    <xf numFmtId="0" fontId="10" fillId="5" borderId="1" xfId="0" applyFont="1" applyFill="1" applyBorder="1"/>
    <xf numFmtId="164" fontId="11" fillId="7" borderId="1" xfId="0" applyNumberFormat="1" applyFont="1" applyFill="1" applyBorder="1"/>
    <xf numFmtId="0" fontId="13" fillId="4" borderId="1" xfId="0" applyFont="1" applyFill="1" applyBorder="1"/>
    <xf numFmtId="0" fontId="14" fillId="4" borderId="1" xfId="0" applyFont="1" applyFill="1" applyBorder="1"/>
    <xf numFmtId="0" fontId="15" fillId="5" borderId="1" xfId="0" applyFont="1" applyFill="1" applyBorder="1" applyAlignment="1">
      <alignment horizontal="right"/>
    </xf>
    <xf numFmtId="0" fontId="13" fillId="8" borderId="11" xfId="0" applyFont="1" applyFill="1" applyBorder="1" applyAlignment="1">
      <alignment vertical="center"/>
    </xf>
    <xf numFmtId="10" fontId="11" fillId="7" borderId="1" xfId="0" applyNumberFormat="1" applyFont="1" applyFill="1" applyBorder="1"/>
    <xf numFmtId="0" fontId="13" fillId="8" borderId="1" xfId="0" applyFont="1" applyFill="1" applyBorder="1" applyAlignment="1">
      <alignment vertical="center"/>
    </xf>
    <xf numFmtId="10" fontId="11" fillId="7" borderId="12" xfId="0" applyNumberFormat="1" applyFont="1" applyFill="1" applyBorder="1"/>
    <xf numFmtId="0" fontId="13" fillId="8" borderId="12" xfId="0" applyFont="1" applyFill="1" applyBorder="1" applyAlignment="1">
      <alignment vertical="center"/>
    </xf>
    <xf numFmtId="0" fontId="13" fillId="8" borderId="13" xfId="0" applyFont="1" applyFill="1" applyBorder="1" applyAlignment="1">
      <alignment vertical="center"/>
    </xf>
    <xf numFmtId="10" fontId="11" fillId="7" borderId="13" xfId="0" applyNumberFormat="1" applyFont="1" applyFill="1" applyBorder="1"/>
    <xf numFmtId="10" fontId="10" fillId="5" borderId="1" xfId="0" applyNumberFormat="1" applyFont="1" applyFill="1" applyBorder="1"/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1" fillId="9" borderId="1" xfId="0" applyFont="1" applyFill="1" applyBorder="1"/>
    <xf numFmtId="0" fontId="6" fillId="9" borderId="1" xfId="0" applyFont="1" applyFill="1" applyBorder="1" applyAlignment="1">
      <alignment vertical="center"/>
    </xf>
    <xf numFmtId="0" fontId="16" fillId="2" borderId="1" xfId="0" applyFont="1" applyFill="1" applyBorder="1"/>
    <xf numFmtId="0" fontId="8" fillId="9" borderId="1" xfId="0" applyFont="1" applyFill="1" applyBorder="1"/>
    <xf numFmtId="0" fontId="14" fillId="10" borderId="1" xfId="0" applyFont="1" applyFill="1" applyBorder="1" applyAlignment="1">
      <alignment vertical="center"/>
    </xf>
    <xf numFmtId="0" fontId="16" fillId="4" borderId="1" xfId="0" applyFont="1" applyFill="1" applyBorder="1"/>
    <xf numFmtId="0" fontId="9" fillId="9" borderId="1" xfId="0" applyFont="1" applyFill="1" applyBorder="1" applyAlignment="1">
      <alignment horizontal="center" vertical="center"/>
    </xf>
    <xf numFmtId="164" fontId="1" fillId="0" borderId="0" xfId="0" applyNumberFormat="1" applyFont="1"/>
    <xf numFmtId="164" fontId="1" fillId="9" borderId="1" xfId="0" applyNumberFormat="1" applyFont="1" applyFill="1" applyBorder="1"/>
    <xf numFmtId="0" fontId="10" fillId="11" borderId="22" xfId="0" applyFont="1" applyFill="1" applyBorder="1"/>
    <xf numFmtId="0" fontId="10" fillId="11" borderId="22" xfId="0" applyFont="1" applyFill="1" applyBorder="1" applyAlignment="1">
      <alignment horizontal="center"/>
    </xf>
    <xf numFmtId="0" fontId="10" fillId="11" borderId="23" xfId="0" applyFont="1" applyFill="1" applyBorder="1" applyAlignment="1">
      <alignment horizontal="center"/>
    </xf>
    <xf numFmtId="0" fontId="10" fillId="9" borderId="1" xfId="0" applyFont="1" applyFill="1" applyBorder="1"/>
    <xf numFmtId="164" fontId="11" fillId="9" borderId="1" xfId="0" applyNumberFormat="1" applyFont="1" applyFill="1" applyBorder="1"/>
    <xf numFmtId="0" fontId="17" fillId="10" borderId="22" xfId="0" applyFont="1" applyFill="1" applyBorder="1"/>
    <xf numFmtId="164" fontId="13" fillId="7" borderId="22" xfId="0" applyNumberFormat="1" applyFont="1" applyFill="1" applyBorder="1"/>
    <xf numFmtId="164" fontId="13" fillId="12" borderId="23" xfId="0" applyNumberFormat="1" applyFont="1" applyFill="1" applyBorder="1"/>
    <xf numFmtId="0" fontId="13" fillId="9" borderId="1" xfId="0" applyFont="1" applyFill="1" applyBorder="1"/>
    <xf numFmtId="0" fontId="14" fillId="9" borderId="1" xfId="0" applyFont="1" applyFill="1" applyBorder="1"/>
    <xf numFmtId="0" fontId="15" fillId="9" borderId="1" xfId="0" applyFont="1" applyFill="1" applyBorder="1"/>
    <xf numFmtId="0" fontId="13" fillId="9" borderId="1" xfId="0" applyFont="1" applyFill="1" applyBorder="1" applyAlignment="1">
      <alignment vertical="center"/>
    </xf>
    <xf numFmtId="10" fontId="11" fillId="9" borderId="1" xfId="0" applyNumberFormat="1" applyFont="1" applyFill="1" applyBorder="1"/>
    <xf numFmtId="0" fontId="10" fillId="11" borderId="24" xfId="0" applyFont="1" applyFill="1" applyBorder="1"/>
    <xf numFmtId="164" fontId="10" fillId="11" borderId="22" xfId="0" applyNumberFormat="1" applyFont="1" applyFill="1" applyBorder="1"/>
    <xf numFmtId="164" fontId="10" fillId="11" borderId="23" xfId="0" applyNumberFormat="1" applyFont="1" applyFill="1" applyBorder="1"/>
    <xf numFmtId="0" fontId="17" fillId="4" borderId="1" xfId="0" applyFont="1" applyFill="1" applyBorder="1"/>
    <xf numFmtId="0" fontId="18" fillId="4" borderId="1" xfId="0" applyFont="1" applyFill="1" applyBorder="1"/>
    <xf numFmtId="10" fontId="10" fillId="9" borderId="1" xfId="0" applyNumberFormat="1" applyFont="1" applyFill="1" applyBorder="1"/>
    <xf numFmtId="165" fontId="20" fillId="0" borderId="25" xfId="0" applyNumberFormat="1" applyFont="1" applyBorder="1" applyAlignment="1">
      <alignment horizontal="center"/>
    </xf>
    <xf numFmtId="0" fontId="21" fillId="0" borderId="26" xfId="0" applyFont="1" applyBorder="1"/>
    <xf numFmtId="0" fontId="22" fillId="0" borderId="26" xfId="0" applyFont="1" applyBorder="1"/>
    <xf numFmtId="164" fontId="22" fillId="0" borderId="26" xfId="0" applyNumberFormat="1" applyFont="1" applyBorder="1" applyAlignment="1">
      <alignment horizontal="center"/>
    </xf>
    <xf numFmtId="0" fontId="21" fillId="0" borderId="27" xfId="0" applyFont="1" applyBorder="1"/>
    <xf numFmtId="0" fontId="22" fillId="0" borderId="27" xfId="0" applyFont="1" applyBorder="1"/>
    <xf numFmtId="0" fontId="23" fillId="0" borderId="28" xfId="0" applyFont="1" applyBorder="1"/>
    <xf numFmtId="0" fontId="24" fillId="0" borderId="28" xfId="0" applyFont="1" applyBorder="1"/>
    <xf numFmtId="164" fontId="24" fillId="0" borderId="28" xfId="0" applyNumberFormat="1" applyFont="1" applyBorder="1"/>
    <xf numFmtId="0" fontId="17" fillId="9" borderId="1" xfId="0" applyFont="1" applyFill="1" applyBorder="1"/>
    <xf numFmtId="0" fontId="22" fillId="0" borderId="0" xfId="0" applyFont="1"/>
    <xf numFmtId="164" fontId="22" fillId="0" borderId="0" xfId="0" applyNumberFormat="1" applyFont="1"/>
    <xf numFmtId="164" fontId="22" fillId="0" borderId="25" xfId="0" applyNumberFormat="1" applyFont="1" applyBorder="1"/>
    <xf numFmtId="0" fontId="21" fillId="0" borderId="28" xfId="0" applyFont="1" applyBorder="1" applyAlignment="1"/>
    <xf numFmtId="0" fontId="22" fillId="0" borderId="28" xfId="0" applyFont="1" applyBorder="1"/>
    <xf numFmtId="0" fontId="21" fillId="0" borderId="28" xfId="0" applyFont="1" applyBorder="1"/>
    <xf numFmtId="0" fontId="23" fillId="10" borderId="23" xfId="0" applyFont="1" applyFill="1" applyBorder="1"/>
    <xf numFmtId="0" fontId="24" fillId="10" borderId="14" xfId="0" applyFont="1" applyFill="1" applyBorder="1"/>
    <xf numFmtId="164" fontId="24" fillId="10" borderId="14" xfId="0" applyNumberFormat="1" applyFont="1" applyFill="1" applyBorder="1"/>
    <xf numFmtId="164" fontId="24" fillId="10" borderId="15" xfId="0" applyNumberFormat="1" applyFont="1" applyFill="1" applyBorder="1"/>
    <xf numFmtId="0" fontId="25" fillId="0" borderId="0" xfId="0" applyFont="1"/>
    <xf numFmtId="9" fontId="22" fillId="0" borderId="0" xfId="0" applyNumberFormat="1" applyFont="1"/>
    <xf numFmtId="0" fontId="26" fillId="0" borderId="0" xfId="0" applyFont="1" applyAlignment="1">
      <alignment horizontal="left" vertical="center"/>
    </xf>
    <xf numFmtId="0" fontId="27" fillId="0" borderId="0" xfId="0" applyFont="1"/>
    <xf numFmtId="0" fontId="24" fillId="0" borderId="27" xfId="0" applyFont="1" applyBorder="1"/>
    <xf numFmtId="0" fontId="28" fillId="0" borderId="27" xfId="0" applyFont="1" applyBorder="1"/>
    <xf numFmtId="0" fontId="29" fillId="0" borderId="0" xfId="0" applyFont="1"/>
    <xf numFmtId="0" fontId="29" fillId="0" borderId="27" xfId="0" applyFont="1" applyBorder="1"/>
    <xf numFmtId="0" fontId="30" fillId="0" borderId="0" xfId="0" applyFont="1"/>
    <xf numFmtId="0" fontId="30" fillId="0" borderId="27" xfId="0" applyFont="1" applyBorder="1"/>
    <xf numFmtId="10" fontId="22" fillId="0" borderId="26" xfId="0" applyNumberFormat="1" applyFont="1" applyBorder="1" applyAlignment="1">
      <alignment horizontal="right"/>
    </xf>
    <xf numFmtId="0" fontId="21" fillId="0" borderId="0" xfId="0" applyFont="1"/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4" fontId="1" fillId="0" borderId="0" xfId="0" applyNumberFormat="1" applyFont="1" applyAlignment="1"/>
    <xf numFmtId="0" fontId="33" fillId="0" borderId="0" xfId="0" applyFont="1"/>
    <xf numFmtId="0" fontId="33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166" fontId="1" fillId="0" borderId="0" xfId="0" applyNumberFormat="1" applyFont="1" applyAlignment="1"/>
    <xf numFmtId="0" fontId="1" fillId="0" borderId="0" xfId="0" applyFont="1" applyAlignment="1"/>
    <xf numFmtId="166" fontId="35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 applyAlignment="1"/>
    <xf numFmtId="0" fontId="33" fillId="0" borderId="0" xfId="0" applyFont="1" applyAlignment="1"/>
    <xf numFmtId="0" fontId="0" fillId="0" borderId="0" xfId="0" applyFont="1"/>
    <xf numFmtId="0" fontId="36" fillId="0" borderId="0" xfId="0" applyFont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7" fillId="0" borderId="26" xfId="0" applyFont="1" applyBorder="1"/>
    <xf numFmtId="0" fontId="13" fillId="9" borderId="29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5" fillId="3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8" xfId="0" applyFont="1" applyBorder="1"/>
    <xf numFmtId="0" fontId="4" fillId="3" borderId="5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32" fillId="10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14" fontId="2" fillId="2" borderId="16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19" fillId="0" borderId="0" xfId="0" applyFont="1" applyAlignment="1">
      <alignment horizontal="center" vertical="center"/>
    </xf>
    <xf numFmtId="0" fontId="3" fillId="0" borderId="25" xfId="0" applyFont="1" applyBorder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4">
    <tableStyle name="Fluxo de Caixa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Fluxo de Caixa-style 2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Fluxo de Caixa-style 3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Fluxo de Caixa-style 4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0.1852719012533072"/>
          <c:y val="6.8737241178186054E-2"/>
          <c:w val="0.63909538416131717"/>
          <c:h val="0.8840819480898221"/>
        </c:manualLayout>
      </c:layout>
      <c:pieChart>
        <c:varyColors val="1"/>
        <c:ser>
          <c:idx val="0"/>
          <c:order val="0"/>
          <c:tx>
            <c:strRef>
              <c:f>Orçamento!$E$14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4C1-43F3-A01E-7EBF88A77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4C1-43F3-A01E-7EBF88A77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4C1-43F3-A01E-7EBF88A77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4C1-43F3-A01E-7EBF88A775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4C1-43F3-A01E-7EBF88A775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A4C1-43F3-A01E-7EBF88A7758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Orçamento!$D$15:$D$20</c:f>
              <c:strCache>
                <c:ptCount val="6"/>
                <c:pt idx="0">
                  <c:v>Necessidades Básicas</c:v>
                </c:pt>
                <c:pt idx="1">
                  <c:v>Lazer</c:v>
                </c:pt>
                <c:pt idx="2">
                  <c:v>Educação</c:v>
                </c:pt>
                <c:pt idx="3">
                  <c:v>Longo Prazo</c:v>
                </c:pt>
                <c:pt idx="4">
                  <c:v>Liberdade financeira</c:v>
                </c:pt>
                <c:pt idx="5">
                  <c:v>Reserva de Emergência</c:v>
                </c:pt>
              </c:strCache>
            </c:strRef>
          </c:cat>
          <c:val>
            <c:numRef>
              <c:f>Orçamento!$E$15:$E$20</c:f>
              <c:numCache>
                <c:formatCode>0.00%</c:formatCode>
                <c:ptCount val="6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C1-43F3-A01E-7EBF88A77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Gasto atual</c:v>
          </c:tx>
          <c:spPr>
            <a:solidFill>
              <a:srgbClr val="0093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Acompanhamento!$B$10:$B$15</c:f>
              <c:strCache>
                <c:ptCount val="6"/>
                <c:pt idx="0">
                  <c:v>Necessidades Básicas</c:v>
                </c:pt>
                <c:pt idx="1">
                  <c:v>Lazer</c:v>
                </c:pt>
                <c:pt idx="2">
                  <c:v>Educação</c:v>
                </c:pt>
                <c:pt idx="3">
                  <c:v>Longo Prazo</c:v>
                </c:pt>
                <c:pt idx="4">
                  <c:v>Liberdade financeira</c:v>
                </c:pt>
                <c:pt idx="5">
                  <c:v>Reserva de Emergência</c:v>
                </c:pt>
              </c:strCache>
            </c:strRef>
          </c:cat>
          <c:val>
            <c:numRef>
              <c:f>Acompanhamento!$D$10:$D$15</c:f>
              <c:numCache>
                <c:formatCode>_-"R$"\ * #,##0.00_-;\-"R$"\ * #,##0.00_-;_-"R$"\ * "-"??_-;_-@</c:formatCode>
                <c:ptCount val="6"/>
                <c:pt idx="0">
                  <c:v>452.03</c:v>
                </c:pt>
                <c:pt idx="1">
                  <c:v>0</c:v>
                </c:pt>
                <c:pt idx="2">
                  <c:v>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39-4E89-829F-C1FCFEB851CA}"/>
            </c:ext>
          </c:extLst>
        </c:ser>
        <c:ser>
          <c:idx val="1"/>
          <c:order val="1"/>
          <c:tx>
            <c:v>Disponível</c:v>
          </c:tx>
          <c:spPr>
            <a:solidFill>
              <a:srgbClr val="89F7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Acompanhamento!$B$10:$B$15</c:f>
              <c:strCache>
                <c:ptCount val="6"/>
                <c:pt idx="0">
                  <c:v>Necessidades Básicas</c:v>
                </c:pt>
                <c:pt idx="1">
                  <c:v>Lazer</c:v>
                </c:pt>
                <c:pt idx="2">
                  <c:v>Educação</c:v>
                </c:pt>
                <c:pt idx="3">
                  <c:v>Longo Prazo</c:v>
                </c:pt>
                <c:pt idx="4">
                  <c:v>Liberdade financeira</c:v>
                </c:pt>
                <c:pt idx="5">
                  <c:v>Reserva de Emergência</c:v>
                </c:pt>
              </c:strCache>
            </c:strRef>
          </c:cat>
          <c:val>
            <c:numRef>
              <c:f>Acompanhamento!$E$10:$E$15</c:f>
              <c:numCache>
                <c:formatCode>_-"R$"\ * #,##0.00_-;\-"R$"\ * #,##0.00_-;_-"R$"\ * "-"??_-;_-@</c:formatCode>
                <c:ptCount val="6"/>
                <c:pt idx="0">
                  <c:v>1047.97</c:v>
                </c:pt>
                <c:pt idx="1">
                  <c:v>600</c:v>
                </c:pt>
                <c:pt idx="2">
                  <c:v>100</c:v>
                </c:pt>
                <c:pt idx="3">
                  <c:v>300</c:v>
                </c:pt>
                <c:pt idx="4">
                  <c:v>300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39-4E89-829F-C1FCFEB8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090437"/>
        <c:axId val="1619669495"/>
      </c:barChart>
      <c:lineChart>
        <c:grouping val="standard"/>
        <c:varyColors val="0"/>
        <c:ser>
          <c:idx val="2"/>
          <c:order val="2"/>
          <c:tx>
            <c:v>Planejado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4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cat>
            <c:strRef>
              <c:f>Acompanhamento!$B$10:$B$15</c:f>
              <c:strCache>
                <c:ptCount val="6"/>
                <c:pt idx="0">
                  <c:v>Necessidades Básicas</c:v>
                </c:pt>
                <c:pt idx="1">
                  <c:v>Lazer</c:v>
                </c:pt>
                <c:pt idx="2">
                  <c:v>Educação</c:v>
                </c:pt>
                <c:pt idx="3">
                  <c:v>Longo Prazo</c:v>
                </c:pt>
                <c:pt idx="4">
                  <c:v>Liberdade financeira</c:v>
                </c:pt>
                <c:pt idx="5">
                  <c:v>Reserva de Emergência</c:v>
                </c:pt>
              </c:strCache>
            </c:strRef>
          </c:cat>
          <c:val>
            <c:numRef>
              <c:f>Acompanhamento!$C$10:$C$15</c:f>
              <c:numCache>
                <c:formatCode>_-"R$"\ * #,##0.00_-;\-"R$"\ * #,##0.00_-;_-"R$"\ * "-"??_-;_-@</c:formatCode>
                <c:ptCount val="6"/>
                <c:pt idx="0">
                  <c:v>1500</c:v>
                </c:pt>
                <c:pt idx="1">
                  <c:v>600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9-4E89-829F-C1FCFEB8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090437"/>
        <c:axId val="1619669495"/>
      </c:lineChart>
      <c:catAx>
        <c:axId val="636090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chemeClr val="dk1"/>
                </a:solidFill>
                <a:latin typeface="+mn-lt"/>
              </a:defRPr>
            </a:pPr>
            <a:endParaRPr lang="pt-BR"/>
          </a:p>
        </c:txPr>
        <c:crossAx val="1619669495"/>
        <c:crosses val="autoZero"/>
        <c:auto val="1"/>
        <c:lblAlgn val="ctr"/>
        <c:lblOffset val="100"/>
        <c:noMultiLvlLbl val="1"/>
      </c:catAx>
      <c:valAx>
        <c:axId val="1619669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pt-BR"/>
          </a:p>
        </c:txPr>
        <c:crossAx val="63609043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0" i="0">
              <a:solidFill>
                <a:schemeClr val="dk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4743450" cy="3429000"/>
    <xdr:graphicFrame macro="">
      <xdr:nvGraphicFramePr>
        <xdr:cNvPr id="257376711" name="Chart 1">
          <a:extLst>
            <a:ext uri="{FF2B5EF4-FFF2-40B4-BE49-F238E27FC236}">
              <a16:creationId xmlns:a16="http://schemas.microsoft.com/office/drawing/2014/main" id="{00000000-0008-0000-0000-0000C7415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38100</xdr:colOff>
      <xdr:row>1</xdr:row>
      <xdr:rowOff>66675</xdr:rowOff>
    </xdr:from>
    <xdr:ext cx="1228725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6</xdr:row>
      <xdr:rowOff>47625</xdr:rowOff>
    </xdr:from>
    <xdr:ext cx="6324600" cy="4905375"/>
    <xdr:graphicFrame macro="">
      <xdr:nvGraphicFramePr>
        <xdr:cNvPr id="1287888519" name="Chart 2">
          <a:extLst>
            <a:ext uri="{FF2B5EF4-FFF2-40B4-BE49-F238E27FC236}">
              <a16:creationId xmlns:a16="http://schemas.microsoft.com/office/drawing/2014/main" id="{00000000-0008-0000-0100-0000879EC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571500</xdr:colOff>
      <xdr:row>1</xdr:row>
      <xdr:rowOff>19050</xdr:rowOff>
    </xdr:from>
    <xdr:ext cx="1504950" cy="266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0</xdr:row>
      <xdr:rowOff>333375</xdr:rowOff>
    </xdr:from>
    <xdr:ext cx="160020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F6">
  <tableColumns count="5">
    <tableColumn id="1" xr3:uid="{00000000-0010-0000-0000-000001000000}" name="Data"/>
    <tableColumn id="2" xr3:uid="{00000000-0010-0000-0000-000002000000}" name="Categoria"/>
    <tableColumn id="3" xr3:uid="{00000000-0010-0000-0000-000003000000}" name="Mês">
      <calculatedColumnFormula>MONTH(B4)</calculatedColumnFormula>
    </tableColumn>
    <tableColumn id="4" xr3:uid="{00000000-0010-0000-0000-000004000000}" name="Descrição"/>
    <tableColumn id="5" xr3:uid="{00000000-0010-0000-0000-000005000000}" name="Valor"/>
  </tableColumns>
  <tableStyleInfo name="Fluxo de Caix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3:L6">
  <tableColumns count="5">
    <tableColumn id="1" xr3:uid="{00000000-0010-0000-0100-000001000000}" name="Data"/>
    <tableColumn id="2" xr3:uid="{00000000-0010-0000-0100-000002000000}" name="Categoria"/>
    <tableColumn id="3" xr3:uid="{00000000-0010-0000-0100-000003000000}" name="Mês">
      <calculatedColumnFormula>MONTH(H4)</calculatedColumnFormula>
    </tableColumn>
    <tableColumn id="4" xr3:uid="{00000000-0010-0000-0100-000004000000}" name="Descrição"/>
    <tableColumn id="5" xr3:uid="{00000000-0010-0000-0100-000005000000}" name="Valor"/>
  </tableColumns>
  <tableStyleInfo name="Fluxo de Caix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N3:R5">
  <tableColumns count="5">
    <tableColumn id="1" xr3:uid="{00000000-0010-0000-0200-000001000000}" name="Data"/>
    <tableColumn id="2" xr3:uid="{00000000-0010-0000-0200-000002000000}" name="Categoria"/>
    <tableColumn id="3" xr3:uid="{00000000-0010-0000-0200-000003000000}" name="Mês">
      <calculatedColumnFormula>MONTH(N4)</calculatedColumnFormula>
    </tableColumn>
    <tableColumn id="4" xr3:uid="{00000000-0010-0000-0200-000004000000}" name="Descrição"/>
    <tableColumn id="5" xr3:uid="{00000000-0010-0000-0200-000005000000}" name="Valor"/>
  </tableColumns>
  <tableStyleInfo name="Fluxo de Caix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T3:X5">
  <tableColumns count="5">
    <tableColumn id="1" xr3:uid="{00000000-0010-0000-0300-000001000000}" name="Data"/>
    <tableColumn id="2" xr3:uid="{00000000-0010-0000-0300-000002000000}" name="Categoria"/>
    <tableColumn id="3" xr3:uid="{00000000-0010-0000-0300-000003000000}" name="Mês">
      <calculatedColumnFormula>MONTH(T4)</calculatedColumnFormula>
    </tableColumn>
    <tableColumn id="4" xr3:uid="{00000000-0010-0000-0300-000004000000}" name="Descrição"/>
    <tableColumn id="5" xr3:uid="{00000000-0010-0000-0300-000005000000}" name="Valor"/>
  </tableColumns>
  <tableStyleInfo name="Fluxo de Caixa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EF2CB"/>
  </sheetPr>
  <dimension ref="A1:AG1000"/>
  <sheetViews>
    <sheetView showGridLines="0" tabSelected="1" zoomScale="130" zoomScaleNormal="130" workbookViewId="0">
      <selection activeCell="G7" sqref="G7"/>
    </sheetView>
  </sheetViews>
  <sheetFormatPr defaultColWidth="14.42578125" defaultRowHeight="15" customHeight="1"/>
  <cols>
    <col min="1" max="1" width="8.85546875" customWidth="1"/>
    <col min="2" max="2" width="8.5703125" customWidth="1"/>
    <col min="3" max="3" width="7.85546875" customWidth="1"/>
    <col min="4" max="4" width="27.42578125" customWidth="1"/>
    <col min="5" max="5" width="19.140625" customWidth="1"/>
    <col min="6" max="6" width="8" customWidth="1"/>
    <col min="7" max="7" width="8.5703125" customWidth="1"/>
    <col min="8" max="8" width="8.85546875" customWidth="1"/>
    <col min="9" max="9" width="18" customWidth="1"/>
    <col min="10" max="33" width="8.85546875" customWidth="1"/>
  </cols>
  <sheetData>
    <row r="1" spans="1:3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3.25">
      <c r="A2" s="1"/>
      <c r="B2" s="1"/>
      <c r="C2" s="1"/>
      <c r="D2" s="1"/>
      <c r="E2" s="114" t="s">
        <v>0</v>
      </c>
      <c r="F2" s="115"/>
      <c r="G2" s="115"/>
      <c r="H2" s="115"/>
      <c r="I2" s="116"/>
      <c r="J2" s="117"/>
      <c r="K2" s="118"/>
      <c r="L2" s="119"/>
      <c r="M2" s="120" t="s">
        <v>89</v>
      </c>
      <c r="N2" s="118"/>
      <c r="O2" s="119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5.5" customHeight="1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5.5" customHeight="1"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3.25">
      <c r="A5" s="3"/>
      <c r="B5" s="3"/>
      <c r="C5" s="3"/>
      <c r="D5" s="3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31.5" customHeight="1">
      <c r="B6" s="121" t="s">
        <v>1</v>
      </c>
      <c r="C6" s="115"/>
      <c r="D6" s="115"/>
      <c r="E6" s="115"/>
      <c r="F6" s="115"/>
      <c r="G6" s="122"/>
      <c r="H6" s="5"/>
      <c r="I6" s="121" t="s">
        <v>2</v>
      </c>
      <c r="J6" s="115"/>
      <c r="K6" s="115"/>
      <c r="L6" s="115"/>
      <c r="M6" s="115"/>
      <c r="N6" s="115"/>
      <c r="O6" s="122"/>
    </row>
    <row r="7" spans="1:33" ht="18" customHeight="1">
      <c r="A7" s="3"/>
      <c r="B7" s="6"/>
      <c r="C7" s="6"/>
      <c r="D7" s="6"/>
      <c r="E7" s="6"/>
      <c r="F7" s="6"/>
      <c r="G7" s="6"/>
      <c r="H7" s="5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3"/>
      <c r="B8" s="8"/>
      <c r="C8" s="8"/>
      <c r="D8" s="8"/>
      <c r="E8" s="8"/>
      <c r="F8" s="9"/>
      <c r="G8" s="9"/>
      <c r="H8" s="3"/>
    </row>
    <row r="9" spans="1:33" ht="15.75">
      <c r="A9" s="3"/>
      <c r="B9" s="8"/>
      <c r="C9" s="8"/>
      <c r="D9" s="10" t="s">
        <v>3</v>
      </c>
      <c r="E9" s="11">
        <v>3000</v>
      </c>
      <c r="F9" s="9"/>
      <c r="G9" s="9"/>
      <c r="H9" s="3"/>
    </row>
    <row r="10" spans="1:33" ht="15.75">
      <c r="A10" s="3"/>
      <c r="B10" s="8"/>
      <c r="C10" s="8"/>
      <c r="D10" s="12" t="s">
        <v>4</v>
      </c>
      <c r="E10" s="13"/>
      <c r="F10" s="9"/>
      <c r="G10" s="9"/>
      <c r="H10" s="3"/>
    </row>
    <row r="11" spans="1:33" ht="15.75">
      <c r="A11" s="3"/>
      <c r="B11" s="8"/>
      <c r="C11" s="8"/>
      <c r="D11" s="14" t="s">
        <v>5</v>
      </c>
      <c r="E11" s="15">
        <f>E9-E10</f>
        <v>3000</v>
      </c>
      <c r="F11" s="9"/>
      <c r="G11" s="9"/>
      <c r="H11" s="3"/>
    </row>
    <row r="12" spans="1:33" ht="18">
      <c r="A12" s="3"/>
      <c r="B12" s="8"/>
      <c r="C12" s="8"/>
      <c r="D12" s="16"/>
      <c r="E12" s="17"/>
      <c r="F12" s="9"/>
      <c r="G12" s="9"/>
      <c r="H12" s="3"/>
    </row>
    <row r="13" spans="1:33" ht="18">
      <c r="A13" s="3"/>
      <c r="B13" s="8"/>
      <c r="C13" s="8"/>
      <c r="D13" s="16"/>
      <c r="E13" s="17"/>
      <c r="F13" s="9"/>
      <c r="G13" s="9"/>
      <c r="H13" s="3"/>
    </row>
    <row r="14" spans="1:33" ht="18">
      <c r="A14" s="3"/>
      <c r="B14" s="8"/>
      <c r="C14" s="8"/>
      <c r="D14" s="14" t="s">
        <v>6</v>
      </c>
      <c r="E14" s="18" t="s">
        <v>7</v>
      </c>
      <c r="F14" s="9"/>
      <c r="G14" s="9"/>
      <c r="H14" s="3"/>
    </row>
    <row r="15" spans="1:33" ht="15.75">
      <c r="A15" s="3"/>
      <c r="B15" s="8"/>
      <c r="C15" s="8"/>
      <c r="D15" s="19" t="s">
        <v>8</v>
      </c>
      <c r="E15" s="20">
        <v>0.5</v>
      </c>
      <c r="F15" s="8"/>
      <c r="G15" s="8"/>
      <c r="H15" s="3"/>
    </row>
    <row r="16" spans="1:33" ht="15.75">
      <c r="A16" s="3"/>
      <c r="B16" s="8"/>
      <c r="C16" s="8"/>
      <c r="D16" s="21" t="s">
        <v>9</v>
      </c>
      <c r="E16" s="22">
        <v>0.2</v>
      </c>
      <c r="F16" s="8"/>
      <c r="G16" s="8"/>
      <c r="H16" s="3"/>
    </row>
    <row r="17" spans="1:9" ht="15.75">
      <c r="A17" s="3"/>
      <c r="B17" s="8"/>
      <c r="C17" s="8"/>
      <c r="D17" s="23" t="s">
        <v>10</v>
      </c>
      <c r="E17" s="22">
        <v>0.1</v>
      </c>
      <c r="F17" s="8"/>
      <c r="G17" s="8"/>
      <c r="H17" s="3"/>
    </row>
    <row r="18" spans="1:9" ht="15.75">
      <c r="A18" s="3"/>
      <c r="B18" s="8"/>
      <c r="C18" s="8"/>
      <c r="D18" s="23" t="s">
        <v>11</v>
      </c>
      <c r="E18" s="22">
        <v>0.1</v>
      </c>
      <c r="F18" s="8"/>
      <c r="G18" s="8"/>
      <c r="H18" s="3"/>
    </row>
    <row r="19" spans="1:9" ht="15.75">
      <c r="A19" s="3"/>
      <c r="B19" s="8"/>
      <c r="C19" s="8"/>
      <c r="D19" s="21" t="s">
        <v>12</v>
      </c>
      <c r="E19" s="20">
        <v>0.1</v>
      </c>
      <c r="F19" s="8"/>
      <c r="G19" s="8"/>
      <c r="H19" s="3"/>
    </row>
    <row r="20" spans="1:9" ht="15.75">
      <c r="A20" s="3"/>
      <c r="B20" s="8"/>
      <c r="C20" s="8"/>
      <c r="D20" s="24" t="s">
        <v>13</v>
      </c>
      <c r="E20" s="25">
        <v>0</v>
      </c>
      <c r="F20" s="8"/>
      <c r="G20" s="8"/>
      <c r="H20" s="3"/>
    </row>
    <row r="21" spans="1:9" ht="15.75" customHeight="1">
      <c r="A21" s="3"/>
      <c r="B21" s="8"/>
      <c r="C21" s="8"/>
      <c r="D21" s="17"/>
      <c r="E21" s="26">
        <f>SUM(E15:E20)</f>
        <v>0.99999999999999989</v>
      </c>
      <c r="F21" s="8"/>
      <c r="G21" s="8"/>
      <c r="H21" s="3"/>
    </row>
    <row r="22" spans="1:9" ht="15.75" customHeight="1">
      <c r="A22" s="3"/>
      <c r="B22" s="8"/>
      <c r="C22" s="8"/>
      <c r="D22" s="8"/>
      <c r="E22" s="8"/>
      <c r="F22" s="8"/>
      <c r="G22" s="8"/>
      <c r="H22" s="3"/>
      <c r="I22" s="3"/>
    </row>
    <row r="23" spans="1:9" ht="15.75" customHeight="1">
      <c r="A23" s="3"/>
      <c r="B23" s="8"/>
      <c r="C23" s="8"/>
      <c r="D23" s="8"/>
      <c r="E23" s="8"/>
      <c r="F23" s="8"/>
      <c r="G23" s="8"/>
      <c r="H23" s="3"/>
    </row>
    <row r="24" spans="1:9" ht="15.75" customHeight="1">
      <c r="A24" s="3"/>
      <c r="B24" s="3"/>
      <c r="C24" s="3"/>
      <c r="D24" s="3"/>
      <c r="E24" s="3"/>
      <c r="F24" s="3"/>
      <c r="G24" s="3"/>
      <c r="H24" s="3"/>
    </row>
    <row r="25" spans="1:9" ht="15.75" customHeight="1">
      <c r="A25" s="3"/>
      <c r="B25" s="3"/>
      <c r="C25" s="3"/>
      <c r="D25" s="3"/>
      <c r="E25" s="3"/>
      <c r="F25" s="3"/>
      <c r="G25" s="3"/>
      <c r="H25" s="3"/>
    </row>
    <row r="26" spans="1:9" ht="15.75" customHeight="1">
      <c r="A26" s="3"/>
      <c r="B26" s="3"/>
      <c r="C26" s="3"/>
      <c r="D26" s="3"/>
      <c r="E26" s="3"/>
      <c r="F26" s="3"/>
      <c r="G26" s="3"/>
      <c r="H26" s="3"/>
    </row>
    <row r="27" spans="1:9" ht="15.75" customHeight="1">
      <c r="A27" s="3"/>
      <c r="B27" s="3"/>
      <c r="C27" s="3"/>
      <c r="D27" s="3"/>
      <c r="E27" s="3"/>
      <c r="F27" s="3"/>
      <c r="G27" s="3"/>
      <c r="H27" s="3"/>
    </row>
    <row r="28" spans="1:9" ht="15.75" customHeight="1">
      <c r="A28" s="3"/>
      <c r="B28" s="3"/>
      <c r="C28" s="3"/>
      <c r="D28" s="3"/>
      <c r="E28" s="3"/>
      <c r="F28" s="3"/>
      <c r="G28" s="3"/>
      <c r="H28" s="3"/>
    </row>
    <row r="29" spans="1:9" ht="15.75" customHeight="1">
      <c r="A29" s="3"/>
      <c r="B29" s="3"/>
      <c r="C29" s="3"/>
      <c r="D29" s="3"/>
      <c r="E29" s="3"/>
      <c r="F29" s="3"/>
      <c r="G29" s="3"/>
      <c r="H29" s="3"/>
    </row>
    <row r="30" spans="1:9" ht="15.75" customHeight="1">
      <c r="A30" s="3"/>
      <c r="B30" s="3"/>
      <c r="C30" s="3"/>
      <c r="D30" s="3"/>
      <c r="E30" s="3"/>
      <c r="F30" s="3"/>
      <c r="G30" s="3"/>
      <c r="H30" s="3"/>
    </row>
    <row r="31" spans="1:9" ht="15.75" customHeight="1">
      <c r="A31" s="3"/>
      <c r="B31" s="3"/>
      <c r="C31" s="3"/>
      <c r="D31" s="3"/>
      <c r="E31" s="3"/>
      <c r="F31" s="3"/>
      <c r="G31" s="3"/>
      <c r="H31" s="3"/>
    </row>
    <row r="32" spans="1:9" ht="15.75" customHeight="1">
      <c r="A32" s="3"/>
      <c r="B32" s="3"/>
      <c r="C32" s="3"/>
      <c r="D32" s="3"/>
      <c r="E32" s="3"/>
      <c r="F32" s="3"/>
      <c r="G32" s="3"/>
      <c r="H32" s="3"/>
    </row>
    <row r="33" spans="1:8" ht="15.75" customHeight="1">
      <c r="A33" s="3"/>
      <c r="B33" s="3"/>
      <c r="C33" s="3"/>
      <c r="D33" s="3"/>
      <c r="E33" s="3"/>
      <c r="F33" s="3"/>
      <c r="G33" s="3"/>
      <c r="H33" s="3"/>
    </row>
    <row r="34" spans="1:8" ht="15.75" customHeight="1">
      <c r="A34" s="3"/>
      <c r="B34" s="3"/>
      <c r="C34" s="3"/>
      <c r="D34" s="3"/>
      <c r="E34" s="3"/>
      <c r="F34" s="3"/>
      <c r="G34" s="3"/>
      <c r="H34" s="3"/>
    </row>
    <row r="35" spans="1:8" ht="15.75" customHeight="1">
      <c r="A35" s="3"/>
      <c r="B35" s="3"/>
      <c r="C35" s="3"/>
      <c r="D35" s="3"/>
      <c r="E35" s="3"/>
      <c r="F35" s="3"/>
      <c r="G35" s="3"/>
      <c r="H35" s="3"/>
    </row>
    <row r="36" spans="1:8" ht="15.75" customHeight="1">
      <c r="A36" s="3"/>
      <c r="B36" s="3"/>
      <c r="C36" s="3"/>
      <c r="D36" s="3"/>
      <c r="E36" s="3"/>
      <c r="F36" s="3"/>
      <c r="G36" s="3"/>
      <c r="H36" s="3"/>
    </row>
    <row r="37" spans="1:8" ht="15.75" customHeight="1">
      <c r="A37" s="3"/>
      <c r="B37" s="3"/>
      <c r="C37" s="3"/>
      <c r="D37" s="3"/>
      <c r="E37" s="3"/>
      <c r="F37" s="3"/>
      <c r="G37" s="3"/>
      <c r="H37" s="3"/>
    </row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2:I2"/>
    <mergeCell ref="J2:L2"/>
    <mergeCell ref="M2:O2"/>
    <mergeCell ref="B6:G6"/>
    <mergeCell ref="I6:O6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F2CB"/>
  </sheetPr>
  <dimension ref="A2:AD947"/>
  <sheetViews>
    <sheetView showGridLines="0" zoomScale="115" zoomScaleNormal="115" workbookViewId="0">
      <pane ySplit="3" topLeftCell="A4" activePane="bottomLeft" state="frozen"/>
      <selection pane="bottomLeft" activeCell="I8" sqref="I8"/>
    </sheetView>
  </sheetViews>
  <sheetFormatPr defaultColWidth="14.42578125" defaultRowHeight="15" customHeight="1"/>
  <cols>
    <col min="1" max="1" width="1.42578125" customWidth="1"/>
    <col min="2" max="2" width="11.85546875" bestFit="1" customWidth="1"/>
    <col min="3" max="3" width="9.5703125" customWidth="1"/>
    <col min="4" max="4" width="4.85546875" customWidth="1"/>
    <col min="5" max="5" width="16.5703125" customWidth="1"/>
    <col min="6" max="6" width="12.7109375" customWidth="1"/>
    <col min="7" max="7" width="1.42578125" customWidth="1"/>
    <col min="8" max="8" width="11.85546875" bestFit="1" customWidth="1"/>
    <col min="9" max="9" width="14.42578125" customWidth="1"/>
    <col min="10" max="10" width="4.85546875" customWidth="1"/>
    <col min="11" max="11" width="19.42578125" customWidth="1"/>
    <col min="12" max="12" width="11.140625" bestFit="1" customWidth="1"/>
    <col min="13" max="13" width="1.42578125" customWidth="1"/>
    <col min="14" max="14" width="11.85546875" bestFit="1" customWidth="1"/>
    <col min="15" max="15" width="19.140625" bestFit="1" customWidth="1"/>
    <col min="16" max="16" width="4.85546875" customWidth="1"/>
    <col min="17" max="17" width="14" customWidth="1"/>
    <col min="18" max="18" width="10.140625" bestFit="1" customWidth="1"/>
    <col min="19" max="19" width="1.42578125" customWidth="1"/>
    <col min="20" max="20" width="11.85546875" bestFit="1" customWidth="1"/>
    <col min="21" max="21" width="12" bestFit="1" customWidth="1"/>
    <col min="22" max="22" width="4.85546875" customWidth="1"/>
    <col min="23" max="23" width="9.5703125" customWidth="1"/>
    <col min="24" max="24" width="11.140625" bestFit="1" customWidth="1"/>
    <col min="25" max="30" width="8.7109375" customWidth="1"/>
  </cols>
  <sheetData>
    <row r="2" spans="1:30" ht="37.5" customHeight="1">
      <c r="A2" s="89"/>
      <c r="B2" s="126" t="s">
        <v>23</v>
      </c>
      <c r="C2" s="118"/>
      <c r="D2" s="118"/>
      <c r="E2" s="118"/>
      <c r="F2" s="119"/>
      <c r="G2" s="89"/>
      <c r="H2" s="126" t="s">
        <v>80</v>
      </c>
      <c r="I2" s="118"/>
      <c r="J2" s="118"/>
      <c r="K2" s="118"/>
      <c r="L2" s="119"/>
      <c r="M2" s="89"/>
      <c r="N2" s="126" t="s">
        <v>9</v>
      </c>
      <c r="O2" s="118"/>
      <c r="P2" s="118"/>
      <c r="Q2" s="118"/>
      <c r="R2" s="119"/>
      <c r="S2" s="89"/>
      <c r="T2" s="126" t="s">
        <v>70</v>
      </c>
      <c r="U2" s="118"/>
      <c r="V2" s="118"/>
      <c r="W2" s="118"/>
      <c r="X2" s="119"/>
      <c r="Y2" s="90"/>
      <c r="Z2" s="90"/>
      <c r="AA2" s="90"/>
      <c r="AB2" s="90"/>
      <c r="AC2" s="90"/>
      <c r="AD2" s="90"/>
    </row>
    <row r="3" spans="1:30">
      <c r="A3" s="91"/>
      <c r="B3" s="92" t="s">
        <v>81</v>
      </c>
      <c r="C3" s="92" t="s">
        <v>82</v>
      </c>
      <c r="D3" s="93" t="s">
        <v>15</v>
      </c>
      <c r="E3" s="92" t="s">
        <v>83</v>
      </c>
      <c r="F3" s="92" t="s">
        <v>84</v>
      </c>
      <c r="G3" s="91"/>
      <c r="H3" s="92" t="s">
        <v>81</v>
      </c>
      <c r="I3" s="92" t="s">
        <v>82</v>
      </c>
      <c r="J3" s="93" t="s">
        <v>15</v>
      </c>
      <c r="K3" s="92" t="s">
        <v>83</v>
      </c>
      <c r="L3" s="92" t="s">
        <v>84</v>
      </c>
      <c r="M3" s="91"/>
      <c r="N3" s="92" t="s">
        <v>81</v>
      </c>
      <c r="O3" s="92" t="s">
        <v>82</v>
      </c>
      <c r="P3" s="93" t="s">
        <v>15</v>
      </c>
      <c r="Q3" s="92" t="s">
        <v>83</v>
      </c>
      <c r="R3" s="92" t="s">
        <v>84</v>
      </c>
      <c r="S3" s="91"/>
      <c r="T3" s="92" t="s">
        <v>81</v>
      </c>
      <c r="U3" s="92" t="s">
        <v>82</v>
      </c>
      <c r="V3" s="93" t="s">
        <v>15</v>
      </c>
      <c r="W3" s="92" t="s">
        <v>83</v>
      </c>
      <c r="X3" s="92" t="s">
        <v>84</v>
      </c>
      <c r="Y3" s="91"/>
      <c r="Z3" s="91"/>
      <c r="AA3" s="91"/>
      <c r="AB3" s="91"/>
      <c r="AC3" s="91"/>
      <c r="AD3" s="91"/>
    </row>
    <row r="4" spans="1:30">
      <c r="A4" s="36"/>
      <c r="B4" s="94">
        <v>45288</v>
      </c>
      <c r="C4" s="95" t="s">
        <v>35</v>
      </c>
      <c r="D4" s="95">
        <f t="shared" ref="D4:D5" si="0">MONTH(B4)</f>
        <v>12</v>
      </c>
      <c r="E4" s="96" t="s">
        <v>35</v>
      </c>
      <c r="F4" s="97">
        <v>3000</v>
      </c>
      <c r="G4" s="36"/>
      <c r="H4" s="94">
        <v>45288</v>
      </c>
      <c r="I4" s="95" t="s">
        <v>40</v>
      </c>
      <c r="J4" s="95">
        <f t="shared" ref="J4:J5" si="1">MONTH(H4)</f>
        <v>12</v>
      </c>
      <c r="K4" t="s">
        <v>87</v>
      </c>
      <c r="L4" s="97">
        <v>452.03</v>
      </c>
      <c r="M4" s="36"/>
      <c r="N4" s="94">
        <v>45306</v>
      </c>
      <c r="O4" s="95" t="s">
        <v>62</v>
      </c>
      <c r="P4" s="95">
        <f t="shared" ref="P4:P5" si="2">MONTH(N4)</f>
        <v>1</v>
      </c>
      <c r="Q4" s="95" t="s">
        <v>85</v>
      </c>
      <c r="R4" s="98">
        <v>15</v>
      </c>
      <c r="S4" s="36"/>
      <c r="T4" s="94">
        <v>45289</v>
      </c>
      <c r="U4" s="95" t="s">
        <v>71</v>
      </c>
      <c r="V4" s="95">
        <f t="shared" ref="V4:V5" si="3">MONTH(T4)</f>
        <v>12</v>
      </c>
      <c r="W4" s="106" t="s">
        <v>86</v>
      </c>
      <c r="X4" s="98">
        <v>200</v>
      </c>
    </row>
    <row r="5" spans="1:30" ht="15.75" customHeight="1">
      <c r="B5" s="104">
        <v>45288</v>
      </c>
      <c r="C5" s="96" t="s">
        <v>88</v>
      </c>
      <c r="D5" s="95">
        <f t="shared" si="0"/>
        <v>12</v>
      </c>
      <c r="E5" s="96"/>
      <c r="F5" s="97">
        <v>1000</v>
      </c>
      <c r="H5" s="104"/>
      <c r="I5" s="96"/>
      <c r="J5" s="95">
        <f t="shared" si="1"/>
        <v>1</v>
      </c>
      <c r="K5" s="96"/>
      <c r="L5" s="100"/>
      <c r="N5" s="104"/>
      <c r="O5" s="96"/>
      <c r="P5" s="95">
        <f t="shared" si="2"/>
        <v>1</v>
      </c>
      <c r="Q5" s="96"/>
      <c r="R5" s="97"/>
      <c r="T5" s="104"/>
      <c r="U5" s="95"/>
      <c r="V5" s="95">
        <f t="shared" si="3"/>
        <v>1</v>
      </c>
      <c r="W5" s="95"/>
      <c r="X5" s="103"/>
    </row>
    <row r="6" spans="1:30" ht="15.75" customHeight="1">
      <c r="B6" s="104">
        <v>45288</v>
      </c>
      <c r="C6" s="96" t="s">
        <v>36</v>
      </c>
      <c r="D6" s="95">
        <f>MONTH(B6)</f>
        <v>12</v>
      </c>
      <c r="E6" s="96"/>
      <c r="F6" s="97">
        <v>2000</v>
      </c>
      <c r="H6" s="104"/>
      <c r="I6" s="96"/>
      <c r="J6" s="95">
        <f>MONTH(H6)</f>
        <v>1</v>
      </c>
      <c r="K6" s="96"/>
      <c r="L6" s="100"/>
      <c r="N6" s="99"/>
      <c r="O6" s="96"/>
      <c r="P6" s="95"/>
      <c r="Q6" s="96"/>
      <c r="R6" s="100"/>
      <c r="T6" s="102"/>
      <c r="U6" s="95"/>
      <c r="V6" s="95"/>
      <c r="W6" s="95"/>
      <c r="X6" s="103"/>
    </row>
    <row r="7" spans="1:30" ht="15.75" customHeight="1">
      <c r="H7" s="101"/>
      <c r="I7" s="105"/>
      <c r="J7" s="95"/>
      <c r="K7" s="105"/>
      <c r="L7" s="102"/>
      <c r="N7" s="99"/>
      <c r="O7" s="96"/>
      <c r="P7" s="95"/>
      <c r="Q7" s="96"/>
      <c r="R7" s="100"/>
      <c r="T7" s="102"/>
      <c r="U7" s="95"/>
      <c r="V7" s="95"/>
      <c r="W7" s="95"/>
      <c r="X7" s="103"/>
    </row>
    <row r="8" spans="1:30" ht="15.75" customHeight="1">
      <c r="H8" s="101"/>
      <c r="I8" s="105"/>
      <c r="J8" s="95"/>
      <c r="K8" s="105"/>
      <c r="L8" s="102"/>
      <c r="N8" s="99"/>
      <c r="O8" s="96"/>
      <c r="P8" s="95"/>
      <c r="Q8" s="96"/>
      <c r="R8" s="100"/>
      <c r="T8" s="102"/>
      <c r="U8" s="95"/>
      <c r="V8" s="95"/>
      <c r="W8" s="95"/>
      <c r="X8" s="103"/>
    </row>
    <row r="9" spans="1:30" ht="15.75" customHeight="1">
      <c r="H9" s="101"/>
      <c r="I9" s="105"/>
      <c r="J9" s="95"/>
      <c r="K9" s="105"/>
      <c r="L9" s="102"/>
      <c r="N9" s="99"/>
      <c r="O9" s="96"/>
      <c r="P9" s="95"/>
      <c r="Q9" s="96"/>
      <c r="R9" s="100"/>
      <c r="T9" s="102"/>
      <c r="U9" s="95"/>
      <c r="V9" s="95"/>
      <c r="W9" s="95"/>
      <c r="X9" s="103"/>
    </row>
    <row r="10" spans="1:30" ht="15.75" customHeight="1">
      <c r="H10" s="101"/>
      <c r="I10" s="105"/>
      <c r="J10" s="95"/>
      <c r="K10" s="105"/>
      <c r="L10" s="102"/>
      <c r="N10" s="99"/>
      <c r="O10" s="96"/>
      <c r="P10" s="95"/>
      <c r="Q10" s="96"/>
      <c r="R10" s="100"/>
      <c r="T10" s="102"/>
      <c r="U10" s="95"/>
      <c r="V10" s="95"/>
      <c r="W10" s="95"/>
      <c r="X10" s="103"/>
    </row>
    <row r="11" spans="1:30" ht="15.75" customHeight="1">
      <c r="H11" s="101"/>
      <c r="I11" s="105"/>
      <c r="J11" s="95"/>
      <c r="K11" s="105"/>
      <c r="L11" s="102"/>
      <c r="N11" s="99"/>
      <c r="O11" s="96"/>
      <c r="P11" s="95"/>
      <c r="Q11" s="96"/>
      <c r="R11" s="100"/>
      <c r="T11" s="102"/>
      <c r="U11" s="95"/>
      <c r="V11" s="95"/>
      <c r="W11" s="95"/>
      <c r="X11" s="103"/>
    </row>
    <row r="12" spans="1:30" ht="15.75" customHeight="1">
      <c r="H12" s="101"/>
      <c r="I12" s="105"/>
      <c r="J12" s="95"/>
      <c r="K12" s="105"/>
      <c r="L12" s="102"/>
      <c r="N12" s="99"/>
      <c r="O12" s="96"/>
      <c r="P12" s="95"/>
      <c r="Q12" s="96"/>
      <c r="R12" s="100"/>
      <c r="T12" s="102"/>
      <c r="U12" s="95"/>
      <c r="V12" s="95"/>
      <c r="W12" s="95"/>
      <c r="X12" s="103"/>
    </row>
    <row r="13" spans="1:30" ht="15.75" customHeight="1">
      <c r="H13" s="101"/>
      <c r="I13" s="105"/>
      <c r="J13" s="95"/>
      <c r="K13" s="105"/>
      <c r="L13" s="102"/>
      <c r="N13" s="104"/>
      <c r="O13" s="96"/>
      <c r="P13" s="95"/>
      <c r="Q13" s="96"/>
      <c r="R13" s="100"/>
      <c r="T13" s="102"/>
      <c r="U13" s="95"/>
      <c r="V13" s="95"/>
      <c r="W13" s="95"/>
      <c r="X13" s="103"/>
    </row>
    <row r="14" spans="1:30" ht="15.75" customHeight="1">
      <c r="H14" s="101"/>
      <c r="I14" s="105"/>
      <c r="J14" s="95"/>
      <c r="K14" s="105"/>
      <c r="L14" s="102"/>
      <c r="N14" s="104"/>
      <c r="O14" s="96"/>
      <c r="P14" s="95"/>
      <c r="Q14" s="96"/>
      <c r="R14" s="100"/>
      <c r="T14" s="102"/>
      <c r="U14" s="95"/>
      <c r="V14" s="95"/>
      <c r="W14" s="95"/>
      <c r="X14" s="103"/>
    </row>
    <row r="15" spans="1:30" ht="15.75" customHeight="1">
      <c r="H15" s="101"/>
      <c r="I15" s="105"/>
      <c r="J15" s="95"/>
      <c r="K15" s="105"/>
      <c r="L15" s="102"/>
      <c r="N15" s="104"/>
      <c r="O15" s="96"/>
      <c r="P15" s="95"/>
      <c r="Q15" s="96"/>
      <c r="R15" s="100"/>
      <c r="T15" s="102"/>
      <c r="U15" s="95"/>
      <c r="V15" s="95"/>
      <c r="W15" s="95"/>
      <c r="X15" s="103"/>
    </row>
    <row r="16" spans="1:30" ht="15.75" customHeight="1">
      <c r="H16" s="101"/>
      <c r="I16" s="105"/>
      <c r="J16" s="95"/>
      <c r="K16" s="105"/>
      <c r="L16" s="102"/>
      <c r="N16" s="104"/>
      <c r="O16" s="96"/>
      <c r="P16" s="95"/>
      <c r="Q16" s="96"/>
      <c r="R16" s="102"/>
      <c r="T16" s="102"/>
      <c r="U16" s="95"/>
      <c r="V16" s="95"/>
      <c r="W16" s="95"/>
      <c r="X16" s="103"/>
    </row>
    <row r="17" spans="8:24" ht="15.75" customHeight="1">
      <c r="H17" s="101"/>
      <c r="I17" s="105"/>
      <c r="J17" s="95"/>
      <c r="K17" s="105"/>
      <c r="L17" s="102"/>
      <c r="N17" s="102"/>
      <c r="O17" s="105"/>
      <c r="P17" s="95"/>
      <c r="Q17" s="105"/>
      <c r="R17" s="102"/>
      <c r="T17" s="102"/>
      <c r="U17" s="95"/>
      <c r="V17" s="95"/>
      <c r="W17" s="95"/>
      <c r="X17" s="103"/>
    </row>
    <row r="18" spans="8:24" ht="15.75" customHeight="1">
      <c r="H18" s="101"/>
      <c r="I18" s="105"/>
      <c r="J18" s="95"/>
      <c r="K18" s="105"/>
      <c r="L18" s="102"/>
      <c r="N18" s="102"/>
      <c r="O18" s="105"/>
      <c r="P18" s="95"/>
      <c r="Q18" s="105"/>
      <c r="R18" s="102"/>
      <c r="T18" s="102"/>
      <c r="U18" s="95"/>
      <c r="V18" s="95"/>
      <c r="W18" s="95"/>
      <c r="X18" s="103"/>
    </row>
    <row r="19" spans="8:24" ht="15.75" customHeight="1">
      <c r="H19" s="101"/>
      <c r="I19" s="105"/>
      <c r="J19" s="95"/>
      <c r="K19" s="105"/>
      <c r="L19" s="102"/>
      <c r="N19" s="102"/>
      <c r="O19" s="105"/>
      <c r="P19" s="95"/>
      <c r="Q19" s="105"/>
      <c r="R19" s="102"/>
      <c r="T19" s="102"/>
      <c r="U19" s="95"/>
      <c r="V19" s="95"/>
      <c r="W19" s="95"/>
      <c r="X19" s="103"/>
    </row>
    <row r="20" spans="8:24" ht="15.75" customHeight="1"/>
    <row r="21" spans="8:24" ht="15.75" customHeight="1"/>
    <row r="22" spans="8:24" ht="15.75" customHeight="1"/>
    <row r="23" spans="8:24" ht="15.75" customHeight="1"/>
    <row r="24" spans="8:24" ht="15.75" customHeight="1"/>
    <row r="25" spans="8:24" ht="15.75" customHeight="1"/>
    <row r="26" spans="8:24" ht="15.75" customHeight="1"/>
    <row r="27" spans="8:24" ht="15.75" customHeight="1"/>
    <row r="28" spans="8:24" ht="15.75" customHeight="1"/>
    <row r="29" spans="8:24" ht="15.75" customHeight="1"/>
    <row r="30" spans="8:24" ht="15.75" customHeight="1"/>
    <row r="31" spans="8:24" ht="15.75" customHeight="1"/>
    <row r="32" spans="8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4">
    <mergeCell ref="B2:F2"/>
    <mergeCell ref="H2:L2"/>
    <mergeCell ref="N2:R2"/>
    <mergeCell ref="T2:X2"/>
  </mergeCells>
  <pageMargins left="0.511811024" right="0.511811024" top="0.78740157499999996" bottom="0.78740157499999996" header="0" footer="0"/>
  <pageSetup paperSize="9" orientation="portrait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300-000000000000}">
          <x14:formula1>
            <xm:f>Anual!$B$12:$B$30</xm:f>
          </x14:formula1>
          <xm:sqref>I4:I6</xm:sqref>
        </x14:dataValidation>
        <x14:dataValidation type="list" allowBlank="1" showErrorMessage="1" xr:uid="{00000000-0002-0000-0300-000001000000}">
          <x14:formula1>
            <xm:f>Anual!$B$49:$B$52</xm:f>
          </x14:formula1>
          <xm:sqref>U4:U5</xm:sqref>
        </x14:dataValidation>
        <x14:dataValidation type="list" allowBlank="1" showErrorMessage="1" xr:uid="{00000000-0002-0000-0300-000002000000}">
          <x14:formula1>
            <xm:f>Anual!$B$5:$B$7</xm:f>
          </x14:formula1>
          <xm:sqref>C4:C6</xm:sqref>
        </x14:dataValidation>
        <x14:dataValidation type="list" allowBlank="1" showErrorMessage="1" xr:uid="{00000000-0002-0000-0300-000003000000}">
          <x14:formula1>
            <xm:f>Anual!$B$36:$B$43</xm:f>
          </x14:formula1>
          <xm:sqref>O4:O16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EF2CB"/>
  </sheetPr>
  <dimension ref="A1:AG1000"/>
  <sheetViews>
    <sheetView showGridLines="0" topLeftCell="A4" zoomScale="115" zoomScaleNormal="115" workbookViewId="0">
      <selection activeCell="E10" sqref="E10"/>
    </sheetView>
  </sheetViews>
  <sheetFormatPr defaultColWidth="14.42578125" defaultRowHeight="15" customHeight="1"/>
  <cols>
    <col min="1" max="1" width="8.5703125" customWidth="1"/>
    <col min="2" max="2" width="31.140625" customWidth="1"/>
    <col min="3" max="5" width="22.7109375" customWidth="1"/>
    <col min="6" max="7" width="8.5703125" customWidth="1"/>
    <col min="8" max="9" width="9.140625" customWidth="1"/>
    <col min="10" max="10" width="18" customWidth="1"/>
    <col min="11" max="16" width="9.140625" customWidth="1"/>
    <col min="17" max="17" width="3.42578125" customWidth="1"/>
    <col min="18" max="33" width="9.140625" customWidth="1"/>
  </cols>
  <sheetData>
    <row r="1" spans="1:33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3.25">
      <c r="A2" s="1"/>
      <c r="B2" s="1"/>
      <c r="C2" s="1"/>
      <c r="D2" s="114" t="s">
        <v>0</v>
      </c>
      <c r="E2" s="114"/>
      <c r="F2" s="114"/>
      <c r="G2" s="114"/>
      <c r="H2" s="114"/>
      <c r="I2" s="114"/>
      <c r="J2" s="114"/>
      <c r="K2" s="27"/>
      <c r="L2" s="28"/>
      <c r="M2" s="123" t="str">
        <f>Orçamento!M2</f>
        <v>Seu nome</v>
      </c>
      <c r="N2" s="118"/>
      <c r="O2" s="119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30" customHeight="1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3.25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ht="23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9"/>
      <c r="U5" s="29"/>
      <c r="V5" s="29"/>
      <c r="W5" s="29"/>
      <c r="X5" s="30"/>
      <c r="Y5" s="29"/>
      <c r="Z5" s="29"/>
      <c r="AA5" s="29"/>
      <c r="AB5" s="29"/>
      <c r="AC5" s="29"/>
      <c r="AD5" s="29"/>
      <c r="AE5" s="29"/>
      <c r="AF5" s="29"/>
      <c r="AG5" s="29"/>
    </row>
    <row r="6" spans="1:33" ht="23.25">
      <c r="A6" s="29"/>
      <c r="B6" s="1"/>
      <c r="C6" s="1"/>
      <c r="D6" s="31"/>
      <c r="E6" s="31"/>
      <c r="F6" s="29"/>
      <c r="G6" s="3"/>
      <c r="H6" s="125" t="s">
        <v>14</v>
      </c>
      <c r="I6" s="125"/>
      <c r="J6" s="125"/>
      <c r="K6" s="125"/>
      <c r="L6" s="125"/>
      <c r="M6" s="125"/>
      <c r="N6" s="125"/>
      <c r="O6" s="125"/>
      <c r="P6" s="125"/>
      <c r="Q6" s="108"/>
      <c r="R6" s="3"/>
      <c r="S6" s="3"/>
      <c r="T6" s="29"/>
      <c r="U6" s="124"/>
      <c r="V6" s="115"/>
      <c r="W6" s="115"/>
      <c r="X6" s="115"/>
      <c r="Y6" s="115"/>
      <c r="Z6" s="122"/>
      <c r="AA6" s="32"/>
      <c r="AB6" s="124"/>
      <c r="AC6" s="115"/>
      <c r="AD6" s="115"/>
      <c r="AE6" s="115"/>
      <c r="AF6" s="115"/>
      <c r="AG6" s="122"/>
    </row>
    <row r="7" spans="1:33" ht="23.25">
      <c r="A7" s="29"/>
      <c r="B7" s="33" t="s">
        <v>15</v>
      </c>
      <c r="C7" s="113" t="s">
        <v>34</v>
      </c>
      <c r="D7" s="34"/>
      <c r="E7" s="34"/>
      <c r="F7" s="29"/>
      <c r="G7" s="3"/>
      <c r="H7" s="109"/>
      <c r="I7" s="110"/>
      <c r="J7" s="110"/>
      <c r="K7" s="110"/>
      <c r="L7" s="110"/>
      <c r="M7" s="110"/>
      <c r="N7" s="110"/>
      <c r="O7" s="110"/>
      <c r="P7" s="110"/>
      <c r="Q7" s="111"/>
      <c r="R7" s="3"/>
      <c r="S7" s="3"/>
      <c r="T7" s="29"/>
      <c r="U7" s="35"/>
      <c r="V7" s="35"/>
      <c r="W7" s="35"/>
      <c r="X7" s="35"/>
      <c r="Y7" s="35"/>
      <c r="Z7" s="35"/>
      <c r="AA7" s="32"/>
      <c r="AB7" s="35"/>
      <c r="AC7" s="35"/>
      <c r="AD7" s="35"/>
      <c r="AE7" s="35"/>
      <c r="AF7" s="35"/>
      <c r="AG7" s="35"/>
    </row>
    <row r="8" spans="1:33">
      <c r="A8" s="29"/>
      <c r="B8" s="34"/>
      <c r="C8" s="34"/>
      <c r="D8" s="34"/>
      <c r="E8" s="34"/>
      <c r="F8" s="29"/>
      <c r="G8" s="3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9"/>
      <c r="U8" s="29"/>
      <c r="V8" s="29"/>
      <c r="W8" s="29"/>
      <c r="X8" s="29"/>
      <c r="Y8" s="37"/>
      <c r="Z8" s="37"/>
      <c r="AA8" s="29"/>
      <c r="AB8" s="29"/>
      <c r="AC8" s="29"/>
      <c r="AD8" s="29"/>
      <c r="AE8" s="29"/>
      <c r="AF8" s="29"/>
      <c r="AG8" s="29"/>
    </row>
    <row r="9" spans="1:33" ht="15.75">
      <c r="A9" s="29"/>
      <c r="B9" s="38" t="s">
        <v>6</v>
      </c>
      <c r="C9" s="39" t="s">
        <v>17</v>
      </c>
      <c r="D9" s="39" t="s">
        <v>18</v>
      </c>
      <c r="E9" s="40" t="s">
        <v>19</v>
      </c>
      <c r="F9" s="2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9"/>
      <c r="U9" s="29"/>
      <c r="V9" s="29"/>
      <c r="W9" s="41"/>
      <c r="X9" s="42"/>
      <c r="Y9" s="37"/>
      <c r="Z9" s="37"/>
      <c r="AA9" s="29"/>
      <c r="AB9" s="29"/>
      <c r="AC9" s="29"/>
      <c r="AD9" s="29"/>
      <c r="AE9" s="29"/>
      <c r="AF9" s="29"/>
      <c r="AG9" s="29"/>
    </row>
    <row r="10" spans="1:33" ht="15.75">
      <c r="A10" s="29"/>
      <c r="B10" s="43" t="s">
        <v>8</v>
      </c>
      <c r="C10" s="44">
        <f>Orçamento!$E15*Orçamento!$E$11</f>
        <v>1500</v>
      </c>
      <c r="D10" s="44">
        <f>HLOOKUP($C$7,Anual!$D$4:$O$52,28,FALSE)</f>
        <v>452.03</v>
      </c>
      <c r="E10" s="45">
        <f t="shared" ref="E10:E16" si="0">C10-D10</f>
        <v>1047.97</v>
      </c>
      <c r="F10" s="2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9"/>
      <c r="U10" s="29"/>
      <c r="V10" s="29"/>
      <c r="W10" s="41"/>
      <c r="X10" s="42"/>
      <c r="Y10" s="37"/>
      <c r="Z10" s="37"/>
      <c r="AA10" s="29"/>
      <c r="AB10" s="29"/>
      <c r="AC10" s="29"/>
      <c r="AD10" s="29"/>
      <c r="AE10" s="29"/>
      <c r="AF10" s="29"/>
      <c r="AG10" s="29"/>
    </row>
    <row r="11" spans="1:33" ht="15.75">
      <c r="A11" s="29"/>
      <c r="B11" s="43" t="s">
        <v>9</v>
      </c>
      <c r="C11" s="44">
        <f>Orçamento!$E16*Orçamento!$E$11</f>
        <v>600</v>
      </c>
      <c r="D11" s="44">
        <f>HLOOKUP($C$7,Anual!$D$4:$O$52,41,FALSE)</f>
        <v>0</v>
      </c>
      <c r="E11" s="45">
        <f t="shared" si="0"/>
        <v>600</v>
      </c>
      <c r="F11" s="2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9"/>
      <c r="U11" s="29"/>
      <c r="V11" s="29"/>
      <c r="W11" s="41"/>
      <c r="X11" s="42"/>
      <c r="Y11" s="37"/>
      <c r="Z11" s="37"/>
      <c r="AA11" s="29"/>
      <c r="AB11" s="29"/>
      <c r="AC11" s="29"/>
      <c r="AD11" s="29"/>
      <c r="AE11" s="29"/>
      <c r="AF11" s="29"/>
      <c r="AG11" s="29"/>
    </row>
    <row r="12" spans="1:33" ht="18">
      <c r="A12" s="29"/>
      <c r="B12" s="43" t="s">
        <v>10</v>
      </c>
      <c r="C12" s="44">
        <f>Orçamento!$E17*Orçamento!$E$11</f>
        <v>300</v>
      </c>
      <c r="D12" s="44">
        <f>HLOOKUP($C$7,Anual!$D$4:$O$52,46,FALSE)</f>
        <v>200</v>
      </c>
      <c r="E12" s="45">
        <f t="shared" si="0"/>
        <v>100</v>
      </c>
      <c r="F12" s="2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9"/>
      <c r="U12" s="29"/>
      <c r="V12" s="29"/>
      <c r="W12" s="46"/>
      <c r="X12" s="47"/>
      <c r="Y12" s="37"/>
      <c r="Z12" s="37"/>
      <c r="AA12" s="29"/>
      <c r="AB12" s="29"/>
      <c r="AC12" s="29"/>
      <c r="AD12" s="29"/>
      <c r="AE12" s="29"/>
      <c r="AF12" s="29"/>
      <c r="AG12" s="29"/>
    </row>
    <row r="13" spans="1:33" ht="18">
      <c r="A13" s="29"/>
      <c r="B13" s="43" t="s">
        <v>11</v>
      </c>
      <c r="C13" s="44">
        <f>Orçamento!$E18*Orçamento!$E$11</f>
        <v>300</v>
      </c>
      <c r="D13" s="44">
        <f>HLOOKUP($C$7,Anual!$D$4:$O$52,47,FALSE)</f>
        <v>0</v>
      </c>
      <c r="E13" s="45">
        <f t="shared" si="0"/>
        <v>300</v>
      </c>
      <c r="F13" s="2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9"/>
      <c r="U13" s="29"/>
      <c r="V13" s="29"/>
      <c r="W13" s="46"/>
      <c r="X13" s="47"/>
      <c r="Y13" s="37"/>
      <c r="Z13" s="37"/>
      <c r="AA13" s="29"/>
      <c r="AB13" s="29"/>
      <c r="AC13" s="29"/>
      <c r="AD13" s="29"/>
      <c r="AE13" s="29"/>
      <c r="AF13" s="29"/>
      <c r="AG13" s="29"/>
    </row>
    <row r="14" spans="1:33" ht="18">
      <c r="A14" s="29"/>
      <c r="B14" s="43" t="s">
        <v>12</v>
      </c>
      <c r="C14" s="44">
        <f>Orçamento!$E19*Orçamento!$E$11</f>
        <v>300</v>
      </c>
      <c r="D14" s="44">
        <f>HLOOKUP($C$7,Anual!$D$4:$O$52,48,FALSE)</f>
        <v>0</v>
      </c>
      <c r="E14" s="45">
        <f t="shared" si="0"/>
        <v>300</v>
      </c>
      <c r="F14" s="2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9"/>
      <c r="U14" s="29"/>
      <c r="V14" s="29"/>
      <c r="W14" s="41"/>
      <c r="X14" s="48"/>
      <c r="Y14" s="37"/>
      <c r="Z14" s="37"/>
      <c r="AA14" s="29"/>
      <c r="AB14" s="29"/>
      <c r="AC14" s="29"/>
      <c r="AD14" s="29"/>
      <c r="AE14" s="29"/>
      <c r="AF14" s="29"/>
      <c r="AG14" s="29"/>
    </row>
    <row r="15" spans="1:33" ht="15.75">
      <c r="A15" s="29"/>
      <c r="B15" s="43" t="s">
        <v>13</v>
      </c>
      <c r="C15" s="44">
        <f>Orçamento!$E20*Orçamento!$E$11</f>
        <v>0</v>
      </c>
      <c r="D15" s="44">
        <f>HLOOKUP($C$7,Anual!$D$4:$O$52,49,FALSE)</f>
        <v>0</v>
      </c>
      <c r="E15" s="45">
        <f t="shared" si="0"/>
        <v>0</v>
      </c>
      <c r="F15" s="2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9"/>
      <c r="U15" s="29"/>
      <c r="V15" s="29"/>
      <c r="W15" s="49"/>
      <c r="X15" s="50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ht="15.75">
      <c r="A16" s="29"/>
      <c r="B16" s="51" t="s">
        <v>20</v>
      </c>
      <c r="C16" s="52">
        <f t="shared" ref="C16:D16" si="1">SUM(C10:C15)</f>
        <v>3000</v>
      </c>
      <c r="D16" s="52">
        <f t="shared" si="1"/>
        <v>652.03</v>
      </c>
      <c r="E16" s="53">
        <f t="shared" si="0"/>
        <v>2347.9700000000003</v>
      </c>
      <c r="F16" s="2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9"/>
      <c r="U16" s="29"/>
      <c r="V16" s="29"/>
      <c r="W16" s="49"/>
      <c r="X16" s="50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5.75">
      <c r="A17" s="29"/>
      <c r="B17" s="54" t="s">
        <v>21</v>
      </c>
      <c r="C17" s="16"/>
      <c r="D17" s="16"/>
      <c r="E17" s="16"/>
      <c r="F17" s="2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9"/>
      <c r="U17" s="29"/>
      <c r="V17" s="29"/>
      <c r="W17" s="49"/>
      <c r="X17" s="50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>
      <c r="A18" s="29"/>
      <c r="B18" s="55"/>
      <c r="C18" s="55"/>
      <c r="D18" s="55"/>
      <c r="E18" s="55"/>
      <c r="F18" s="2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9"/>
      <c r="U18" s="29"/>
      <c r="V18" s="29"/>
      <c r="W18" s="49"/>
      <c r="X18" s="50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15.75">
      <c r="A19" s="29"/>
      <c r="B19" s="8"/>
      <c r="C19" s="8"/>
      <c r="D19" s="8"/>
      <c r="E19" s="8"/>
      <c r="F19" s="2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9"/>
      <c r="U19" s="29"/>
      <c r="V19" s="29"/>
      <c r="W19" s="49"/>
      <c r="X19" s="50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>
      <c r="A20" s="29"/>
      <c r="B20" s="8"/>
      <c r="C20" s="8"/>
      <c r="D20" s="8"/>
      <c r="E20" s="8"/>
      <c r="F20" s="2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9"/>
      <c r="U20" s="29"/>
      <c r="V20" s="29"/>
      <c r="W20" s="49"/>
      <c r="X20" s="50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>
      <c r="A21" s="29"/>
      <c r="B21" s="29"/>
      <c r="C21" s="29"/>
      <c r="D21" s="29"/>
      <c r="E21" s="29"/>
      <c r="F21" s="29"/>
      <c r="G21" s="2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9"/>
      <c r="U21" s="29"/>
      <c r="V21" s="29"/>
      <c r="W21" s="47"/>
      <c r="X21" s="56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>
      <c r="A22" s="29"/>
      <c r="B22" s="29"/>
      <c r="C22" s="29"/>
      <c r="D22" s="29"/>
      <c r="E22" s="29"/>
      <c r="F22" s="29"/>
      <c r="G22" s="2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ht="15.75" customHeight="1">
      <c r="A23" s="29"/>
      <c r="B23" s="3"/>
      <c r="C23" s="3"/>
      <c r="D23" s="3"/>
      <c r="E23" s="3"/>
      <c r="F23" s="3"/>
      <c r="G23" s="2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>
      <c r="A24" s="29"/>
      <c r="B24" s="3"/>
      <c r="C24" s="3"/>
      <c r="D24" s="3"/>
      <c r="E24" s="3"/>
      <c r="F24" s="3"/>
      <c r="G24" s="2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>
      <c r="A25" s="29"/>
      <c r="B25" s="3"/>
      <c r="C25" s="3"/>
      <c r="D25" s="3"/>
      <c r="E25" s="3"/>
      <c r="F25" s="3"/>
      <c r="G25" s="2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5">
    <mergeCell ref="D2:J2"/>
    <mergeCell ref="M2:O2"/>
    <mergeCell ref="U6:Z6"/>
    <mergeCell ref="AB6:AG6"/>
    <mergeCell ref="H6:P6"/>
  </mergeCells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Anual!$D$4:$O$4</xm:f>
          </x14:formula1>
          <xm:sqref>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EF2CB"/>
  </sheetPr>
  <dimension ref="A1:Z1001"/>
  <sheetViews>
    <sheetView showGridLines="0" zoomScale="130" zoomScaleNormal="130" workbookViewId="0">
      <selection activeCell="C23" sqref="C23"/>
    </sheetView>
  </sheetViews>
  <sheetFormatPr defaultColWidth="14.42578125" defaultRowHeight="15" customHeight="1"/>
  <cols>
    <col min="1" max="1" width="2" customWidth="1"/>
    <col min="2" max="2" width="8.85546875" customWidth="1"/>
    <col min="3" max="3" width="30.7109375" customWidth="1"/>
    <col min="4" max="4" width="12.140625" customWidth="1"/>
    <col min="5" max="5" width="12.28515625" customWidth="1"/>
    <col min="6" max="11" width="12.140625" customWidth="1"/>
    <col min="12" max="12" width="12.42578125" customWidth="1"/>
    <col min="13" max="13" width="11.28515625" customWidth="1"/>
    <col min="14" max="14" width="13.42578125" customWidth="1"/>
    <col min="15" max="15" width="13" customWidth="1"/>
    <col min="16" max="26" width="8.85546875" customWidth="1"/>
  </cols>
  <sheetData>
    <row r="1" spans="1:26" ht="37.5" customHeight="1">
      <c r="B1" s="130" t="s">
        <v>22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</row>
    <row r="2" spans="1:26" ht="37.5" customHeight="1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1:26" ht="16.5" customHeight="1">
      <c r="B3" s="136" t="s">
        <v>23</v>
      </c>
      <c r="C3" s="128"/>
      <c r="D3" s="107">
        <v>1</v>
      </c>
      <c r="E3" s="107">
        <v>2</v>
      </c>
      <c r="F3" s="107">
        <v>3</v>
      </c>
      <c r="G3" s="107">
        <v>4</v>
      </c>
      <c r="H3" s="107">
        <v>5</v>
      </c>
      <c r="I3" s="107">
        <v>6</v>
      </c>
      <c r="J3" s="107">
        <v>7</v>
      </c>
      <c r="K3" s="107">
        <v>8</v>
      </c>
      <c r="L3" s="107">
        <v>9</v>
      </c>
      <c r="M3" s="107">
        <v>10</v>
      </c>
      <c r="N3" s="107">
        <v>11</v>
      </c>
      <c r="O3" s="107">
        <v>12</v>
      </c>
    </row>
    <row r="4" spans="1:26" ht="16.5" customHeight="1">
      <c r="B4" s="137"/>
      <c r="C4" s="137"/>
      <c r="D4" s="57" t="s">
        <v>16</v>
      </c>
      <c r="E4" s="57" t="s">
        <v>24</v>
      </c>
      <c r="F4" s="57" t="s">
        <v>25</v>
      </c>
      <c r="G4" s="57" t="s">
        <v>26</v>
      </c>
      <c r="H4" s="57" t="s">
        <v>27</v>
      </c>
      <c r="I4" s="57" t="s">
        <v>28</v>
      </c>
      <c r="J4" s="57" t="s">
        <v>29</v>
      </c>
      <c r="K4" s="57" t="s">
        <v>30</v>
      </c>
      <c r="L4" s="57" t="s">
        <v>31</v>
      </c>
      <c r="M4" s="57" t="s">
        <v>32</v>
      </c>
      <c r="N4" s="57" t="s">
        <v>33</v>
      </c>
      <c r="O4" s="57" t="s">
        <v>34</v>
      </c>
    </row>
    <row r="5" spans="1:26" ht="16.5" customHeight="1">
      <c r="B5" s="112" t="s">
        <v>90</v>
      </c>
      <c r="C5" s="59"/>
      <c r="D5" s="60">
        <f>SUMIFS('Fluxo de Caixa'!$F:$F,'Fluxo de Caixa'!$D:$D,$D$3,'Fluxo de Caixa'!$C:$C,Anual!$B$5)</f>
        <v>0</v>
      </c>
      <c r="E5" s="60">
        <f>SUMIFS('Fluxo de Caixa'!$F:$F,'Fluxo de Caixa'!$D:$D,E$3,'Fluxo de Caixa'!$C:$C,Anual!$B$5)</f>
        <v>0</v>
      </c>
      <c r="F5" s="60">
        <f>SUMIFS('Fluxo de Caixa'!$F:$F,'Fluxo de Caixa'!$D:$D,F$3,'Fluxo de Caixa'!$C:$C,Anual!$B$5)</f>
        <v>0</v>
      </c>
      <c r="G5" s="60">
        <f>SUMIFS('Fluxo de Caixa'!$F:$F,'Fluxo de Caixa'!$D:$D,G$3,'Fluxo de Caixa'!$C:$C,Anual!$B$5)</f>
        <v>0</v>
      </c>
      <c r="H5" s="60">
        <f>SUMIFS('Fluxo de Caixa'!$F:$F,'Fluxo de Caixa'!$D:$D,H$3,'Fluxo de Caixa'!$C:$C,Anual!$B$5)</f>
        <v>0</v>
      </c>
      <c r="I5" s="60">
        <f>SUMIFS('Fluxo de Caixa'!$F:$F,'Fluxo de Caixa'!$D:$D,I$3,'Fluxo de Caixa'!$C:$C,Anual!$B$5)</f>
        <v>0</v>
      </c>
      <c r="J5" s="60">
        <f>SUMIFS('Fluxo de Caixa'!$F:$F,'Fluxo de Caixa'!$D:$D,J$3,'Fluxo de Caixa'!$C:$C,Anual!$B$5)</f>
        <v>0</v>
      </c>
      <c r="K5" s="60">
        <f>SUMIFS('Fluxo de Caixa'!$F:$F,'Fluxo de Caixa'!$D:$D,K$3,'Fluxo de Caixa'!$C:$C,Anual!$B$5)</f>
        <v>0</v>
      </c>
      <c r="L5" s="60">
        <f>SUMIFS('Fluxo de Caixa'!$F:$F,'Fluxo de Caixa'!$D:$D,L$3,'Fluxo de Caixa'!$C:$C,Anual!$B$5)</f>
        <v>0</v>
      </c>
      <c r="M5" s="60">
        <f>SUMIFS('Fluxo de Caixa'!$F:$F,'Fluxo de Caixa'!$D:$D,M$3,'Fluxo de Caixa'!$C:$C,Anual!$B$5)</f>
        <v>0</v>
      </c>
      <c r="N5" s="60">
        <f>SUMIFS('Fluxo de Caixa'!$F:$F,'Fluxo de Caixa'!$D:$D,$N$3,'Fluxo de Caixa'!$C:$C,Anual!$B$5)</f>
        <v>0</v>
      </c>
      <c r="O5" s="60">
        <f>SUMIFS('Fluxo de Caixa'!$F:$F,'Fluxo de Caixa'!$D:$D,$O$3,'Fluxo de Caixa'!$C:$C,Anual!$B$5)</f>
        <v>0</v>
      </c>
    </row>
    <row r="6" spans="1:26" ht="16.5" customHeight="1">
      <c r="B6" s="58" t="s">
        <v>88</v>
      </c>
      <c r="C6" s="59"/>
      <c r="D6" s="60">
        <f>SUMIFS('Fluxo de Caixa'!$F:$F,'Fluxo de Caixa'!$D:$D,D$3,'Fluxo de Caixa'!$C:$C,Anual!$B$6)</f>
        <v>0</v>
      </c>
      <c r="E6" s="60">
        <f>SUMIFS('Fluxo de Caixa'!$F:$F,'Fluxo de Caixa'!$D:$D,E$3,'Fluxo de Caixa'!$C:$C,Anual!$B$6)</f>
        <v>0</v>
      </c>
      <c r="F6" s="60">
        <f>SUMIFS('Fluxo de Caixa'!$F:$F,'Fluxo de Caixa'!$D:$D,F$3,'Fluxo de Caixa'!$C:$C,Anual!$B$6)</f>
        <v>0</v>
      </c>
      <c r="G6" s="60">
        <f>SUMIFS('Fluxo de Caixa'!$F:$F,'Fluxo de Caixa'!$D:$D,G$3,'Fluxo de Caixa'!$C:$C,Anual!$B$6)</f>
        <v>0</v>
      </c>
      <c r="H6" s="60">
        <f>SUMIFS('Fluxo de Caixa'!$F:$F,'Fluxo de Caixa'!$D:$D,H$3,'Fluxo de Caixa'!$C:$C,Anual!$B$6)</f>
        <v>0</v>
      </c>
      <c r="I6" s="60">
        <f>SUMIFS('Fluxo de Caixa'!$F:$F,'Fluxo de Caixa'!$D:$D,I$3,'Fluxo de Caixa'!$C:$C,Anual!$B$6)</f>
        <v>0</v>
      </c>
      <c r="J6" s="60">
        <f>SUMIFS('Fluxo de Caixa'!$F:$F,'Fluxo de Caixa'!$D:$D,J$3,'Fluxo de Caixa'!$C:$C,Anual!$B$6)</f>
        <v>0</v>
      </c>
      <c r="K6" s="60">
        <f>SUMIFS('Fluxo de Caixa'!$F:$F,'Fluxo de Caixa'!$D:$D,K$3,'Fluxo de Caixa'!$C:$C,Anual!$B$6)</f>
        <v>0</v>
      </c>
      <c r="L6" s="60">
        <f>SUMIFS('Fluxo de Caixa'!$F:$F,'Fluxo de Caixa'!$D:$D,L$3,'Fluxo de Caixa'!$C:$C,Anual!$B$6)</f>
        <v>0</v>
      </c>
      <c r="M6" s="60">
        <f>SUMIFS('Fluxo de Caixa'!$F:$F,'Fluxo de Caixa'!$D:$D,M$3,'Fluxo de Caixa'!$C:$C,Anual!$B$6)</f>
        <v>0</v>
      </c>
      <c r="N6" s="60">
        <f>SUMIFS('Fluxo de Caixa'!$F:$F,'Fluxo de Caixa'!$D:$D,N$3,'Fluxo de Caixa'!$C:$C,Anual!$B$6)</f>
        <v>0</v>
      </c>
      <c r="O6" s="60">
        <f>SUMIFS('Fluxo de Caixa'!$F:$F,'Fluxo de Caixa'!$D:$D,O$3,'Fluxo de Caixa'!$C:$C,Anual!$B$6)</f>
        <v>1000</v>
      </c>
    </row>
    <row r="7" spans="1:26" ht="16.5" customHeight="1">
      <c r="B7" s="61" t="s">
        <v>36</v>
      </c>
      <c r="C7" s="62"/>
      <c r="D7" s="60">
        <f>SUMIFS('Fluxo de Caixa'!$F:$F,'Fluxo de Caixa'!$D:$D,D$3,'Fluxo de Caixa'!$C:$C,Anual!$B$7)</f>
        <v>0</v>
      </c>
      <c r="E7" s="60">
        <f>SUMIFS('Fluxo de Caixa'!$F:$F,'Fluxo de Caixa'!$D:$D,E$3,'Fluxo de Caixa'!$C:$C,Anual!$B$7)</f>
        <v>0</v>
      </c>
      <c r="F7" s="60">
        <f>SUMIFS('Fluxo de Caixa'!$F:$F,'Fluxo de Caixa'!$D:$D,F$3,'Fluxo de Caixa'!$C:$C,Anual!$B$7)</f>
        <v>0</v>
      </c>
      <c r="G7" s="60">
        <f>SUMIFS('Fluxo de Caixa'!$F:$F,'Fluxo de Caixa'!$D:$D,G$3,'Fluxo de Caixa'!$C:$C,Anual!$B$7)</f>
        <v>0</v>
      </c>
      <c r="H7" s="60">
        <f>SUMIFS('Fluxo de Caixa'!$F:$F,'Fluxo de Caixa'!$D:$D,H$3,'Fluxo de Caixa'!$C:$C,Anual!$B$7)</f>
        <v>0</v>
      </c>
      <c r="I7" s="60">
        <f>SUMIFS('Fluxo de Caixa'!$F:$F,'Fluxo de Caixa'!$D:$D,I$3,'Fluxo de Caixa'!$C:$C,Anual!$B$7)</f>
        <v>0</v>
      </c>
      <c r="J7" s="60">
        <f>SUMIFS('Fluxo de Caixa'!$F:$F,'Fluxo de Caixa'!$D:$D,J$3,'Fluxo de Caixa'!$C:$C,Anual!$B$7)</f>
        <v>0</v>
      </c>
      <c r="K7" s="60">
        <f>SUMIFS('Fluxo de Caixa'!$F:$F,'Fluxo de Caixa'!$D:$D,K$3,'Fluxo de Caixa'!$C:$C,Anual!$B$7)</f>
        <v>0</v>
      </c>
      <c r="L7" s="60">
        <f>SUMIFS('Fluxo de Caixa'!$F:$F,'Fluxo de Caixa'!$D:$D,L$3,'Fluxo de Caixa'!$C:$C,Anual!$B$7)</f>
        <v>0</v>
      </c>
      <c r="M7" s="60">
        <f>SUMIFS('Fluxo de Caixa'!$F:$F,'Fluxo de Caixa'!$D:$D,M$3,'Fluxo de Caixa'!$C:$C,Anual!$B$7)</f>
        <v>0</v>
      </c>
      <c r="N7" s="60">
        <f>SUMIFS('Fluxo de Caixa'!$F:$F,'Fluxo de Caixa'!$D:$D,N$3,'Fluxo de Caixa'!$C:$C,Anual!$B$7)</f>
        <v>0</v>
      </c>
      <c r="O7" s="60">
        <f>SUMIFS('Fluxo de Caixa'!$F:$F,'Fluxo de Caixa'!$D:$D,O$3,'Fluxo de Caixa'!$C:$C,Anual!$B$7)</f>
        <v>2000</v>
      </c>
    </row>
    <row r="8" spans="1:26" ht="16.5" customHeight="1">
      <c r="B8" s="63" t="s">
        <v>37</v>
      </c>
      <c r="C8" s="64"/>
      <c r="D8" s="65">
        <f t="shared" ref="D8:O8" si="0">SUM(D5:D7)</f>
        <v>0</v>
      </c>
      <c r="E8" s="65">
        <f t="shared" si="0"/>
        <v>0</v>
      </c>
      <c r="F8" s="65">
        <f t="shared" si="0"/>
        <v>0</v>
      </c>
      <c r="G8" s="65">
        <f t="shared" si="0"/>
        <v>0</v>
      </c>
      <c r="H8" s="65">
        <f t="shared" si="0"/>
        <v>0</v>
      </c>
      <c r="I8" s="65">
        <f t="shared" si="0"/>
        <v>0</v>
      </c>
      <c r="J8" s="65">
        <f t="shared" si="0"/>
        <v>0</v>
      </c>
      <c r="K8" s="65">
        <f t="shared" si="0"/>
        <v>0</v>
      </c>
      <c r="L8" s="65">
        <f t="shared" si="0"/>
        <v>0</v>
      </c>
      <c r="M8" s="65">
        <f t="shared" si="0"/>
        <v>0</v>
      </c>
      <c r="N8" s="65">
        <f t="shared" si="0"/>
        <v>0</v>
      </c>
      <c r="O8" s="65">
        <f t="shared" si="0"/>
        <v>3000</v>
      </c>
    </row>
    <row r="9" spans="1:26" ht="16.5" customHeight="1">
      <c r="B9" s="66" t="s">
        <v>91</v>
      </c>
      <c r="C9" s="67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26" ht="16.5" customHeight="1">
      <c r="B10" s="136" t="s">
        <v>39</v>
      </c>
      <c r="C10" s="12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26" ht="16.5" customHeight="1">
      <c r="B11" s="137"/>
      <c r="C11" s="137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</row>
    <row r="12" spans="1:26" ht="16.5" customHeight="1">
      <c r="B12" s="58" t="s">
        <v>40</v>
      </c>
      <c r="C12" s="59"/>
      <c r="D12" s="60">
        <f>SUMIFS('Fluxo de Caixa'!$L:$L,'Fluxo de Caixa'!$J:$J,D$3,'Fluxo de Caixa'!$I:$I,Anual!$B$12)</f>
        <v>0</v>
      </c>
      <c r="E12" s="60">
        <f>SUMIFS('Fluxo de Caixa'!$L:$L,'Fluxo de Caixa'!$J:$J,E$3,'Fluxo de Caixa'!$I:$I,Anual!$B$12)</f>
        <v>0</v>
      </c>
      <c r="F12" s="60">
        <f>SUMIFS('Fluxo de Caixa'!$L:$L,'Fluxo de Caixa'!$J:$J,F$3,'Fluxo de Caixa'!$I:$I,Anual!$B$12)</f>
        <v>0</v>
      </c>
      <c r="G12" s="60">
        <f>SUMIFS('Fluxo de Caixa'!$L:$L,'Fluxo de Caixa'!$J:$J,G$3,'Fluxo de Caixa'!$I:$I,Anual!$B$12)</f>
        <v>0</v>
      </c>
      <c r="H12" s="60">
        <f>SUMIFS('Fluxo de Caixa'!$L:$L,'Fluxo de Caixa'!$J:$J,H$3,'Fluxo de Caixa'!$I:$I,Anual!$B$12)</f>
        <v>0</v>
      </c>
      <c r="I12" s="60">
        <f>SUMIFS('Fluxo de Caixa'!$L:$L,'Fluxo de Caixa'!$J:$J,I$3,'Fluxo de Caixa'!$I:$I,Anual!$B$12)</f>
        <v>0</v>
      </c>
      <c r="J12" s="60">
        <f>SUMIFS('Fluxo de Caixa'!$L:$L,'Fluxo de Caixa'!$J:$J,J$3,'Fluxo de Caixa'!$I:$I,Anual!$B$12)</f>
        <v>0</v>
      </c>
      <c r="K12" s="60">
        <f>SUMIFS('Fluxo de Caixa'!$L:$L,'Fluxo de Caixa'!$J:$J,K$3,'Fluxo de Caixa'!$I:$I,Anual!$B$12)</f>
        <v>0</v>
      </c>
      <c r="L12" s="60">
        <f>SUMIFS('Fluxo de Caixa'!$L:$L,'Fluxo de Caixa'!$J:$J,L$3,'Fluxo de Caixa'!$I:$I,Anual!$B$12)</f>
        <v>0</v>
      </c>
      <c r="M12" s="60">
        <f>SUMIFS('Fluxo de Caixa'!$L:$L,'Fluxo de Caixa'!$J:$J,M$3,'Fluxo de Caixa'!$I:$I,Anual!$B$12)</f>
        <v>0</v>
      </c>
      <c r="N12" s="60">
        <f>SUMIFS('Fluxo de Caixa'!$L:$L,'Fluxo de Caixa'!$J:$J,N$3,'Fluxo de Caixa'!$I:$I,Anual!$B$12)</f>
        <v>0</v>
      </c>
      <c r="O12" s="60">
        <f>SUMIFS('Fluxo de Caixa'!$L:$L,'Fluxo de Caixa'!$J:$J,O$3,'Fluxo de Caixa'!$I:$I,Anual!$B$12)</f>
        <v>452.03</v>
      </c>
    </row>
    <row r="13" spans="1:26" ht="16.5" customHeight="1">
      <c r="B13" s="61" t="s">
        <v>41</v>
      </c>
      <c r="C13" s="62"/>
      <c r="D13" s="60">
        <f>SUMIFS('Fluxo de Caixa'!$L:$L,'Fluxo de Caixa'!$J:$J,D$3,'Fluxo de Caixa'!$I:$I,Anual!$B$13)</f>
        <v>0</v>
      </c>
      <c r="E13" s="60">
        <f>SUMIFS('Fluxo de Caixa'!$L:$L,'Fluxo de Caixa'!$J:$J,E$3,'Fluxo de Caixa'!$I:$I,Anual!$B$13)</f>
        <v>0</v>
      </c>
      <c r="F13" s="60">
        <f>SUMIFS('Fluxo de Caixa'!$L:$L,'Fluxo de Caixa'!$J:$J,F$3,'Fluxo de Caixa'!$I:$I,Anual!$B$13)</f>
        <v>0</v>
      </c>
      <c r="G13" s="60">
        <f>SUMIFS('Fluxo de Caixa'!$L:$L,'Fluxo de Caixa'!$J:$J,G$3,'Fluxo de Caixa'!$I:$I,Anual!$B$13)</f>
        <v>0</v>
      </c>
      <c r="H13" s="60">
        <f>SUMIFS('Fluxo de Caixa'!$L:$L,'Fluxo de Caixa'!$J:$J,H$3,'Fluxo de Caixa'!$I:$I,Anual!$B$13)</f>
        <v>0</v>
      </c>
      <c r="I13" s="60">
        <f>SUMIFS('Fluxo de Caixa'!$L:$L,'Fluxo de Caixa'!$J:$J,I$3,'Fluxo de Caixa'!$I:$I,Anual!$B$13)</f>
        <v>0</v>
      </c>
      <c r="J13" s="60">
        <f>SUMIFS('Fluxo de Caixa'!$L:$L,'Fluxo de Caixa'!$J:$J,J$3,'Fluxo de Caixa'!$I:$I,Anual!$B$13)</f>
        <v>0</v>
      </c>
      <c r="K13" s="60">
        <f>SUMIFS('Fluxo de Caixa'!$L:$L,'Fluxo de Caixa'!$J:$J,K$3,'Fluxo de Caixa'!$I:$I,Anual!$B$13)</f>
        <v>0</v>
      </c>
      <c r="L13" s="60">
        <f>SUMIFS('Fluxo de Caixa'!$L:$L,'Fluxo de Caixa'!$J:$J,L$3,'Fluxo de Caixa'!$I:$I,Anual!$B$13)</f>
        <v>0</v>
      </c>
      <c r="M13" s="60">
        <f>SUMIFS('Fluxo de Caixa'!$L:$L,'Fluxo de Caixa'!$J:$J,M$3,'Fluxo de Caixa'!$I:$I,Anual!$B$13)</f>
        <v>0</v>
      </c>
      <c r="N13" s="60">
        <f>SUMIFS('Fluxo de Caixa'!$L:$L,'Fluxo de Caixa'!$J:$J,N$3,'Fluxo de Caixa'!$I:$I,Anual!$B$13)</f>
        <v>0</v>
      </c>
      <c r="O13" s="60">
        <f>SUMIFS('Fluxo de Caixa'!$L:$L,'Fluxo de Caixa'!$J:$J,O$3,'Fluxo de Caixa'!$I:$I,Anual!$B$13)</f>
        <v>0</v>
      </c>
    </row>
    <row r="14" spans="1:26" ht="16.5" customHeight="1">
      <c r="A14" s="3"/>
      <c r="B14" s="61" t="s">
        <v>42</v>
      </c>
      <c r="C14" s="62"/>
      <c r="D14" s="60">
        <f>SUMIFS('Fluxo de Caixa'!$L:$L,'Fluxo de Caixa'!$J:$J,D$3,'Fluxo de Caixa'!$I:$I,Anual!$B$14)</f>
        <v>0</v>
      </c>
      <c r="E14" s="60">
        <f>SUMIFS('Fluxo de Caixa'!$L:$L,'Fluxo de Caixa'!$J:$J,E$3,'Fluxo de Caixa'!$I:$I,Anual!$B$14)</f>
        <v>0</v>
      </c>
      <c r="F14" s="60">
        <f>SUMIFS('Fluxo de Caixa'!$L:$L,'Fluxo de Caixa'!$J:$J,F$3,'Fluxo de Caixa'!$I:$I,Anual!$B$14)</f>
        <v>0</v>
      </c>
      <c r="G14" s="60">
        <f>SUMIFS('Fluxo de Caixa'!$L:$L,'Fluxo de Caixa'!$J:$J,G$3,'Fluxo de Caixa'!$I:$I,Anual!$B$14)</f>
        <v>0</v>
      </c>
      <c r="H14" s="60">
        <f>SUMIFS('Fluxo de Caixa'!$L:$L,'Fluxo de Caixa'!$J:$J,H$3,'Fluxo de Caixa'!$I:$I,Anual!$B$14)</f>
        <v>0</v>
      </c>
      <c r="I14" s="60">
        <f>SUMIFS('Fluxo de Caixa'!$L:$L,'Fluxo de Caixa'!$J:$J,I$3,'Fluxo de Caixa'!$I:$I,Anual!$B$14)</f>
        <v>0</v>
      </c>
      <c r="J14" s="60">
        <f>SUMIFS('Fluxo de Caixa'!$L:$L,'Fluxo de Caixa'!$J:$J,J$3,'Fluxo de Caixa'!$I:$I,Anual!$B$14)</f>
        <v>0</v>
      </c>
      <c r="K14" s="60">
        <f>SUMIFS('Fluxo de Caixa'!$L:$L,'Fluxo de Caixa'!$J:$J,K$3,'Fluxo de Caixa'!$I:$I,Anual!$B$14)</f>
        <v>0</v>
      </c>
      <c r="L14" s="60">
        <f>SUMIFS('Fluxo de Caixa'!$L:$L,'Fluxo de Caixa'!$J:$J,L$3,'Fluxo de Caixa'!$I:$I,Anual!$B$14)</f>
        <v>0</v>
      </c>
      <c r="M14" s="60">
        <f>SUMIFS('Fluxo de Caixa'!$L:$L,'Fluxo de Caixa'!$J:$J,M$3,'Fluxo de Caixa'!$I:$I,Anual!$B$14)</f>
        <v>0</v>
      </c>
      <c r="N14" s="60">
        <f>SUMIFS('Fluxo de Caixa'!$L:$L,'Fluxo de Caixa'!$J:$J,N$3,'Fluxo de Caixa'!$I:$I,Anual!$B$14)</f>
        <v>0</v>
      </c>
      <c r="O14" s="60">
        <f>SUMIFS('Fluxo de Caixa'!$L:$L,'Fluxo de Caixa'!$J:$J,O$3,'Fluxo de Caixa'!$I:$I,Anual!$B$14)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61" t="s">
        <v>43</v>
      </c>
      <c r="C15" s="62"/>
      <c r="D15" s="60">
        <f>SUMIFS('Fluxo de Caixa'!$L:$L,'Fluxo de Caixa'!$J:$J,D$3,'Fluxo de Caixa'!$I:$I,Anual!$B$15)</f>
        <v>0</v>
      </c>
      <c r="E15" s="60">
        <f>SUMIFS('Fluxo de Caixa'!$L:$L,'Fluxo de Caixa'!$J:$J,E$3,'Fluxo de Caixa'!$I:$I,Anual!$B$15)</f>
        <v>0</v>
      </c>
      <c r="F15" s="60">
        <f>SUMIFS('Fluxo de Caixa'!$L:$L,'Fluxo de Caixa'!$J:$J,F$3,'Fluxo de Caixa'!$I:$I,Anual!$B$15)</f>
        <v>0</v>
      </c>
      <c r="G15" s="60">
        <f>SUMIFS('Fluxo de Caixa'!$L:$L,'Fluxo de Caixa'!$J:$J,G$3,'Fluxo de Caixa'!$I:$I,Anual!$B$15)</f>
        <v>0</v>
      </c>
      <c r="H15" s="60">
        <f>SUMIFS('Fluxo de Caixa'!$L:$L,'Fluxo de Caixa'!$J:$J,H$3,'Fluxo de Caixa'!$I:$I,Anual!$B$15)</f>
        <v>0</v>
      </c>
      <c r="I15" s="60">
        <f>SUMIFS('Fluxo de Caixa'!$L:$L,'Fluxo de Caixa'!$J:$J,I$3,'Fluxo de Caixa'!$I:$I,Anual!$B$15)</f>
        <v>0</v>
      </c>
      <c r="J15" s="60">
        <f>SUMIFS('Fluxo de Caixa'!$L:$L,'Fluxo de Caixa'!$J:$J,J$3,'Fluxo de Caixa'!$I:$I,Anual!$B$15)</f>
        <v>0</v>
      </c>
      <c r="K15" s="60">
        <f>SUMIFS('Fluxo de Caixa'!$L:$L,'Fluxo de Caixa'!$J:$J,K$3,'Fluxo de Caixa'!$I:$I,Anual!$B$15)</f>
        <v>0</v>
      </c>
      <c r="L15" s="60">
        <f>SUMIFS('Fluxo de Caixa'!$L:$L,'Fluxo de Caixa'!$J:$J,L$3,'Fluxo de Caixa'!$I:$I,Anual!$B$15)</f>
        <v>0</v>
      </c>
      <c r="M15" s="60">
        <f>SUMIFS('Fluxo de Caixa'!$L:$L,'Fluxo de Caixa'!$J:$J,M$3,'Fluxo de Caixa'!$I:$I,Anual!$B$15)</f>
        <v>0</v>
      </c>
      <c r="N15" s="60">
        <f>SUMIFS('Fluxo de Caixa'!$L:$L,'Fluxo de Caixa'!$J:$J,N$3,'Fluxo de Caixa'!$I:$I,Anual!$B$15)</f>
        <v>0</v>
      </c>
      <c r="O15" s="60">
        <f>SUMIFS('Fluxo de Caixa'!$L:$L,'Fluxo de Caixa'!$J:$J,O$3,'Fluxo de Caixa'!$I:$I,Anual!$B$15)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61" t="s">
        <v>44</v>
      </c>
      <c r="C16" s="62"/>
      <c r="D16" s="60">
        <f>SUMIFS('Fluxo de Caixa'!$L:$L,'Fluxo de Caixa'!$J:$J,D$3,'Fluxo de Caixa'!$I:$I,Anual!$B$16)</f>
        <v>0</v>
      </c>
      <c r="E16" s="60">
        <f>SUMIFS('Fluxo de Caixa'!$L:$L,'Fluxo de Caixa'!$J:$J,E$3,'Fluxo de Caixa'!$I:$I,Anual!$B$16)</f>
        <v>0</v>
      </c>
      <c r="F16" s="60">
        <f>SUMIFS('Fluxo de Caixa'!$L:$L,'Fluxo de Caixa'!$J:$J,F$3,'Fluxo de Caixa'!$I:$I,Anual!$B$16)</f>
        <v>0</v>
      </c>
      <c r="G16" s="60">
        <f>SUMIFS('Fluxo de Caixa'!$L:$L,'Fluxo de Caixa'!$J:$J,G$3,'Fluxo de Caixa'!$I:$I,Anual!$B$16)</f>
        <v>0</v>
      </c>
      <c r="H16" s="60">
        <f>SUMIFS('Fluxo de Caixa'!$L:$L,'Fluxo de Caixa'!$J:$J,H$3,'Fluxo de Caixa'!$I:$I,Anual!$B$16)</f>
        <v>0</v>
      </c>
      <c r="I16" s="60">
        <f>SUMIFS('Fluxo de Caixa'!$L:$L,'Fluxo de Caixa'!$J:$J,I$3,'Fluxo de Caixa'!$I:$I,Anual!$B$16)</f>
        <v>0</v>
      </c>
      <c r="J16" s="60">
        <f>SUMIFS('Fluxo de Caixa'!$L:$L,'Fluxo de Caixa'!$J:$J,J$3,'Fluxo de Caixa'!$I:$I,Anual!$B$16)</f>
        <v>0</v>
      </c>
      <c r="K16" s="60">
        <f>SUMIFS('Fluxo de Caixa'!$L:$L,'Fluxo de Caixa'!$J:$J,K$3,'Fluxo de Caixa'!$I:$I,Anual!$B$16)</f>
        <v>0</v>
      </c>
      <c r="L16" s="60">
        <f>SUMIFS('Fluxo de Caixa'!$L:$L,'Fluxo de Caixa'!$J:$J,L$3,'Fluxo de Caixa'!$I:$I,Anual!$B$16)</f>
        <v>0</v>
      </c>
      <c r="M16" s="60">
        <f>SUMIFS('Fluxo de Caixa'!$L:$L,'Fluxo de Caixa'!$J:$J,M$3,'Fluxo de Caixa'!$I:$I,Anual!$B$16)</f>
        <v>0</v>
      </c>
      <c r="N16" s="60">
        <f>SUMIFS('Fluxo de Caixa'!$L:$L,'Fluxo de Caixa'!$J:$J,N$3,'Fluxo de Caixa'!$I:$I,Anual!$B$16)</f>
        <v>0</v>
      </c>
      <c r="O16" s="60">
        <f>SUMIFS('Fluxo de Caixa'!$L:$L,'Fluxo de Caixa'!$J:$J,O$3,'Fluxo de Caixa'!$I:$I,Anual!$B$16)</f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B17" s="61" t="s">
        <v>45</v>
      </c>
      <c r="C17" s="62"/>
      <c r="D17" s="60">
        <f>SUMIFS('Fluxo de Caixa'!$L:$L,'Fluxo de Caixa'!$J:$J,D$3,'Fluxo de Caixa'!$I:$I,Anual!$B$17)</f>
        <v>0</v>
      </c>
      <c r="E17" s="60">
        <f>SUMIFS('Fluxo de Caixa'!$L:$L,'Fluxo de Caixa'!$J:$J,E$3,'Fluxo de Caixa'!$I:$I,Anual!$B$17)</f>
        <v>0</v>
      </c>
      <c r="F17" s="60">
        <f>SUMIFS('Fluxo de Caixa'!$L:$L,'Fluxo de Caixa'!$J:$J,F$3,'Fluxo de Caixa'!$I:$I,Anual!$B$17)</f>
        <v>0</v>
      </c>
      <c r="G17" s="60">
        <f>SUMIFS('Fluxo de Caixa'!$L:$L,'Fluxo de Caixa'!$J:$J,G$3,'Fluxo de Caixa'!$I:$I,Anual!$B$17)</f>
        <v>0</v>
      </c>
      <c r="H17" s="60">
        <f>SUMIFS('Fluxo de Caixa'!$L:$L,'Fluxo de Caixa'!$J:$J,H$3,'Fluxo de Caixa'!$I:$I,Anual!$B$17)</f>
        <v>0</v>
      </c>
      <c r="I17" s="60">
        <f>SUMIFS('Fluxo de Caixa'!$L:$L,'Fluxo de Caixa'!$J:$J,I$3,'Fluxo de Caixa'!$I:$I,Anual!$B$17)</f>
        <v>0</v>
      </c>
      <c r="J17" s="60">
        <f>SUMIFS('Fluxo de Caixa'!$L:$L,'Fluxo de Caixa'!$J:$J,J$3,'Fluxo de Caixa'!$I:$I,Anual!$B$17)</f>
        <v>0</v>
      </c>
      <c r="K17" s="60">
        <f>SUMIFS('Fluxo de Caixa'!$L:$L,'Fluxo de Caixa'!$J:$J,K$3,'Fluxo de Caixa'!$I:$I,Anual!$B$17)</f>
        <v>0</v>
      </c>
      <c r="L17" s="60">
        <f>SUMIFS('Fluxo de Caixa'!$L:$L,'Fluxo de Caixa'!$J:$J,L$3,'Fluxo de Caixa'!$I:$I,Anual!$B$17)</f>
        <v>0</v>
      </c>
      <c r="M17" s="60">
        <f>SUMIFS('Fluxo de Caixa'!$L:$L,'Fluxo de Caixa'!$J:$J,M$3,'Fluxo de Caixa'!$I:$I,Anual!$B$17)</f>
        <v>0</v>
      </c>
      <c r="N17" s="60">
        <f>SUMIFS('Fluxo de Caixa'!$L:$L,'Fluxo de Caixa'!$J:$J,N$3,'Fluxo de Caixa'!$I:$I,Anual!$B$17)</f>
        <v>0</v>
      </c>
      <c r="O17" s="60">
        <f>SUMIFS('Fluxo de Caixa'!$L:$L,'Fluxo de Caixa'!$J:$J,O$3,'Fluxo de Caixa'!$I:$I,Anual!$B$17)</f>
        <v>0</v>
      </c>
    </row>
    <row r="18" spans="1:26" ht="16.5" customHeight="1">
      <c r="B18" s="61" t="s">
        <v>46</v>
      </c>
      <c r="C18" s="62"/>
      <c r="D18" s="60">
        <f>SUMIFS('Fluxo de Caixa'!$L:$L,'Fluxo de Caixa'!$J:$J,D$3,'Fluxo de Caixa'!$I:$I,Anual!$B$18)</f>
        <v>0</v>
      </c>
      <c r="E18" s="60">
        <f>SUMIFS('Fluxo de Caixa'!$L:$L,'Fluxo de Caixa'!$J:$J,E$3,'Fluxo de Caixa'!$I:$I,Anual!$B$18)</f>
        <v>0</v>
      </c>
      <c r="F18" s="60">
        <f>SUMIFS('Fluxo de Caixa'!$L:$L,'Fluxo de Caixa'!$J:$J,F$3,'Fluxo de Caixa'!$I:$I,Anual!$B$18)</f>
        <v>0</v>
      </c>
      <c r="G18" s="60">
        <f>SUMIFS('Fluxo de Caixa'!$L:$L,'Fluxo de Caixa'!$J:$J,G$3,'Fluxo de Caixa'!$I:$I,Anual!$B$18)</f>
        <v>0</v>
      </c>
      <c r="H18" s="60">
        <f>SUMIFS('Fluxo de Caixa'!$L:$L,'Fluxo de Caixa'!$J:$J,H$3,'Fluxo de Caixa'!$I:$I,Anual!$B$18)</f>
        <v>0</v>
      </c>
      <c r="I18" s="60">
        <f>SUMIFS('Fluxo de Caixa'!$L:$L,'Fluxo de Caixa'!$J:$J,I$3,'Fluxo de Caixa'!$I:$I,Anual!$B$18)</f>
        <v>0</v>
      </c>
      <c r="J18" s="60">
        <f>SUMIFS('Fluxo de Caixa'!$L:$L,'Fluxo de Caixa'!$J:$J,J$3,'Fluxo de Caixa'!$I:$I,Anual!$B$18)</f>
        <v>0</v>
      </c>
      <c r="K18" s="60">
        <f>SUMIFS('Fluxo de Caixa'!$L:$L,'Fluxo de Caixa'!$J:$J,K$3,'Fluxo de Caixa'!$I:$I,Anual!$B$18)</f>
        <v>0</v>
      </c>
      <c r="L18" s="60">
        <f>SUMIFS('Fluxo de Caixa'!$L:$L,'Fluxo de Caixa'!$J:$J,L$3,'Fluxo de Caixa'!$I:$I,Anual!$B$18)</f>
        <v>0</v>
      </c>
      <c r="M18" s="60">
        <f>SUMIFS('Fluxo de Caixa'!$L:$L,'Fluxo de Caixa'!$J:$J,M$3,'Fluxo de Caixa'!$I:$I,Anual!$B$18)</f>
        <v>0</v>
      </c>
      <c r="N18" s="60">
        <f>SUMIFS('Fluxo de Caixa'!$L:$L,'Fluxo de Caixa'!$J:$J,N$3,'Fluxo de Caixa'!$I:$I,Anual!$B$18)</f>
        <v>0</v>
      </c>
      <c r="O18" s="60">
        <f>SUMIFS('Fluxo de Caixa'!$L:$L,'Fluxo de Caixa'!$J:$J,O$3,'Fluxo de Caixa'!$I:$I,Anual!$B$18)</f>
        <v>0</v>
      </c>
    </row>
    <row r="19" spans="1:26" ht="16.5" customHeight="1">
      <c r="B19" s="61" t="s">
        <v>47</v>
      </c>
      <c r="C19" s="62"/>
      <c r="D19" s="60">
        <f>SUMIFS('Fluxo de Caixa'!$L:$L,'Fluxo de Caixa'!$J:$J,D$3,'Fluxo de Caixa'!$I:$I,Anual!$B$19)</f>
        <v>0</v>
      </c>
      <c r="E19" s="60">
        <f>SUMIFS('Fluxo de Caixa'!$L:$L,'Fluxo de Caixa'!$J:$J,E$3,'Fluxo de Caixa'!$I:$I,Anual!$B$19)</f>
        <v>0</v>
      </c>
      <c r="F19" s="60">
        <f>SUMIFS('Fluxo de Caixa'!$L:$L,'Fluxo de Caixa'!$J:$J,F$3,'Fluxo de Caixa'!$I:$I,Anual!$B$19)</f>
        <v>0</v>
      </c>
      <c r="G19" s="60">
        <f>SUMIFS('Fluxo de Caixa'!$L:$L,'Fluxo de Caixa'!$J:$J,G$3,'Fluxo de Caixa'!$I:$I,Anual!$B$19)</f>
        <v>0</v>
      </c>
      <c r="H19" s="60">
        <f>SUMIFS('Fluxo de Caixa'!$L:$L,'Fluxo de Caixa'!$J:$J,H$3,'Fluxo de Caixa'!$I:$I,Anual!$B$19)</f>
        <v>0</v>
      </c>
      <c r="I19" s="60">
        <f>SUMIFS('Fluxo de Caixa'!$L:$L,'Fluxo de Caixa'!$J:$J,I$3,'Fluxo de Caixa'!$I:$I,Anual!$B$19)</f>
        <v>0</v>
      </c>
      <c r="J19" s="60">
        <f>SUMIFS('Fluxo de Caixa'!$L:$L,'Fluxo de Caixa'!$J:$J,J$3,'Fluxo de Caixa'!$I:$I,Anual!$B$19)</f>
        <v>0</v>
      </c>
      <c r="K19" s="60">
        <f>SUMIFS('Fluxo de Caixa'!$L:$L,'Fluxo de Caixa'!$J:$J,K$3,'Fluxo de Caixa'!$I:$I,Anual!$B$19)</f>
        <v>0</v>
      </c>
      <c r="L19" s="60">
        <f>SUMIFS('Fluxo de Caixa'!$L:$L,'Fluxo de Caixa'!$J:$J,L$3,'Fluxo de Caixa'!$I:$I,Anual!$B$19)</f>
        <v>0</v>
      </c>
      <c r="M19" s="60">
        <f>SUMIFS('Fluxo de Caixa'!$L:$L,'Fluxo de Caixa'!$J:$J,M$3,'Fluxo de Caixa'!$I:$I,Anual!$B$19)</f>
        <v>0</v>
      </c>
      <c r="N19" s="60">
        <f>SUMIFS('Fluxo de Caixa'!$L:$L,'Fluxo de Caixa'!$J:$J,N$3,'Fluxo de Caixa'!$I:$I,Anual!$B$19)</f>
        <v>0</v>
      </c>
      <c r="O19" s="60">
        <f>SUMIFS('Fluxo de Caixa'!$L:$L,'Fluxo de Caixa'!$J:$J,O$3,'Fluxo de Caixa'!$I:$I,Anual!$B$19)</f>
        <v>0</v>
      </c>
    </row>
    <row r="20" spans="1:26" ht="16.5" customHeight="1">
      <c r="B20" s="61" t="s">
        <v>48</v>
      </c>
      <c r="C20" s="62"/>
      <c r="D20" s="60">
        <f>SUMIFS('Fluxo de Caixa'!$L:$L,'Fluxo de Caixa'!$J:$J,D$3,'Fluxo de Caixa'!$I:$I,Anual!$B$20)</f>
        <v>0</v>
      </c>
      <c r="E20" s="60">
        <f>SUMIFS('Fluxo de Caixa'!$L:$L,'Fluxo de Caixa'!$J:$J,E$3,'Fluxo de Caixa'!$I:$I,Anual!$B$20)</f>
        <v>0</v>
      </c>
      <c r="F20" s="60">
        <f>SUMIFS('Fluxo de Caixa'!$L:$L,'Fluxo de Caixa'!$J:$J,F$3,'Fluxo de Caixa'!$I:$I,Anual!$B$20)</f>
        <v>0</v>
      </c>
      <c r="G20" s="60">
        <f>SUMIFS('Fluxo de Caixa'!$L:$L,'Fluxo de Caixa'!$J:$J,G$3,'Fluxo de Caixa'!$I:$I,Anual!$B$20)</f>
        <v>0</v>
      </c>
      <c r="H20" s="60">
        <f>SUMIFS('Fluxo de Caixa'!$L:$L,'Fluxo de Caixa'!$J:$J,H$3,'Fluxo de Caixa'!$I:$I,Anual!$B$20)</f>
        <v>0</v>
      </c>
      <c r="I20" s="60">
        <f>SUMIFS('Fluxo de Caixa'!$L:$L,'Fluxo de Caixa'!$J:$J,I$3,'Fluxo de Caixa'!$I:$I,Anual!$B$20)</f>
        <v>0</v>
      </c>
      <c r="J20" s="60">
        <f>SUMIFS('Fluxo de Caixa'!$L:$L,'Fluxo de Caixa'!$J:$J,J$3,'Fluxo de Caixa'!$I:$I,Anual!$B$20)</f>
        <v>0</v>
      </c>
      <c r="K20" s="60">
        <f>SUMIFS('Fluxo de Caixa'!$L:$L,'Fluxo de Caixa'!$J:$J,K$3,'Fluxo de Caixa'!$I:$I,Anual!$B$20)</f>
        <v>0</v>
      </c>
      <c r="L20" s="60">
        <f>SUMIFS('Fluxo de Caixa'!$L:$L,'Fluxo de Caixa'!$J:$J,L$3,'Fluxo de Caixa'!$I:$I,Anual!$B$20)</f>
        <v>0</v>
      </c>
      <c r="M20" s="60">
        <f>SUMIFS('Fluxo de Caixa'!$L:$L,'Fluxo de Caixa'!$J:$J,M$3,'Fluxo de Caixa'!$I:$I,Anual!$B$20)</f>
        <v>0</v>
      </c>
      <c r="N20" s="60">
        <f>SUMIFS('Fluxo de Caixa'!$L:$L,'Fluxo de Caixa'!$J:$J,N$3,'Fluxo de Caixa'!$I:$I,Anual!$B$20)</f>
        <v>0</v>
      </c>
      <c r="O20" s="60">
        <f>SUMIFS('Fluxo de Caixa'!$L:$L,'Fluxo de Caixa'!$J:$J,O$3,'Fluxo de Caixa'!$I:$I,Anual!$B$20)</f>
        <v>0</v>
      </c>
    </row>
    <row r="21" spans="1:26" ht="16.5" customHeight="1">
      <c r="B21" s="61" t="s">
        <v>49</v>
      </c>
      <c r="C21" s="62"/>
      <c r="D21" s="60">
        <f>SUMIFS('Fluxo de Caixa'!$L:$L,'Fluxo de Caixa'!$J:$J,D$3,'Fluxo de Caixa'!$I:$I,Anual!$B$21)</f>
        <v>0</v>
      </c>
      <c r="E21" s="60">
        <f>SUMIFS('Fluxo de Caixa'!$L:$L,'Fluxo de Caixa'!$J:$J,E$3,'Fluxo de Caixa'!$I:$I,Anual!$B$21)</f>
        <v>0</v>
      </c>
      <c r="F21" s="60">
        <f>SUMIFS('Fluxo de Caixa'!$L:$L,'Fluxo de Caixa'!$J:$J,F$3,'Fluxo de Caixa'!$I:$I,Anual!$B$21)</f>
        <v>0</v>
      </c>
      <c r="G21" s="60">
        <f>SUMIFS('Fluxo de Caixa'!$L:$L,'Fluxo de Caixa'!$J:$J,G$3,'Fluxo de Caixa'!$I:$I,Anual!$B$21)</f>
        <v>0</v>
      </c>
      <c r="H21" s="60">
        <f>SUMIFS('Fluxo de Caixa'!$L:$L,'Fluxo de Caixa'!$J:$J,H$3,'Fluxo de Caixa'!$I:$I,Anual!$B$21)</f>
        <v>0</v>
      </c>
      <c r="I21" s="60">
        <f>SUMIFS('Fluxo de Caixa'!$L:$L,'Fluxo de Caixa'!$J:$J,I$3,'Fluxo de Caixa'!$I:$I,Anual!$B$21)</f>
        <v>0</v>
      </c>
      <c r="J21" s="60">
        <f>SUMIFS('Fluxo de Caixa'!$L:$L,'Fluxo de Caixa'!$J:$J,J$3,'Fluxo de Caixa'!$I:$I,Anual!$B$21)</f>
        <v>0</v>
      </c>
      <c r="K21" s="60">
        <f>SUMIFS('Fluxo de Caixa'!$L:$L,'Fluxo de Caixa'!$J:$J,K$3,'Fluxo de Caixa'!$I:$I,Anual!$B$21)</f>
        <v>0</v>
      </c>
      <c r="L21" s="60">
        <f>SUMIFS('Fluxo de Caixa'!$L:$L,'Fluxo de Caixa'!$J:$J,L$3,'Fluxo de Caixa'!$I:$I,Anual!$B$21)</f>
        <v>0</v>
      </c>
      <c r="M21" s="60">
        <f>SUMIFS('Fluxo de Caixa'!$L:$L,'Fluxo de Caixa'!$J:$J,M$3,'Fluxo de Caixa'!$I:$I,Anual!$B$21)</f>
        <v>0</v>
      </c>
      <c r="N21" s="60">
        <f>SUMIFS('Fluxo de Caixa'!$L:$L,'Fluxo de Caixa'!$J:$J,N$3,'Fluxo de Caixa'!$I:$I,Anual!$B$21)</f>
        <v>0</v>
      </c>
      <c r="O21" s="60">
        <f>SUMIFS('Fluxo de Caixa'!$L:$L,'Fluxo de Caixa'!$J:$J,O$3,'Fluxo de Caixa'!$I:$I,Anual!$B$21)</f>
        <v>0</v>
      </c>
    </row>
    <row r="22" spans="1:26" ht="16.5" customHeight="1">
      <c r="B22" s="61" t="s">
        <v>50</v>
      </c>
      <c r="C22" s="62"/>
      <c r="D22" s="60">
        <f>SUMIFS('Fluxo de Caixa'!$L:$L,'Fluxo de Caixa'!$J:$J,D$3,'Fluxo de Caixa'!$I:$I,Anual!$B$22)</f>
        <v>0</v>
      </c>
      <c r="E22" s="60">
        <f>SUMIFS('Fluxo de Caixa'!$L:$L,'Fluxo de Caixa'!$J:$J,E$3,'Fluxo de Caixa'!$I:$I,Anual!$B$22)</f>
        <v>0</v>
      </c>
      <c r="F22" s="60">
        <f>SUMIFS('Fluxo de Caixa'!$L:$L,'Fluxo de Caixa'!$J:$J,F$3,'Fluxo de Caixa'!$I:$I,Anual!$B$22)</f>
        <v>0</v>
      </c>
      <c r="G22" s="60">
        <f>SUMIFS('Fluxo de Caixa'!$L:$L,'Fluxo de Caixa'!$J:$J,G$3,'Fluxo de Caixa'!$I:$I,Anual!$B$22)</f>
        <v>0</v>
      </c>
      <c r="H22" s="60">
        <f>SUMIFS('Fluxo de Caixa'!$L:$L,'Fluxo de Caixa'!$J:$J,H$3,'Fluxo de Caixa'!$I:$I,Anual!$B$22)</f>
        <v>0</v>
      </c>
      <c r="I22" s="60">
        <f>SUMIFS('Fluxo de Caixa'!$L:$L,'Fluxo de Caixa'!$J:$J,I$3,'Fluxo de Caixa'!$I:$I,Anual!$B$22)</f>
        <v>0</v>
      </c>
      <c r="J22" s="60">
        <f>SUMIFS('Fluxo de Caixa'!$L:$L,'Fluxo de Caixa'!$J:$J,J$3,'Fluxo de Caixa'!$I:$I,Anual!$B$22)</f>
        <v>0</v>
      </c>
      <c r="K22" s="60">
        <f>SUMIFS('Fluxo de Caixa'!$L:$L,'Fluxo de Caixa'!$J:$J,K$3,'Fluxo de Caixa'!$I:$I,Anual!$B$22)</f>
        <v>0</v>
      </c>
      <c r="L22" s="60">
        <f>SUMIFS('Fluxo de Caixa'!$L:$L,'Fluxo de Caixa'!$J:$J,L$3,'Fluxo de Caixa'!$I:$I,Anual!$B$22)</f>
        <v>0</v>
      </c>
      <c r="M22" s="60">
        <f>SUMIFS('Fluxo de Caixa'!$L:$L,'Fluxo de Caixa'!$J:$J,M$3,'Fluxo de Caixa'!$I:$I,Anual!$B$22)</f>
        <v>0</v>
      </c>
      <c r="N22" s="60">
        <f>SUMIFS('Fluxo de Caixa'!$L:$L,'Fluxo de Caixa'!$J:$J,N$3,'Fluxo de Caixa'!$I:$I,Anual!$B$22)</f>
        <v>0</v>
      </c>
      <c r="O22" s="60">
        <f>SUMIFS('Fluxo de Caixa'!$L:$L,'Fluxo de Caixa'!$J:$J,O$3,'Fluxo de Caixa'!$I:$I,Anual!$B$22)</f>
        <v>0</v>
      </c>
    </row>
    <row r="23" spans="1:26" ht="16.5" customHeight="1">
      <c r="B23" s="70" t="s">
        <v>51</v>
      </c>
      <c r="C23" s="71"/>
      <c r="D23" s="60">
        <f>SUMIFS('Fluxo de Caixa'!$L:$L,'Fluxo de Caixa'!$J:$J,D$3,'Fluxo de Caixa'!$I:$I,Anual!$B$23)</f>
        <v>0</v>
      </c>
      <c r="E23" s="60">
        <f>SUMIFS('Fluxo de Caixa'!$L:$L,'Fluxo de Caixa'!$J:$J,E$3,'Fluxo de Caixa'!$I:$I,Anual!$B$23)</f>
        <v>0</v>
      </c>
      <c r="F23" s="60">
        <f>SUMIFS('Fluxo de Caixa'!$L:$L,'Fluxo de Caixa'!$J:$J,F$3,'Fluxo de Caixa'!$I:$I,Anual!$B$23)</f>
        <v>0</v>
      </c>
      <c r="G23" s="60">
        <f>SUMIFS('Fluxo de Caixa'!$L:$L,'Fluxo de Caixa'!$J:$J,G$3,'Fluxo de Caixa'!$I:$I,Anual!$B$23)</f>
        <v>0</v>
      </c>
      <c r="H23" s="60">
        <f>SUMIFS('Fluxo de Caixa'!$L:$L,'Fluxo de Caixa'!$J:$J,H$3,'Fluxo de Caixa'!$I:$I,Anual!$B$23)</f>
        <v>0</v>
      </c>
      <c r="I23" s="60">
        <f>SUMIFS('Fluxo de Caixa'!$L:$L,'Fluxo de Caixa'!$J:$J,I$3,'Fluxo de Caixa'!$I:$I,Anual!$B$23)</f>
        <v>0</v>
      </c>
      <c r="J23" s="60">
        <f>SUMIFS('Fluxo de Caixa'!$L:$L,'Fluxo de Caixa'!$J:$J,J$3,'Fluxo de Caixa'!$I:$I,Anual!$B$23)</f>
        <v>0</v>
      </c>
      <c r="K23" s="60">
        <f>SUMIFS('Fluxo de Caixa'!$L:$L,'Fluxo de Caixa'!$J:$J,K$3,'Fluxo de Caixa'!$I:$I,Anual!$B$23)</f>
        <v>0</v>
      </c>
      <c r="L23" s="60">
        <f>SUMIFS('Fluxo de Caixa'!$L:$L,'Fluxo de Caixa'!$J:$J,L$3,'Fluxo de Caixa'!$I:$I,Anual!$B$23)</f>
        <v>0</v>
      </c>
      <c r="M23" s="60">
        <f>SUMIFS('Fluxo de Caixa'!$L:$L,'Fluxo de Caixa'!$J:$J,M$3,'Fluxo de Caixa'!$I:$I,Anual!$B$23)</f>
        <v>0</v>
      </c>
      <c r="N23" s="60">
        <f>SUMIFS('Fluxo de Caixa'!$L:$L,'Fluxo de Caixa'!$J:$J,N$3,'Fluxo de Caixa'!$I:$I,Anual!$B$23)</f>
        <v>0</v>
      </c>
      <c r="O23" s="60">
        <f>SUMIFS('Fluxo de Caixa'!$L:$L,'Fluxo de Caixa'!$J:$J,O$3,'Fluxo de Caixa'!$I:$I,Anual!$B$23)</f>
        <v>0</v>
      </c>
    </row>
    <row r="24" spans="1:26" ht="16.5" customHeight="1">
      <c r="B24" s="72" t="s">
        <v>52</v>
      </c>
      <c r="C24" s="71"/>
      <c r="D24" s="60">
        <f>SUMIFS('Fluxo de Caixa'!$L:$L,'Fluxo de Caixa'!$J:$J,D$3,'Fluxo de Caixa'!$I:$I,Anual!$B$24)</f>
        <v>0</v>
      </c>
      <c r="E24" s="60">
        <f>SUMIFS('Fluxo de Caixa'!$L:$L,'Fluxo de Caixa'!$J:$J,E$3,'Fluxo de Caixa'!$I:$I,Anual!$B$24)</f>
        <v>0</v>
      </c>
      <c r="F24" s="60">
        <f>SUMIFS('Fluxo de Caixa'!$L:$L,'Fluxo de Caixa'!$J:$J,F$3,'Fluxo de Caixa'!$I:$I,Anual!$B$24)</f>
        <v>0</v>
      </c>
      <c r="G24" s="60">
        <f>SUMIFS('Fluxo de Caixa'!$L:$L,'Fluxo de Caixa'!$J:$J,G$3,'Fluxo de Caixa'!$I:$I,Anual!$B$24)</f>
        <v>0</v>
      </c>
      <c r="H24" s="60">
        <f>SUMIFS('Fluxo de Caixa'!$L:$L,'Fluxo de Caixa'!$J:$J,H$3,'Fluxo de Caixa'!$I:$I,Anual!$B$24)</f>
        <v>0</v>
      </c>
      <c r="I24" s="60">
        <f>SUMIFS('Fluxo de Caixa'!$L:$L,'Fluxo de Caixa'!$J:$J,I$3,'Fluxo de Caixa'!$I:$I,Anual!$B$24)</f>
        <v>0</v>
      </c>
      <c r="J24" s="60">
        <f>SUMIFS('Fluxo de Caixa'!$L:$L,'Fluxo de Caixa'!$J:$J,J$3,'Fluxo de Caixa'!$I:$I,Anual!$B$24)</f>
        <v>0</v>
      </c>
      <c r="K24" s="60">
        <f>SUMIFS('Fluxo de Caixa'!$L:$L,'Fluxo de Caixa'!$J:$J,K$3,'Fluxo de Caixa'!$I:$I,Anual!$B$24)</f>
        <v>0</v>
      </c>
      <c r="L24" s="60">
        <f>SUMIFS('Fluxo de Caixa'!$L:$L,'Fluxo de Caixa'!$J:$J,L$3,'Fluxo de Caixa'!$I:$I,Anual!$B$24)</f>
        <v>0</v>
      </c>
      <c r="M24" s="60">
        <f>SUMIFS('Fluxo de Caixa'!$L:$L,'Fluxo de Caixa'!$J:$J,M$3,'Fluxo de Caixa'!$I:$I,Anual!$B$24)</f>
        <v>0</v>
      </c>
      <c r="N24" s="60">
        <f>SUMIFS('Fluxo de Caixa'!$L:$L,'Fluxo de Caixa'!$J:$J,N$3,'Fluxo de Caixa'!$I:$I,Anual!$B$24)</f>
        <v>0</v>
      </c>
      <c r="O24" s="60">
        <f>SUMIFS('Fluxo de Caixa'!$L:$L,'Fluxo de Caixa'!$J:$J,O$3,'Fluxo de Caixa'!$I:$I,Anual!$B$24)</f>
        <v>0</v>
      </c>
    </row>
    <row r="25" spans="1:26" ht="16.5" customHeight="1">
      <c r="B25" s="72" t="s">
        <v>53</v>
      </c>
      <c r="C25" s="71"/>
      <c r="D25" s="60">
        <f>SUMIFS('Fluxo de Caixa'!$L:$L,'Fluxo de Caixa'!$J:$J,D$3,'Fluxo de Caixa'!$I:$I,Anual!$B$25)</f>
        <v>0</v>
      </c>
      <c r="E25" s="60">
        <f>SUMIFS('Fluxo de Caixa'!$L:$L,'Fluxo de Caixa'!$J:$J,E$3,'Fluxo de Caixa'!$I:$I,Anual!$B$25)</f>
        <v>0</v>
      </c>
      <c r="F25" s="60">
        <f>SUMIFS('Fluxo de Caixa'!$L:$L,'Fluxo de Caixa'!$J:$J,F$3,'Fluxo de Caixa'!$I:$I,Anual!$B$25)</f>
        <v>0</v>
      </c>
      <c r="G25" s="60">
        <f>SUMIFS('Fluxo de Caixa'!$L:$L,'Fluxo de Caixa'!$J:$J,G$3,'Fluxo de Caixa'!$I:$I,Anual!$B$25)</f>
        <v>0</v>
      </c>
      <c r="H25" s="60">
        <f>SUMIFS('Fluxo de Caixa'!$L:$L,'Fluxo de Caixa'!$J:$J,H$3,'Fluxo de Caixa'!$I:$I,Anual!$B$25)</f>
        <v>0</v>
      </c>
      <c r="I25" s="60">
        <f>SUMIFS('Fluxo de Caixa'!$L:$L,'Fluxo de Caixa'!$J:$J,I$3,'Fluxo de Caixa'!$I:$I,Anual!$B$25)</f>
        <v>0</v>
      </c>
      <c r="J25" s="60">
        <f>SUMIFS('Fluxo de Caixa'!$L:$L,'Fluxo de Caixa'!$J:$J,J$3,'Fluxo de Caixa'!$I:$I,Anual!$B$25)</f>
        <v>0</v>
      </c>
      <c r="K25" s="60">
        <f>SUMIFS('Fluxo de Caixa'!$L:$L,'Fluxo de Caixa'!$J:$J,K$3,'Fluxo de Caixa'!$I:$I,Anual!$B$25)</f>
        <v>0</v>
      </c>
      <c r="L25" s="60">
        <f>SUMIFS('Fluxo de Caixa'!$L:$L,'Fluxo de Caixa'!$J:$J,L$3,'Fluxo de Caixa'!$I:$I,Anual!$B$25)</f>
        <v>0</v>
      </c>
      <c r="M25" s="60">
        <f>SUMIFS('Fluxo de Caixa'!$L:$L,'Fluxo de Caixa'!$J:$J,M$3,'Fluxo de Caixa'!$I:$I,Anual!$B$25)</f>
        <v>0</v>
      </c>
      <c r="N25" s="60">
        <f>SUMIFS('Fluxo de Caixa'!$L:$L,'Fluxo de Caixa'!$J:$J,N$3,'Fluxo de Caixa'!$I:$I,Anual!$B$25)</f>
        <v>0</v>
      </c>
      <c r="O25" s="60">
        <f>SUMIFS('Fluxo de Caixa'!$L:$L,'Fluxo de Caixa'!$J:$J,O$3,'Fluxo de Caixa'!$I:$I,Anual!$B$25)</f>
        <v>0</v>
      </c>
    </row>
    <row r="26" spans="1:26" ht="16.5" customHeight="1">
      <c r="B26" s="72" t="s">
        <v>54</v>
      </c>
      <c r="C26" s="71"/>
      <c r="D26" s="60">
        <f>SUMIFS('Fluxo de Caixa'!$L:$L,'Fluxo de Caixa'!$J:$J,D$3,'Fluxo de Caixa'!$I:$I,Anual!$B$26)</f>
        <v>0</v>
      </c>
      <c r="E26" s="60">
        <f>SUMIFS('Fluxo de Caixa'!$L:$L,'Fluxo de Caixa'!$J:$J,E$3,'Fluxo de Caixa'!$I:$I,Anual!$B$26)</f>
        <v>0</v>
      </c>
      <c r="F26" s="60">
        <f>SUMIFS('Fluxo de Caixa'!$L:$L,'Fluxo de Caixa'!$J:$J,F$3,'Fluxo de Caixa'!$I:$I,Anual!$B$26)</f>
        <v>0</v>
      </c>
      <c r="G26" s="60">
        <f>SUMIFS('Fluxo de Caixa'!$L:$L,'Fluxo de Caixa'!$J:$J,G$3,'Fluxo de Caixa'!$I:$I,Anual!$B$26)</f>
        <v>0</v>
      </c>
      <c r="H26" s="60">
        <f>SUMIFS('Fluxo de Caixa'!$L:$L,'Fluxo de Caixa'!$J:$J,H$3,'Fluxo de Caixa'!$I:$I,Anual!$B$26)</f>
        <v>0</v>
      </c>
      <c r="I26" s="60">
        <f>SUMIFS('Fluxo de Caixa'!$L:$L,'Fluxo de Caixa'!$J:$J,I$3,'Fluxo de Caixa'!$I:$I,Anual!$B$26)</f>
        <v>0</v>
      </c>
      <c r="J26" s="60">
        <f>SUMIFS('Fluxo de Caixa'!$L:$L,'Fluxo de Caixa'!$J:$J,J$3,'Fluxo de Caixa'!$I:$I,Anual!$B$26)</f>
        <v>0</v>
      </c>
      <c r="K26" s="60">
        <f>SUMIFS('Fluxo de Caixa'!$L:$L,'Fluxo de Caixa'!$J:$J,K$3,'Fluxo de Caixa'!$I:$I,Anual!$B$26)</f>
        <v>0</v>
      </c>
      <c r="L26" s="60">
        <f>SUMIFS('Fluxo de Caixa'!$L:$L,'Fluxo de Caixa'!$J:$J,L$3,'Fluxo de Caixa'!$I:$I,Anual!$B$26)</f>
        <v>0</v>
      </c>
      <c r="M26" s="60">
        <f>SUMIFS('Fluxo de Caixa'!$L:$L,'Fluxo de Caixa'!$J:$J,M$3,'Fluxo de Caixa'!$I:$I,Anual!$B$26)</f>
        <v>0</v>
      </c>
      <c r="N26" s="60">
        <f>SUMIFS('Fluxo de Caixa'!$L:$L,'Fluxo de Caixa'!$J:$J,N$3,'Fluxo de Caixa'!$I:$I,Anual!$B$26)</f>
        <v>0</v>
      </c>
      <c r="O26" s="60">
        <f>SUMIFS('Fluxo de Caixa'!$L:$L,'Fluxo de Caixa'!$J:$J,O$3,'Fluxo de Caixa'!$I:$I,Anual!$B$26)</f>
        <v>0</v>
      </c>
    </row>
    <row r="27" spans="1:26" ht="16.5" customHeight="1">
      <c r="A27" s="3"/>
      <c r="B27" s="72" t="s">
        <v>55</v>
      </c>
      <c r="C27" s="71"/>
      <c r="D27" s="60">
        <f>SUMIFS('Fluxo de Caixa'!$L:$L,'Fluxo de Caixa'!$J:$J,D$3,'Fluxo de Caixa'!$I:$I,Anual!$B$27)</f>
        <v>0</v>
      </c>
      <c r="E27" s="60">
        <f>SUMIFS('Fluxo de Caixa'!$L:$L,'Fluxo de Caixa'!$J:$J,E$3,'Fluxo de Caixa'!$I:$I,Anual!$B$27)</f>
        <v>0</v>
      </c>
      <c r="F27" s="60">
        <f>SUMIFS('Fluxo de Caixa'!$L:$L,'Fluxo de Caixa'!$J:$J,F$3,'Fluxo de Caixa'!$I:$I,Anual!$B$27)</f>
        <v>0</v>
      </c>
      <c r="G27" s="60">
        <f>SUMIFS('Fluxo de Caixa'!$L:$L,'Fluxo de Caixa'!$J:$J,G$3,'Fluxo de Caixa'!$I:$I,Anual!$B$27)</f>
        <v>0</v>
      </c>
      <c r="H27" s="60">
        <f>SUMIFS('Fluxo de Caixa'!$L:$L,'Fluxo de Caixa'!$J:$J,H$3,'Fluxo de Caixa'!$I:$I,Anual!$B$27)</f>
        <v>0</v>
      </c>
      <c r="I27" s="60">
        <f>SUMIFS('Fluxo de Caixa'!$L:$L,'Fluxo de Caixa'!$J:$J,I$3,'Fluxo de Caixa'!$I:$I,Anual!$B$27)</f>
        <v>0</v>
      </c>
      <c r="J27" s="60">
        <f>SUMIFS('Fluxo de Caixa'!$L:$L,'Fluxo de Caixa'!$J:$J,J$3,'Fluxo de Caixa'!$I:$I,Anual!$B$27)</f>
        <v>0</v>
      </c>
      <c r="K27" s="60">
        <f>SUMIFS('Fluxo de Caixa'!$L:$L,'Fluxo de Caixa'!$J:$J,K$3,'Fluxo de Caixa'!$I:$I,Anual!$B$27)</f>
        <v>0</v>
      </c>
      <c r="L27" s="60">
        <f>SUMIFS('Fluxo de Caixa'!$L:$L,'Fluxo de Caixa'!$J:$J,L$3,'Fluxo de Caixa'!$I:$I,Anual!$B$27)</f>
        <v>0</v>
      </c>
      <c r="M27" s="60">
        <f>SUMIFS('Fluxo de Caixa'!$L:$L,'Fluxo de Caixa'!$J:$J,M$3,'Fluxo de Caixa'!$I:$I,Anual!$B$27)</f>
        <v>0</v>
      </c>
      <c r="N27" s="60">
        <f>SUMIFS('Fluxo de Caixa'!$L:$L,'Fluxo de Caixa'!$J:$J,N$3,'Fluxo de Caixa'!$I:$I,Anual!$B$27)</f>
        <v>0</v>
      </c>
      <c r="O27" s="60">
        <f>SUMIFS('Fluxo de Caixa'!$L:$L,'Fluxo de Caixa'!$J:$J,O$3,'Fluxo de Caixa'!$I:$I,Anual!$B$27)</f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72" t="s">
        <v>56</v>
      </c>
      <c r="C28" s="71"/>
      <c r="D28" s="60">
        <f>SUMIFS('Fluxo de Caixa'!$L:$L,'Fluxo de Caixa'!$J:$J,D$3,'Fluxo de Caixa'!$I:$I,Anual!$B$28)</f>
        <v>0</v>
      </c>
      <c r="E28" s="60">
        <f>SUMIFS('Fluxo de Caixa'!$L:$L,'Fluxo de Caixa'!$J:$J,E$3,'Fluxo de Caixa'!$I:$I,Anual!$B$28)</f>
        <v>0</v>
      </c>
      <c r="F28" s="60">
        <f>SUMIFS('Fluxo de Caixa'!$L:$L,'Fluxo de Caixa'!$J:$J,F$3,'Fluxo de Caixa'!$I:$I,Anual!$B$28)</f>
        <v>0</v>
      </c>
      <c r="G28" s="60">
        <f>SUMIFS('Fluxo de Caixa'!$L:$L,'Fluxo de Caixa'!$J:$J,G$3,'Fluxo de Caixa'!$I:$I,Anual!$B$28)</f>
        <v>0</v>
      </c>
      <c r="H28" s="60">
        <f>SUMIFS('Fluxo de Caixa'!$L:$L,'Fluxo de Caixa'!$J:$J,H$3,'Fluxo de Caixa'!$I:$I,Anual!$B$28)</f>
        <v>0</v>
      </c>
      <c r="I28" s="60">
        <f>SUMIFS('Fluxo de Caixa'!$L:$L,'Fluxo de Caixa'!$J:$J,I$3,'Fluxo de Caixa'!$I:$I,Anual!$B$28)</f>
        <v>0</v>
      </c>
      <c r="J28" s="60">
        <f>SUMIFS('Fluxo de Caixa'!$L:$L,'Fluxo de Caixa'!$J:$J,J$3,'Fluxo de Caixa'!$I:$I,Anual!$B$28)</f>
        <v>0</v>
      </c>
      <c r="K28" s="60">
        <f>SUMIFS('Fluxo de Caixa'!$L:$L,'Fluxo de Caixa'!$J:$J,K$3,'Fluxo de Caixa'!$I:$I,Anual!$B$28)</f>
        <v>0</v>
      </c>
      <c r="L28" s="60">
        <f>SUMIFS('Fluxo de Caixa'!$L:$L,'Fluxo de Caixa'!$J:$J,L$3,'Fluxo de Caixa'!$I:$I,Anual!$B$28)</f>
        <v>0</v>
      </c>
      <c r="M28" s="60">
        <f>SUMIFS('Fluxo de Caixa'!$L:$L,'Fluxo de Caixa'!$J:$J,M$3,'Fluxo de Caixa'!$I:$I,Anual!$B$28)</f>
        <v>0</v>
      </c>
      <c r="N28" s="60">
        <f>SUMIFS('Fluxo de Caixa'!$L:$L,'Fluxo de Caixa'!$J:$J,N$3,'Fluxo de Caixa'!$I:$I,Anual!$B$28)</f>
        <v>0</v>
      </c>
      <c r="O28" s="60">
        <f>SUMIFS('Fluxo de Caixa'!$L:$L,'Fluxo de Caixa'!$J:$J,O$3,'Fluxo de Caixa'!$I:$I,Anual!$B$28)</f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72" t="s">
        <v>57</v>
      </c>
      <c r="C29" s="71"/>
      <c r="D29" s="60">
        <f>SUMIFS('Fluxo de Caixa'!$L:$L,'Fluxo de Caixa'!$J:$J,D$3,'Fluxo de Caixa'!$I:$I,Anual!$B$29)</f>
        <v>0</v>
      </c>
      <c r="E29" s="60">
        <f>SUMIFS('Fluxo de Caixa'!$L:$L,'Fluxo de Caixa'!$J:$J,E$3,'Fluxo de Caixa'!$I:$I,Anual!$B$29)</f>
        <v>0</v>
      </c>
      <c r="F29" s="60">
        <f>SUMIFS('Fluxo de Caixa'!$L:$L,'Fluxo de Caixa'!$J:$J,F$3,'Fluxo de Caixa'!$I:$I,Anual!$B$29)</f>
        <v>0</v>
      </c>
      <c r="G29" s="60">
        <f>SUMIFS('Fluxo de Caixa'!$L:$L,'Fluxo de Caixa'!$J:$J,G$3,'Fluxo de Caixa'!$I:$I,Anual!$B$29)</f>
        <v>0</v>
      </c>
      <c r="H29" s="60">
        <f>SUMIFS('Fluxo de Caixa'!$L:$L,'Fluxo de Caixa'!$J:$J,H$3,'Fluxo de Caixa'!$I:$I,Anual!$B$29)</f>
        <v>0</v>
      </c>
      <c r="I29" s="60">
        <f>SUMIFS('Fluxo de Caixa'!$L:$L,'Fluxo de Caixa'!$J:$J,I$3,'Fluxo de Caixa'!$I:$I,Anual!$B$29)</f>
        <v>0</v>
      </c>
      <c r="J29" s="60">
        <f>SUMIFS('Fluxo de Caixa'!$L:$L,'Fluxo de Caixa'!$J:$J,J$3,'Fluxo de Caixa'!$I:$I,Anual!$B$29)</f>
        <v>0</v>
      </c>
      <c r="K29" s="60">
        <f>SUMIFS('Fluxo de Caixa'!$L:$L,'Fluxo de Caixa'!$J:$J,K$3,'Fluxo de Caixa'!$I:$I,Anual!$B$29)</f>
        <v>0</v>
      </c>
      <c r="L29" s="60">
        <f>SUMIFS('Fluxo de Caixa'!$L:$L,'Fluxo de Caixa'!$J:$J,L$3,'Fluxo de Caixa'!$I:$I,Anual!$B$29)</f>
        <v>0</v>
      </c>
      <c r="M29" s="60">
        <f>SUMIFS('Fluxo de Caixa'!$L:$L,'Fluxo de Caixa'!$J:$J,M$3,'Fluxo de Caixa'!$I:$I,Anual!$B$29)</f>
        <v>0</v>
      </c>
      <c r="N29" s="60">
        <f>SUMIFS('Fluxo de Caixa'!$L:$L,'Fluxo de Caixa'!$J:$J,N$3,'Fluxo de Caixa'!$I:$I,Anual!$B$29)</f>
        <v>0</v>
      </c>
      <c r="O29" s="60">
        <f>SUMIFS('Fluxo de Caixa'!$L:$L,'Fluxo de Caixa'!$J:$J,O$3,'Fluxo de Caixa'!$I:$I,Anual!$B$29)</f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72" t="s">
        <v>58</v>
      </c>
      <c r="C30" s="71"/>
      <c r="D30" s="60">
        <f>SUMIFS('Fluxo de Caixa'!$L:$L,'Fluxo de Caixa'!$J:$J,D$3,'Fluxo de Caixa'!$I:$I,Anual!$B$30)</f>
        <v>0</v>
      </c>
      <c r="E30" s="60">
        <f>SUMIFS('Fluxo de Caixa'!$L:$L,'Fluxo de Caixa'!$J:$J,E$3,'Fluxo de Caixa'!$I:$I,Anual!$B$30)</f>
        <v>0</v>
      </c>
      <c r="F30" s="60">
        <f>SUMIFS('Fluxo de Caixa'!$L:$L,'Fluxo de Caixa'!$J:$J,F$3,'Fluxo de Caixa'!$I:$I,Anual!$B$30)</f>
        <v>0</v>
      </c>
      <c r="G30" s="60">
        <f>SUMIFS('Fluxo de Caixa'!$L:$L,'Fluxo de Caixa'!$J:$J,G$3,'Fluxo de Caixa'!$I:$I,Anual!$B$30)</f>
        <v>0</v>
      </c>
      <c r="H30" s="60">
        <f>SUMIFS('Fluxo de Caixa'!$L:$L,'Fluxo de Caixa'!$J:$J,H$3,'Fluxo de Caixa'!$I:$I,Anual!$B$30)</f>
        <v>0</v>
      </c>
      <c r="I30" s="60">
        <f>SUMIFS('Fluxo de Caixa'!$L:$L,'Fluxo de Caixa'!$J:$J,I$3,'Fluxo de Caixa'!$I:$I,Anual!$B$30)</f>
        <v>0</v>
      </c>
      <c r="J30" s="60">
        <f>SUMIFS('Fluxo de Caixa'!$L:$L,'Fluxo de Caixa'!$J:$J,J$3,'Fluxo de Caixa'!$I:$I,Anual!$B$30)</f>
        <v>0</v>
      </c>
      <c r="K30" s="60">
        <f>SUMIFS('Fluxo de Caixa'!$L:$L,'Fluxo de Caixa'!$J:$J,K$3,'Fluxo de Caixa'!$I:$I,Anual!$B$30)</f>
        <v>0</v>
      </c>
      <c r="L30" s="60">
        <f>SUMIFS('Fluxo de Caixa'!$L:$L,'Fluxo de Caixa'!$J:$J,L$3,'Fluxo de Caixa'!$I:$I,Anual!$B$30)</f>
        <v>0</v>
      </c>
      <c r="M30" s="60">
        <f>SUMIFS('Fluxo de Caixa'!$L:$L,'Fluxo de Caixa'!$J:$J,M$3,'Fluxo de Caixa'!$I:$I,Anual!$B$30)</f>
        <v>0</v>
      </c>
      <c r="N30" s="60">
        <f>SUMIFS('Fluxo de Caixa'!$L:$L,'Fluxo de Caixa'!$J:$J,N$3,'Fluxo de Caixa'!$I:$I,Anual!$B$30)</f>
        <v>0</v>
      </c>
      <c r="O30" s="60">
        <f>SUMIFS('Fluxo de Caixa'!$L:$L,'Fluxo de Caixa'!$J:$J,O$3,'Fluxo de Caixa'!$I:$I,Anual!$B$30)</f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B31" s="73" t="s">
        <v>8</v>
      </c>
      <c r="C31" s="74"/>
      <c r="D31" s="75">
        <f t="shared" ref="D31:O31" si="1">SUM(D12:D30)</f>
        <v>0</v>
      </c>
      <c r="E31" s="75">
        <f t="shared" si="1"/>
        <v>0</v>
      </c>
      <c r="F31" s="75">
        <f t="shared" si="1"/>
        <v>0</v>
      </c>
      <c r="G31" s="75">
        <f t="shared" si="1"/>
        <v>0</v>
      </c>
      <c r="H31" s="75">
        <f t="shared" si="1"/>
        <v>0</v>
      </c>
      <c r="I31" s="75">
        <f t="shared" si="1"/>
        <v>0</v>
      </c>
      <c r="J31" s="75">
        <f t="shared" si="1"/>
        <v>0</v>
      </c>
      <c r="K31" s="75">
        <f t="shared" si="1"/>
        <v>0</v>
      </c>
      <c r="L31" s="75">
        <f t="shared" si="1"/>
        <v>0</v>
      </c>
      <c r="M31" s="75">
        <f t="shared" si="1"/>
        <v>0</v>
      </c>
      <c r="N31" s="75">
        <f t="shared" si="1"/>
        <v>0</v>
      </c>
      <c r="O31" s="76">
        <f t="shared" si="1"/>
        <v>452.03</v>
      </c>
      <c r="P31" s="127"/>
      <c r="Q31" s="128"/>
    </row>
    <row r="32" spans="1:26" ht="16.5" hidden="1" customHeight="1">
      <c r="B32" s="77"/>
      <c r="C32" s="67" t="s">
        <v>59</v>
      </c>
      <c r="D32" s="78" t="e">
        <f t="shared" ref="D32:E32" si="2">D31/D8</f>
        <v>#DIV/0!</v>
      </c>
      <c r="E32" s="78" t="e">
        <f t="shared" si="2"/>
        <v>#DIV/0!</v>
      </c>
      <c r="F32" s="78"/>
      <c r="G32" s="78" t="e">
        <f t="shared" ref="G32:O32" si="3">G31/G8</f>
        <v>#DIV/0!</v>
      </c>
      <c r="H32" s="78" t="e">
        <f t="shared" si="3"/>
        <v>#DIV/0!</v>
      </c>
      <c r="I32" s="78" t="e">
        <f t="shared" si="3"/>
        <v>#DIV/0!</v>
      </c>
      <c r="J32" s="78" t="e">
        <f t="shared" si="3"/>
        <v>#DIV/0!</v>
      </c>
      <c r="K32" s="78" t="e">
        <f t="shared" si="3"/>
        <v>#DIV/0!</v>
      </c>
      <c r="L32" s="78" t="e">
        <f t="shared" si="3"/>
        <v>#DIV/0!</v>
      </c>
      <c r="M32" s="78" t="e">
        <f t="shared" si="3"/>
        <v>#DIV/0!</v>
      </c>
      <c r="N32" s="78" t="e">
        <f t="shared" si="3"/>
        <v>#DIV/0!</v>
      </c>
      <c r="O32" s="78">
        <f t="shared" si="3"/>
        <v>0.15067666666666665</v>
      </c>
      <c r="P32" s="128"/>
      <c r="Q32" s="128"/>
    </row>
    <row r="33" spans="1:26" ht="16.5" customHeight="1">
      <c r="B33" s="66" t="s">
        <v>91</v>
      </c>
      <c r="C33" s="7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28"/>
      <c r="Q33" s="128"/>
    </row>
    <row r="34" spans="1:26" ht="16.5" customHeight="1">
      <c r="B34" s="136" t="s">
        <v>60</v>
      </c>
      <c r="C34" s="12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</row>
    <row r="35" spans="1:26" ht="16.5" customHeight="1">
      <c r="B35" s="137"/>
      <c r="C35" s="137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</row>
    <row r="36" spans="1:26" ht="16.5" customHeight="1">
      <c r="B36" s="58" t="s">
        <v>61</v>
      </c>
      <c r="C36" s="59"/>
      <c r="D36" s="60">
        <f>SUMIFS('Fluxo de Caixa'!$R:$R,'Fluxo de Caixa'!$P:$P,D$3,'Fluxo de Caixa'!$O:$O,Anual!$B$36)</f>
        <v>0</v>
      </c>
      <c r="E36" s="60">
        <f>SUMIFS('Fluxo de Caixa'!$R:$R,'Fluxo de Caixa'!$P:$P,E$3,'Fluxo de Caixa'!$O:$O,Anual!$B$36)</f>
        <v>0</v>
      </c>
      <c r="F36" s="60">
        <f>SUMIFS('Fluxo de Caixa'!$R:$R,'Fluxo de Caixa'!$P:$P,F$3,'Fluxo de Caixa'!$O:$O,Anual!$B$36)</f>
        <v>0</v>
      </c>
      <c r="G36" s="60">
        <f>SUMIFS('Fluxo de Caixa'!$R:$R,'Fluxo de Caixa'!$P:$P,G$3,'Fluxo de Caixa'!$O:$O,Anual!$B$36)</f>
        <v>0</v>
      </c>
      <c r="H36" s="60">
        <f>SUMIFS('Fluxo de Caixa'!$R:$R,'Fluxo de Caixa'!$P:$P,H$3,'Fluxo de Caixa'!$O:$O,Anual!$B$36)</f>
        <v>0</v>
      </c>
      <c r="I36" s="60">
        <f>SUMIFS('Fluxo de Caixa'!$R:$R,'Fluxo de Caixa'!$P:$P,I$3,'Fluxo de Caixa'!$O:$O,Anual!$B$36)</f>
        <v>0</v>
      </c>
      <c r="J36" s="60">
        <f>SUMIFS('Fluxo de Caixa'!$R:$R,'Fluxo de Caixa'!$P:$P,J$3,'Fluxo de Caixa'!$O:$O,Anual!$B$36)</f>
        <v>0</v>
      </c>
      <c r="K36" s="60">
        <f>SUMIFS('Fluxo de Caixa'!$R:$R,'Fluxo de Caixa'!$P:$P,K$3,'Fluxo de Caixa'!$O:$O,Anual!$B$36)</f>
        <v>0</v>
      </c>
      <c r="L36" s="60">
        <f>SUMIFS('Fluxo de Caixa'!$R:$R,'Fluxo de Caixa'!$P:$P,L$3,'Fluxo de Caixa'!$O:$O,Anual!$B$36)</f>
        <v>0</v>
      </c>
      <c r="M36" s="60">
        <f>SUMIFS('Fluxo de Caixa'!$R:$R,'Fluxo de Caixa'!$P:$P,M$3,'Fluxo de Caixa'!$O:$O,Anual!$B$36)</f>
        <v>0</v>
      </c>
      <c r="N36" s="60">
        <f>SUMIFS('Fluxo de Caixa'!$R:$R,'Fluxo de Caixa'!$P:$P,N$3,'Fluxo de Caixa'!$O:$O,Anual!$B$36)</f>
        <v>0</v>
      </c>
      <c r="O36" s="60">
        <f>SUMIFS('Fluxo de Caixa'!$R:$R,'Fluxo de Caixa'!$P:$P,O$3,'Fluxo de Caixa'!$O:$O,Anual!$B$36)</f>
        <v>0</v>
      </c>
    </row>
    <row r="37" spans="1:26" ht="16.5" customHeight="1">
      <c r="B37" s="61" t="s">
        <v>62</v>
      </c>
      <c r="C37" s="62"/>
      <c r="D37" s="60">
        <f>SUMIFS('Fluxo de Caixa'!$R:$R,'Fluxo de Caixa'!$P:$P,D$3,'Fluxo de Caixa'!$O:$O,Anual!$B$37)</f>
        <v>15</v>
      </c>
      <c r="E37" s="60">
        <f>SUMIFS('Fluxo de Caixa'!$R:$R,'Fluxo de Caixa'!$P:$P,E$3,'Fluxo de Caixa'!$O:$O,Anual!$B$37)</f>
        <v>0</v>
      </c>
      <c r="F37" s="60">
        <f>SUMIFS('Fluxo de Caixa'!$R:$R,'Fluxo de Caixa'!$P:$P,F$3,'Fluxo de Caixa'!$O:$O,Anual!$B$37)</f>
        <v>0</v>
      </c>
      <c r="G37" s="60">
        <f>SUMIFS('Fluxo de Caixa'!$R:$R,'Fluxo de Caixa'!$P:$P,G$3,'Fluxo de Caixa'!$O:$O,Anual!$B$37)</f>
        <v>0</v>
      </c>
      <c r="H37" s="60">
        <f>SUMIFS('Fluxo de Caixa'!$R:$R,'Fluxo de Caixa'!$P:$P,H$3,'Fluxo de Caixa'!$O:$O,Anual!$B$37)</f>
        <v>0</v>
      </c>
      <c r="I37" s="60">
        <f>SUMIFS('Fluxo de Caixa'!$R:$R,'Fluxo de Caixa'!$P:$P,I$3,'Fluxo de Caixa'!$O:$O,Anual!$B$37)</f>
        <v>0</v>
      </c>
      <c r="J37" s="60">
        <f>SUMIFS('Fluxo de Caixa'!$R:$R,'Fluxo de Caixa'!$P:$P,J$3,'Fluxo de Caixa'!$O:$O,Anual!$B$37)</f>
        <v>0</v>
      </c>
      <c r="K37" s="60">
        <f>SUMIFS('Fluxo de Caixa'!$R:$R,'Fluxo de Caixa'!$P:$P,K$3,'Fluxo de Caixa'!$O:$O,Anual!$B$37)</f>
        <v>0</v>
      </c>
      <c r="L37" s="60">
        <f>SUMIFS('Fluxo de Caixa'!$R:$R,'Fluxo de Caixa'!$P:$P,L$3,'Fluxo de Caixa'!$O:$O,Anual!$B$37)</f>
        <v>0</v>
      </c>
      <c r="M37" s="60">
        <f>SUMIFS('Fluxo de Caixa'!$R:$R,'Fluxo de Caixa'!$P:$P,M$3,'Fluxo de Caixa'!$O:$O,Anual!$B$37)</f>
        <v>0</v>
      </c>
      <c r="N37" s="60">
        <f>SUMIFS('Fluxo de Caixa'!$R:$R,'Fluxo de Caixa'!$P:$P,N$3,'Fluxo de Caixa'!$O:$O,Anual!$B$37)</f>
        <v>0</v>
      </c>
      <c r="O37" s="60">
        <f>SUMIFS('Fluxo de Caixa'!$R:$R,'Fluxo de Caixa'!$P:$P,O$3,'Fluxo de Caixa'!$O:$O,Anual!$B$37)</f>
        <v>0</v>
      </c>
    </row>
    <row r="38" spans="1:26" ht="16.5" customHeight="1">
      <c r="B38" s="61" t="s">
        <v>63</v>
      </c>
      <c r="C38" s="62"/>
      <c r="D38" s="60">
        <f>SUMIFS('Fluxo de Caixa'!$R:$R,'Fluxo de Caixa'!$P:$P,D$3,'Fluxo de Caixa'!$O:$O,Anual!$B$38)</f>
        <v>0</v>
      </c>
      <c r="E38" s="60">
        <f>SUMIFS('Fluxo de Caixa'!$R:$R,'Fluxo de Caixa'!$P:$P,E$3,'Fluxo de Caixa'!$O:$O,Anual!$B$38)</f>
        <v>0</v>
      </c>
      <c r="F38" s="60">
        <f>SUMIFS('Fluxo de Caixa'!$R:$R,'Fluxo de Caixa'!$P:$P,F$3,'Fluxo de Caixa'!$O:$O,Anual!$B$38)</f>
        <v>0</v>
      </c>
      <c r="G38" s="60">
        <f>SUMIFS('Fluxo de Caixa'!$R:$R,'Fluxo de Caixa'!$P:$P,G$3,'Fluxo de Caixa'!$O:$O,Anual!$B$38)</f>
        <v>0</v>
      </c>
      <c r="H38" s="60">
        <f>SUMIFS('Fluxo de Caixa'!$R:$R,'Fluxo de Caixa'!$P:$P,H$3,'Fluxo de Caixa'!$O:$O,Anual!$B$38)</f>
        <v>0</v>
      </c>
      <c r="I38" s="60">
        <f>SUMIFS('Fluxo de Caixa'!$R:$R,'Fluxo de Caixa'!$P:$P,I$3,'Fluxo de Caixa'!$O:$O,Anual!$B$38)</f>
        <v>0</v>
      </c>
      <c r="J38" s="60">
        <f>SUMIFS('Fluxo de Caixa'!$R:$R,'Fluxo de Caixa'!$P:$P,J$3,'Fluxo de Caixa'!$O:$O,Anual!$B$38)</f>
        <v>0</v>
      </c>
      <c r="K38" s="60">
        <f>SUMIFS('Fluxo de Caixa'!$R:$R,'Fluxo de Caixa'!$P:$P,K$3,'Fluxo de Caixa'!$O:$O,Anual!$B$38)</f>
        <v>0</v>
      </c>
      <c r="L38" s="60">
        <f>SUMIFS('Fluxo de Caixa'!$R:$R,'Fluxo de Caixa'!$P:$P,L$3,'Fluxo de Caixa'!$O:$O,Anual!$B$38)</f>
        <v>0</v>
      </c>
      <c r="M38" s="60">
        <f>SUMIFS('Fluxo de Caixa'!$R:$R,'Fluxo de Caixa'!$P:$P,M$3,'Fluxo de Caixa'!$O:$O,Anual!$B$38)</f>
        <v>0</v>
      </c>
      <c r="N38" s="60">
        <f>SUMIFS('Fluxo de Caixa'!$R:$R,'Fluxo de Caixa'!$P:$P,N$3,'Fluxo de Caixa'!$O:$O,Anual!$B$38)</f>
        <v>0</v>
      </c>
      <c r="O38" s="60">
        <f>SUMIFS('Fluxo de Caixa'!$R:$R,'Fluxo de Caixa'!$P:$P,O$3,'Fluxo de Caixa'!$O:$O,Anual!$B$38)</f>
        <v>0</v>
      </c>
    </row>
    <row r="39" spans="1:26" ht="16.5" customHeight="1">
      <c r="B39" s="61" t="s">
        <v>64</v>
      </c>
      <c r="C39" s="62"/>
      <c r="D39" s="60">
        <f>SUMIFS('Fluxo de Caixa'!$R:$R,'Fluxo de Caixa'!$P:$P,D$3,'Fluxo de Caixa'!$O:$O,Anual!$B$39)</f>
        <v>0</v>
      </c>
      <c r="E39" s="60">
        <f>SUMIFS('Fluxo de Caixa'!$R:$R,'Fluxo de Caixa'!$P:$P,E$3,'Fluxo de Caixa'!$O:$O,Anual!$B$39)</f>
        <v>0</v>
      </c>
      <c r="F39" s="60">
        <f>SUMIFS('Fluxo de Caixa'!$R:$R,'Fluxo de Caixa'!$P:$P,F$3,'Fluxo de Caixa'!$O:$O,Anual!$B$39)</f>
        <v>0</v>
      </c>
      <c r="G39" s="60">
        <f>SUMIFS('Fluxo de Caixa'!$R:$R,'Fluxo de Caixa'!$P:$P,G$3,'Fluxo de Caixa'!$O:$O,Anual!$B$39)</f>
        <v>0</v>
      </c>
      <c r="H39" s="60">
        <f>SUMIFS('Fluxo de Caixa'!$R:$R,'Fluxo de Caixa'!$P:$P,H$3,'Fluxo de Caixa'!$O:$O,Anual!$B$39)</f>
        <v>0</v>
      </c>
      <c r="I39" s="60">
        <f>SUMIFS('Fluxo de Caixa'!$R:$R,'Fluxo de Caixa'!$P:$P,I$3,'Fluxo de Caixa'!$O:$O,Anual!$B$39)</f>
        <v>0</v>
      </c>
      <c r="J39" s="60">
        <f>SUMIFS('Fluxo de Caixa'!$R:$R,'Fluxo de Caixa'!$P:$P,J$3,'Fluxo de Caixa'!$O:$O,Anual!$B$39)</f>
        <v>0</v>
      </c>
      <c r="K39" s="60">
        <f>SUMIFS('Fluxo de Caixa'!$R:$R,'Fluxo de Caixa'!$P:$P,K$3,'Fluxo de Caixa'!$O:$O,Anual!$B$39)</f>
        <v>0</v>
      </c>
      <c r="L39" s="60">
        <f>SUMIFS('Fluxo de Caixa'!$R:$R,'Fluxo de Caixa'!$P:$P,L$3,'Fluxo de Caixa'!$O:$O,Anual!$B$39)</f>
        <v>0</v>
      </c>
      <c r="M39" s="60">
        <f>SUMIFS('Fluxo de Caixa'!$R:$R,'Fluxo de Caixa'!$P:$P,M$3,'Fluxo de Caixa'!$O:$O,Anual!$B$39)</f>
        <v>0</v>
      </c>
      <c r="N39" s="60">
        <f>SUMIFS('Fluxo de Caixa'!$R:$R,'Fluxo de Caixa'!$P:$P,N$3,'Fluxo de Caixa'!$O:$O,Anual!$B$39)</f>
        <v>0</v>
      </c>
      <c r="O39" s="60">
        <f>SUMIFS('Fluxo de Caixa'!$R:$R,'Fluxo de Caixa'!$P:$P,O$3,'Fluxo de Caixa'!$O:$O,Anual!$B$39)</f>
        <v>0</v>
      </c>
    </row>
    <row r="40" spans="1:26" ht="16.5" customHeight="1">
      <c r="A40" s="3"/>
      <c r="B40" s="72" t="s">
        <v>65</v>
      </c>
      <c r="C40" s="71"/>
      <c r="D40" s="60">
        <f>SUMIFS('Fluxo de Caixa'!$R:$R,'Fluxo de Caixa'!$P:$P,D$3,'Fluxo de Caixa'!$O:$O,Anual!$B$40)</f>
        <v>0</v>
      </c>
      <c r="E40" s="60">
        <f>SUMIFS('Fluxo de Caixa'!$R:$R,'Fluxo de Caixa'!$P:$P,E$3,'Fluxo de Caixa'!$O:$O,Anual!$B$40)</f>
        <v>0</v>
      </c>
      <c r="F40" s="60">
        <f>SUMIFS('Fluxo de Caixa'!$R:$R,'Fluxo de Caixa'!$P:$P,F$3,'Fluxo de Caixa'!$O:$O,Anual!$B$40)</f>
        <v>0</v>
      </c>
      <c r="G40" s="60">
        <f>SUMIFS('Fluxo de Caixa'!$R:$R,'Fluxo de Caixa'!$P:$P,G$3,'Fluxo de Caixa'!$O:$O,Anual!$B$40)</f>
        <v>0</v>
      </c>
      <c r="H40" s="60">
        <f>SUMIFS('Fluxo de Caixa'!$R:$R,'Fluxo de Caixa'!$P:$P,H$3,'Fluxo de Caixa'!$O:$O,Anual!$B$40)</f>
        <v>0</v>
      </c>
      <c r="I40" s="60">
        <f>SUMIFS('Fluxo de Caixa'!$R:$R,'Fluxo de Caixa'!$P:$P,I$3,'Fluxo de Caixa'!$O:$O,Anual!$B$40)</f>
        <v>0</v>
      </c>
      <c r="J40" s="60">
        <f>SUMIFS('Fluxo de Caixa'!$R:$R,'Fluxo de Caixa'!$P:$P,J$3,'Fluxo de Caixa'!$O:$O,Anual!$B$40)</f>
        <v>0</v>
      </c>
      <c r="K40" s="60">
        <f>SUMIFS('Fluxo de Caixa'!$R:$R,'Fluxo de Caixa'!$P:$P,K$3,'Fluxo de Caixa'!$O:$O,Anual!$B$40)</f>
        <v>0</v>
      </c>
      <c r="L40" s="60">
        <f>SUMIFS('Fluxo de Caixa'!$R:$R,'Fluxo de Caixa'!$P:$P,L$3,'Fluxo de Caixa'!$O:$O,Anual!$B$40)</f>
        <v>0</v>
      </c>
      <c r="M40" s="60">
        <f>SUMIFS('Fluxo de Caixa'!$R:$R,'Fluxo de Caixa'!$P:$P,M$3,'Fluxo de Caixa'!$O:$O,Anual!$B$40)</f>
        <v>0</v>
      </c>
      <c r="N40" s="60">
        <f>SUMIFS('Fluxo de Caixa'!$R:$R,'Fluxo de Caixa'!$P:$P,N$3,'Fluxo de Caixa'!$O:$O,Anual!$B$40)</f>
        <v>0</v>
      </c>
      <c r="O40" s="60">
        <f>SUMIFS('Fluxo de Caixa'!$R:$R,'Fluxo de Caixa'!$P:$P,O$3,'Fluxo de Caixa'!$O:$O,Anual!$B$40)</f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72" t="s">
        <v>66</v>
      </c>
      <c r="C41" s="71"/>
      <c r="D41" s="60">
        <f>SUMIFS('Fluxo de Caixa'!$R:$R,'Fluxo de Caixa'!$P:$P,D$3,'Fluxo de Caixa'!$O:$O,Anual!$B$41)</f>
        <v>0</v>
      </c>
      <c r="E41" s="60">
        <f>SUMIFS('Fluxo de Caixa'!$R:$R,'Fluxo de Caixa'!$P:$P,E$3,'Fluxo de Caixa'!$O:$O,Anual!$B$41)</f>
        <v>0</v>
      </c>
      <c r="F41" s="60">
        <f>SUMIFS('Fluxo de Caixa'!$R:$R,'Fluxo de Caixa'!$P:$P,F$3,'Fluxo de Caixa'!$O:$O,Anual!$B$41)</f>
        <v>0</v>
      </c>
      <c r="G41" s="60">
        <f>SUMIFS('Fluxo de Caixa'!$R:$R,'Fluxo de Caixa'!$P:$P,G$3,'Fluxo de Caixa'!$O:$O,Anual!$B$41)</f>
        <v>0</v>
      </c>
      <c r="H41" s="60">
        <f>SUMIFS('Fluxo de Caixa'!$R:$R,'Fluxo de Caixa'!$P:$P,H$3,'Fluxo de Caixa'!$O:$O,Anual!$B$41)</f>
        <v>0</v>
      </c>
      <c r="I41" s="60">
        <f>SUMIFS('Fluxo de Caixa'!$R:$R,'Fluxo de Caixa'!$P:$P,I$3,'Fluxo de Caixa'!$O:$O,Anual!$B$41)</f>
        <v>0</v>
      </c>
      <c r="J41" s="60">
        <f>SUMIFS('Fluxo de Caixa'!$R:$R,'Fluxo de Caixa'!$P:$P,J$3,'Fluxo de Caixa'!$O:$O,Anual!$B$41)</f>
        <v>0</v>
      </c>
      <c r="K41" s="60">
        <f>SUMIFS('Fluxo de Caixa'!$R:$R,'Fluxo de Caixa'!$P:$P,K$3,'Fluxo de Caixa'!$O:$O,Anual!$B$41)</f>
        <v>0</v>
      </c>
      <c r="L41" s="60">
        <f>SUMIFS('Fluxo de Caixa'!$R:$R,'Fluxo de Caixa'!$P:$P,L$3,'Fluxo de Caixa'!$O:$O,Anual!$B$41)</f>
        <v>0</v>
      </c>
      <c r="M41" s="60">
        <f>SUMIFS('Fluxo de Caixa'!$R:$R,'Fluxo de Caixa'!$P:$P,M$3,'Fluxo de Caixa'!$O:$O,Anual!$B$41)</f>
        <v>0</v>
      </c>
      <c r="N41" s="60">
        <f>SUMIFS('Fluxo de Caixa'!$R:$R,'Fluxo de Caixa'!$P:$P,N$3,'Fluxo de Caixa'!$O:$O,Anual!$B$41)</f>
        <v>0</v>
      </c>
      <c r="O41" s="60">
        <f>SUMIFS('Fluxo de Caixa'!$R:$R,'Fluxo de Caixa'!$P:$P,O$3,'Fluxo de Caixa'!$O:$O,Anual!$B$41)</f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72" t="s">
        <v>36</v>
      </c>
      <c r="C42" s="71"/>
      <c r="D42" s="60">
        <f>SUMIFS('Fluxo de Caixa'!$R:$R,'Fluxo de Caixa'!$P:$P,D$3,'Fluxo de Caixa'!$O:$O,Anual!$B$42)</f>
        <v>0</v>
      </c>
      <c r="E42" s="60">
        <f>SUMIFS('Fluxo de Caixa'!$R:$R,'Fluxo de Caixa'!$P:$P,E$3,'Fluxo de Caixa'!$O:$O,Anual!$B$42)</f>
        <v>0</v>
      </c>
      <c r="F42" s="60">
        <f>SUMIFS('Fluxo de Caixa'!$R:$R,'Fluxo de Caixa'!$P:$P,F$3,'Fluxo de Caixa'!$O:$O,Anual!$B$42)</f>
        <v>0</v>
      </c>
      <c r="G42" s="60">
        <f>SUMIFS('Fluxo de Caixa'!$R:$R,'Fluxo de Caixa'!$P:$P,G$3,'Fluxo de Caixa'!$O:$O,Anual!$B$42)</f>
        <v>0</v>
      </c>
      <c r="H42" s="60">
        <f>SUMIFS('Fluxo de Caixa'!$R:$R,'Fluxo de Caixa'!$P:$P,H$3,'Fluxo de Caixa'!$O:$O,Anual!$B$42)</f>
        <v>0</v>
      </c>
      <c r="I42" s="60">
        <f>SUMIFS('Fluxo de Caixa'!$R:$R,'Fluxo de Caixa'!$P:$P,I$3,'Fluxo de Caixa'!$O:$O,Anual!$B$42)</f>
        <v>0</v>
      </c>
      <c r="J42" s="60">
        <f>SUMIFS('Fluxo de Caixa'!$R:$R,'Fluxo de Caixa'!$P:$P,J$3,'Fluxo de Caixa'!$O:$O,Anual!$B$42)</f>
        <v>0</v>
      </c>
      <c r="K42" s="60">
        <f>SUMIFS('Fluxo de Caixa'!$R:$R,'Fluxo de Caixa'!$P:$P,K$3,'Fluxo de Caixa'!$O:$O,Anual!$B$42)</f>
        <v>0</v>
      </c>
      <c r="L42" s="60">
        <f>SUMIFS('Fluxo de Caixa'!$R:$R,'Fluxo de Caixa'!$P:$P,L$3,'Fluxo de Caixa'!$O:$O,Anual!$B$42)</f>
        <v>0</v>
      </c>
      <c r="M42" s="60">
        <f>SUMIFS('Fluxo de Caixa'!$R:$R,'Fluxo de Caixa'!$P:$P,M$3,'Fluxo de Caixa'!$O:$O,Anual!$B$42)</f>
        <v>0</v>
      </c>
      <c r="N42" s="60">
        <f>SUMIFS('Fluxo de Caixa'!$R:$R,'Fluxo de Caixa'!$P:$P,N$3,'Fluxo de Caixa'!$O:$O,Anual!$B$42)</f>
        <v>0</v>
      </c>
      <c r="O42" s="60">
        <f>SUMIFS('Fluxo de Caixa'!$R:$R,'Fluxo de Caixa'!$P:$P,O$3,'Fluxo de Caixa'!$O:$O,Anual!$B$42)</f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72" t="s">
        <v>67</v>
      </c>
      <c r="C43" s="71"/>
      <c r="D43" s="60">
        <f>SUMIFS('Fluxo de Caixa'!$R:$R,'Fluxo de Caixa'!$P:$P,D$3,'Fluxo de Caixa'!$O:$O,Anual!$B$43)</f>
        <v>0</v>
      </c>
      <c r="E43" s="60">
        <f>SUMIFS('Fluxo de Caixa'!$R:$R,'Fluxo de Caixa'!$P:$P,E$3,'Fluxo de Caixa'!$O:$O,Anual!$B$43)</f>
        <v>0</v>
      </c>
      <c r="F43" s="60">
        <f>SUMIFS('Fluxo de Caixa'!$R:$R,'Fluxo de Caixa'!$P:$P,F$3,'Fluxo de Caixa'!$O:$O,Anual!$B$43)</f>
        <v>0</v>
      </c>
      <c r="G43" s="60">
        <f>SUMIFS('Fluxo de Caixa'!$R:$R,'Fluxo de Caixa'!$P:$P,G$3,'Fluxo de Caixa'!$O:$O,Anual!$B$43)</f>
        <v>0</v>
      </c>
      <c r="H43" s="60">
        <f>SUMIFS('Fluxo de Caixa'!$R:$R,'Fluxo de Caixa'!$P:$P,H$3,'Fluxo de Caixa'!$O:$O,Anual!$B$43)</f>
        <v>0</v>
      </c>
      <c r="I43" s="60">
        <f>SUMIFS('Fluxo de Caixa'!$R:$R,'Fluxo de Caixa'!$P:$P,I$3,'Fluxo de Caixa'!$O:$O,Anual!$B$43)</f>
        <v>0</v>
      </c>
      <c r="J43" s="60">
        <f>SUMIFS('Fluxo de Caixa'!$R:$R,'Fluxo de Caixa'!$P:$P,J$3,'Fluxo de Caixa'!$O:$O,Anual!$B$43)</f>
        <v>0</v>
      </c>
      <c r="K43" s="60">
        <f>SUMIFS('Fluxo de Caixa'!$R:$R,'Fluxo de Caixa'!$P:$P,K$3,'Fluxo de Caixa'!$O:$O,Anual!$B$43)</f>
        <v>0</v>
      </c>
      <c r="L43" s="60">
        <f>SUMIFS('Fluxo de Caixa'!$R:$R,'Fluxo de Caixa'!$P:$P,L$3,'Fluxo de Caixa'!$O:$O,Anual!$B$43)</f>
        <v>0</v>
      </c>
      <c r="M43" s="60">
        <f>SUMIFS('Fluxo de Caixa'!$R:$R,'Fluxo de Caixa'!$P:$P,M$3,'Fluxo de Caixa'!$O:$O,Anual!$B$43)</f>
        <v>0</v>
      </c>
      <c r="N43" s="60">
        <f>SUMIFS('Fluxo de Caixa'!$R:$R,'Fluxo de Caixa'!$P:$P,N$3,'Fluxo de Caixa'!$O:$O,Anual!$B$43)</f>
        <v>0</v>
      </c>
      <c r="O43" s="60">
        <f>SUMIFS('Fluxo de Caixa'!$R:$R,'Fluxo de Caixa'!$P:$P,O$3,'Fluxo de Caixa'!$O:$O,Anual!$B$43)</f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B44" s="73" t="s">
        <v>68</v>
      </c>
      <c r="C44" s="74"/>
      <c r="D44" s="75">
        <f t="shared" ref="D44:O44" si="4">SUM(D36:D43)</f>
        <v>15</v>
      </c>
      <c r="E44" s="75">
        <f t="shared" si="4"/>
        <v>0</v>
      </c>
      <c r="F44" s="75">
        <f t="shared" si="4"/>
        <v>0</v>
      </c>
      <c r="G44" s="75">
        <f t="shared" si="4"/>
        <v>0</v>
      </c>
      <c r="H44" s="75">
        <f t="shared" si="4"/>
        <v>0</v>
      </c>
      <c r="I44" s="75">
        <f t="shared" si="4"/>
        <v>0</v>
      </c>
      <c r="J44" s="75">
        <f t="shared" si="4"/>
        <v>0</v>
      </c>
      <c r="K44" s="75">
        <f t="shared" si="4"/>
        <v>0</v>
      </c>
      <c r="L44" s="75">
        <f t="shared" si="4"/>
        <v>0</v>
      </c>
      <c r="M44" s="75">
        <f t="shared" si="4"/>
        <v>0</v>
      </c>
      <c r="N44" s="75">
        <f t="shared" si="4"/>
        <v>0</v>
      </c>
      <c r="O44" s="76">
        <f t="shared" si="4"/>
        <v>0</v>
      </c>
      <c r="P44" s="127"/>
      <c r="Q44" s="128"/>
    </row>
    <row r="45" spans="1:26" ht="16.5" hidden="1" customHeight="1">
      <c r="B45" s="77"/>
      <c r="C45" s="67" t="s">
        <v>69</v>
      </c>
      <c r="D45" s="78" t="e">
        <f t="shared" ref="D45:E45" si="5">D44/D8</f>
        <v>#DIV/0!</v>
      </c>
      <c r="E45" s="78" t="e">
        <f t="shared" si="5"/>
        <v>#DIV/0!</v>
      </c>
      <c r="F45" s="78"/>
      <c r="G45" s="78" t="e">
        <f t="shared" ref="G45:O45" si="6">G44/G8</f>
        <v>#DIV/0!</v>
      </c>
      <c r="H45" s="78" t="e">
        <f t="shared" si="6"/>
        <v>#DIV/0!</v>
      </c>
      <c r="I45" s="78" t="e">
        <f t="shared" si="6"/>
        <v>#DIV/0!</v>
      </c>
      <c r="J45" s="78" t="e">
        <f t="shared" si="6"/>
        <v>#DIV/0!</v>
      </c>
      <c r="K45" s="78" t="e">
        <f t="shared" si="6"/>
        <v>#DIV/0!</v>
      </c>
      <c r="L45" s="78" t="e">
        <f t="shared" si="6"/>
        <v>#DIV/0!</v>
      </c>
      <c r="M45" s="78" t="e">
        <f t="shared" si="6"/>
        <v>#DIV/0!</v>
      </c>
      <c r="N45" s="78" t="e">
        <f t="shared" si="6"/>
        <v>#DIV/0!</v>
      </c>
      <c r="O45" s="78">
        <f t="shared" si="6"/>
        <v>0</v>
      </c>
      <c r="P45" s="128"/>
      <c r="Q45" s="128"/>
    </row>
    <row r="46" spans="1:26" ht="16.5" customHeight="1">
      <c r="B46" s="66" t="s">
        <v>91</v>
      </c>
      <c r="C46" s="79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128"/>
      <c r="Q46" s="128"/>
    </row>
    <row r="47" spans="1:26" ht="16.5" customHeight="1">
      <c r="B47" s="136" t="s">
        <v>70</v>
      </c>
      <c r="C47" s="12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</row>
    <row r="48" spans="1:26" ht="16.5" customHeight="1">
      <c r="B48" s="137"/>
      <c r="C48" s="13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 spans="1:26" ht="16.5" customHeight="1">
      <c r="A49" s="80"/>
      <c r="B49" s="81" t="s">
        <v>71</v>
      </c>
      <c r="C49" s="82"/>
      <c r="D49" s="60">
        <f>SUMIFS('Fluxo de Caixa'!$X:$X,'Fluxo de Caixa'!$V:$V,D$3,'Fluxo de Caixa'!$U:$U,Anual!$B$49)</f>
        <v>0</v>
      </c>
      <c r="E49" s="60">
        <f>SUMIFS('Fluxo de Caixa'!$X:$X,'Fluxo de Caixa'!$V:$V,E$3,'Fluxo de Caixa'!$U:$U,Anual!$B$49)</f>
        <v>0</v>
      </c>
      <c r="F49" s="60">
        <f>SUMIFS('Fluxo de Caixa'!$X:$X,'Fluxo de Caixa'!$V:$V,F$3,'Fluxo de Caixa'!$U:$U,Anual!$B$49)</f>
        <v>0</v>
      </c>
      <c r="G49" s="60">
        <f>SUMIFS('Fluxo de Caixa'!$X:$X,'Fluxo de Caixa'!$V:$V,G$3,'Fluxo de Caixa'!$U:$U,Anual!$B$49)</f>
        <v>0</v>
      </c>
      <c r="H49" s="60">
        <f>SUMIFS('Fluxo de Caixa'!$X:$X,'Fluxo de Caixa'!$V:$V,H$3,'Fluxo de Caixa'!$U:$U,Anual!$B$49)</f>
        <v>0</v>
      </c>
      <c r="I49" s="60">
        <f>SUMIFS('Fluxo de Caixa'!$X:$X,'Fluxo de Caixa'!$V:$V,I$3,'Fluxo de Caixa'!$U:$U,Anual!$B$49)</f>
        <v>0</v>
      </c>
      <c r="J49" s="60">
        <f>SUMIFS('Fluxo de Caixa'!$X:$X,'Fluxo de Caixa'!$V:$V,J$3,'Fluxo de Caixa'!$U:$U,Anual!$B$49)</f>
        <v>0</v>
      </c>
      <c r="K49" s="60">
        <f>SUMIFS('Fluxo de Caixa'!$X:$X,'Fluxo de Caixa'!$V:$V,K$3,'Fluxo de Caixa'!$U:$U,Anual!$B$49)</f>
        <v>0</v>
      </c>
      <c r="L49" s="60">
        <f>SUMIFS('Fluxo de Caixa'!$X:$X,'Fluxo de Caixa'!$V:$V,L$3,'Fluxo de Caixa'!$U:$U,Anual!$B$49)</f>
        <v>0</v>
      </c>
      <c r="M49" s="60">
        <f>SUMIFS('Fluxo de Caixa'!$X:$X,'Fluxo de Caixa'!$V:$V,M$3,'Fluxo de Caixa'!$U:$U,Anual!$B$49)</f>
        <v>0</v>
      </c>
      <c r="N49" s="60">
        <f>SUMIFS('Fluxo de Caixa'!$X:$X,'Fluxo de Caixa'!$V:$V,N$3,'Fluxo de Caixa'!$U:$U,Anual!$B$49)</f>
        <v>0</v>
      </c>
      <c r="O49" s="60">
        <f>SUMIFS('Fluxo de Caixa'!$X:$X,'Fluxo de Caixa'!$V:$V,O$3,'Fluxo de Caixa'!$U:$U,Anual!$B$49)</f>
        <v>200</v>
      </c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6.5" customHeight="1">
      <c r="A50" s="80"/>
      <c r="B50" s="81" t="s">
        <v>72</v>
      </c>
      <c r="C50" s="82"/>
      <c r="D50" s="60">
        <f>SUMIFS('Fluxo de Caixa'!$X:$X,'Fluxo de Caixa'!$V:$V,D$3,'Fluxo de Caixa'!$U:$U,Anual!$B$50)</f>
        <v>0</v>
      </c>
      <c r="E50" s="60">
        <f>SUMIFS('Fluxo de Caixa'!$X:$X,'Fluxo de Caixa'!$V:$V,E$3,'Fluxo de Caixa'!$U:$U,Anual!$B$50)</f>
        <v>0</v>
      </c>
      <c r="F50" s="60">
        <f>SUMIFS('Fluxo de Caixa'!$X:$X,'Fluxo de Caixa'!$V:$V,F$3,'Fluxo de Caixa'!$U:$U,Anual!$B$50)</f>
        <v>0</v>
      </c>
      <c r="G50" s="60">
        <f>SUMIFS('Fluxo de Caixa'!$X:$X,'Fluxo de Caixa'!$V:$V,G$3,'Fluxo de Caixa'!$U:$U,Anual!$B$50)</f>
        <v>0</v>
      </c>
      <c r="H50" s="60">
        <f>SUMIFS('Fluxo de Caixa'!$X:$X,'Fluxo de Caixa'!$V:$V,H$3,'Fluxo de Caixa'!$U:$U,Anual!$B$50)</f>
        <v>0</v>
      </c>
      <c r="I50" s="60">
        <f>SUMIFS('Fluxo de Caixa'!$X:$X,'Fluxo de Caixa'!$V:$V,I$3,'Fluxo de Caixa'!$U:$U,Anual!$B$50)</f>
        <v>0</v>
      </c>
      <c r="J50" s="60">
        <f>SUMIFS('Fluxo de Caixa'!$X:$X,'Fluxo de Caixa'!$V:$V,J$3,'Fluxo de Caixa'!$U:$U,Anual!$B$50)</f>
        <v>0</v>
      </c>
      <c r="K50" s="60">
        <f>SUMIFS('Fluxo de Caixa'!$X:$X,'Fluxo de Caixa'!$V:$V,K$3,'Fluxo de Caixa'!$U:$U,Anual!$B$50)</f>
        <v>0</v>
      </c>
      <c r="L50" s="60">
        <f>SUMIFS('Fluxo de Caixa'!$X:$X,'Fluxo de Caixa'!$V:$V,L$3,'Fluxo de Caixa'!$U:$U,Anual!$B$50)</f>
        <v>0</v>
      </c>
      <c r="M50" s="60">
        <f>SUMIFS('Fluxo de Caixa'!$X:$X,'Fluxo de Caixa'!$V:$V,M$3,'Fluxo de Caixa'!$U:$U,Anual!$B$50)</f>
        <v>0</v>
      </c>
      <c r="N50" s="60">
        <f>SUMIFS('Fluxo de Caixa'!$X:$X,'Fluxo de Caixa'!$V:$V,N$3,'Fluxo de Caixa'!$U:$U,Anual!$B$50)</f>
        <v>0</v>
      </c>
      <c r="O50" s="60">
        <f>SUMIFS('Fluxo de Caixa'!$X:$X,'Fluxo de Caixa'!$V:$V,O$3,'Fluxo de Caixa'!$U:$U,Anual!$B$50)</f>
        <v>0</v>
      </c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6.5" customHeight="1">
      <c r="A51" s="83"/>
      <c r="B51" s="84" t="s">
        <v>73</v>
      </c>
      <c r="C51" s="84"/>
      <c r="D51" s="60">
        <f>SUMIFS('Fluxo de Caixa'!$X:$X,'Fluxo de Caixa'!$V:$V,D$3,'Fluxo de Caixa'!$U:$U,Anual!$B$51)</f>
        <v>0</v>
      </c>
      <c r="E51" s="60">
        <f>SUMIFS('Fluxo de Caixa'!$X:$X,'Fluxo de Caixa'!$V:$V,E$3,'Fluxo de Caixa'!$U:$U,Anual!$B$51)</f>
        <v>0</v>
      </c>
      <c r="F51" s="60">
        <f>SUMIFS('Fluxo de Caixa'!$X:$X,'Fluxo de Caixa'!$V:$V,F$3,'Fluxo de Caixa'!$U:$U,Anual!$B$51)</f>
        <v>0</v>
      </c>
      <c r="G51" s="60">
        <f>SUMIFS('Fluxo de Caixa'!$X:$X,'Fluxo de Caixa'!$V:$V,G$3,'Fluxo de Caixa'!$U:$U,Anual!$B$51)</f>
        <v>0</v>
      </c>
      <c r="H51" s="60">
        <f>SUMIFS('Fluxo de Caixa'!$X:$X,'Fluxo de Caixa'!$V:$V,H$3,'Fluxo de Caixa'!$U:$U,Anual!$B$51)</f>
        <v>0</v>
      </c>
      <c r="I51" s="60">
        <f>SUMIFS('Fluxo de Caixa'!$X:$X,'Fluxo de Caixa'!$V:$V,I$3,'Fluxo de Caixa'!$U:$U,Anual!$B$51)</f>
        <v>0</v>
      </c>
      <c r="J51" s="60">
        <f>SUMIFS('Fluxo de Caixa'!$X:$X,'Fluxo de Caixa'!$V:$V,J$3,'Fluxo de Caixa'!$U:$U,Anual!$B$51)</f>
        <v>0</v>
      </c>
      <c r="K51" s="60">
        <f>SUMIFS('Fluxo de Caixa'!$X:$X,'Fluxo de Caixa'!$V:$V,K$3,'Fluxo de Caixa'!$U:$U,Anual!$B$51)</f>
        <v>0</v>
      </c>
      <c r="L51" s="60">
        <f>SUMIFS('Fluxo de Caixa'!$X:$X,'Fluxo de Caixa'!$V:$V,L$3,'Fluxo de Caixa'!$U:$U,Anual!$B$51)</f>
        <v>0</v>
      </c>
      <c r="M51" s="60">
        <f>SUMIFS('Fluxo de Caixa'!$X:$X,'Fluxo de Caixa'!$V:$V,M$3,'Fluxo de Caixa'!$U:$U,Anual!$B$51)</f>
        <v>0</v>
      </c>
      <c r="N51" s="60">
        <f>SUMIFS('Fluxo de Caixa'!$X:$X,'Fluxo de Caixa'!$V:$V,N$3,'Fluxo de Caixa'!$U:$U,Anual!$B$51)</f>
        <v>0</v>
      </c>
      <c r="O51" s="60">
        <f>SUMIFS('Fluxo de Caixa'!$X:$X,'Fluxo de Caixa'!$V:$V,O$3,'Fluxo de Caixa'!$U:$U,Anual!$B$51)</f>
        <v>0</v>
      </c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6.5" customHeight="1">
      <c r="A52" s="85"/>
      <c r="B52" s="86" t="s">
        <v>74</v>
      </c>
      <c r="C52" s="86"/>
      <c r="D52" s="60">
        <f>SUMIFS('Fluxo de Caixa'!$X:$X,'Fluxo de Caixa'!$V:$V,D$3,'Fluxo de Caixa'!$U:$U,Anual!$B$52)</f>
        <v>0</v>
      </c>
      <c r="E52" s="60">
        <f>SUMIFS('Fluxo de Caixa'!$X:$X,'Fluxo de Caixa'!$V:$V,E$3,'Fluxo de Caixa'!$U:$U,Anual!$B$52)</f>
        <v>0</v>
      </c>
      <c r="F52" s="60">
        <f>SUMIFS('Fluxo de Caixa'!$X:$X,'Fluxo de Caixa'!$V:$V,F$3,'Fluxo de Caixa'!$U:$U,Anual!$B$52)</f>
        <v>0</v>
      </c>
      <c r="G52" s="60">
        <f>SUMIFS('Fluxo de Caixa'!$X:$X,'Fluxo de Caixa'!$V:$V,G$3,'Fluxo de Caixa'!$U:$U,Anual!$B$52)</f>
        <v>0</v>
      </c>
      <c r="H52" s="60">
        <f>SUMIFS('Fluxo de Caixa'!$X:$X,'Fluxo de Caixa'!$V:$V,H$3,'Fluxo de Caixa'!$U:$U,Anual!$B$52)</f>
        <v>0</v>
      </c>
      <c r="I52" s="60">
        <f>SUMIFS('Fluxo de Caixa'!$X:$X,'Fluxo de Caixa'!$V:$V,I$3,'Fluxo de Caixa'!$U:$U,Anual!$B$52)</f>
        <v>0</v>
      </c>
      <c r="J52" s="60">
        <f>SUMIFS('Fluxo de Caixa'!$X:$X,'Fluxo de Caixa'!$V:$V,J$3,'Fluxo de Caixa'!$U:$U,Anual!$B$52)</f>
        <v>0</v>
      </c>
      <c r="K52" s="60">
        <f>SUMIFS('Fluxo de Caixa'!$X:$X,'Fluxo de Caixa'!$V:$V,K$3,'Fluxo de Caixa'!$U:$U,Anual!$B$52)</f>
        <v>0</v>
      </c>
      <c r="L52" s="60">
        <f>SUMIFS('Fluxo de Caixa'!$X:$X,'Fluxo de Caixa'!$V:$V,L$3,'Fluxo de Caixa'!$U:$U,Anual!$B$52)</f>
        <v>0</v>
      </c>
      <c r="M52" s="60">
        <f>SUMIFS('Fluxo de Caixa'!$X:$X,'Fluxo de Caixa'!$V:$V,M$3,'Fluxo de Caixa'!$U:$U,Anual!$B$52)</f>
        <v>0</v>
      </c>
      <c r="N52" s="60">
        <f>SUMIFS('Fluxo de Caixa'!$X:$X,'Fluxo de Caixa'!$V:$V,N$3,'Fluxo de Caixa'!$U:$U,Anual!$B$52)</f>
        <v>0</v>
      </c>
      <c r="O52" s="60">
        <f>SUMIFS('Fluxo de Caixa'!$X:$X,'Fluxo de Caixa'!$V:$V,O$3,'Fluxo de Caixa'!$U:$U,Anual!$B$52)</f>
        <v>0</v>
      </c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6.5" customHeight="1">
      <c r="B53" s="66" t="s">
        <v>91</v>
      </c>
      <c r="C53" s="67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</row>
    <row r="54" spans="1:26" ht="16.5" customHeight="1">
      <c r="A54" s="3"/>
      <c r="B54" s="136" t="s">
        <v>75</v>
      </c>
      <c r="C54" s="12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137"/>
      <c r="C55" s="13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81" t="s">
        <v>76</v>
      </c>
      <c r="C56" s="82"/>
      <c r="D56" s="60">
        <f t="shared" ref="D56:O56" si="7">D31+D44+D49+D50</f>
        <v>15</v>
      </c>
      <c r="E56" s="60">
        <f t="shared" si="7"/>
        <v>0</v>
      </c>
      <c r="F56" s="60">
        <f t="shared" si="7"/>
        <v>0</v>
      </c>
      <c r="G56" s="60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60">
        <f t="shared" si="7"/>
        <v>0</v>
      </c>
      <c r="N56" s="60">
        <f t="shared" si="7"/>
        <v>0</v>
      </c>
      <c r="O56" s="60">
        <f t="shared" si="7"/>
        <v>652.03</v>
      </c>
      <c r="P56" s="129" t="s">
        <v>77</v>
      </c>
      <c r="Q56" s="128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81" t="s">
        <v>78</v>
      </c>
      <c r="C57" s="82"/>
      <c r="D57" s="60">
        <f t="shared" ref="D57:O57" si="8">D8-D56</f>
        <v>-15</v>
      </c>
      <c r="E57" s="60">
        <f t="shared" si="8"/>
        <v>0</v>
      </c>
      <c r="F57" s="60">
        <f t="shared" si="8"/>
        <v>0</v>
      </c>
      <c r="G57" s="60">
        <f t="shared" si="8"/>
        <v>0</v>
      </c>
      <c r="H57" s="60">
        <f t="shared" si="8"/>
        <v>0</v>
      </c>
      <c r="I57" s="60">
        <f t="shared" si="8"/>
        <v>0</v>
      </c>
      <c r="J57" s="60">
        <f t="shared" si="8"/>
        <v>0</v>
      </c>
      <c r="K57" s="60">
        <f t="shared" si="8"/>
        <v>0</v>
      </c>
      <c r="L57" s="60">
        <f t="shared" si="8"/>
        <v>0</v>
      </c>
      <c r="M57" s="60">
        <f t="shared" si="8"/>
        <v>0</v>
      </c>
      <c r="N57" s="60">
        <f t="shared" si="8"/>
        <v>0</v>
      </c>
      <c r="O57" s="60">
        <f t="shared" si="8"/>
        <v>2347.9700000000003</v>
      </c>
      <c r="P57" s="128"/>
      <c r="Q57" s="128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81" t="s">
        <v>79</v>
      </c>
      <c r="C58" s="82"/>
      <c r="D58" s="87" t="e">
        <f t="shared" ref="D58:O58" si="9">D57/D8</f>
        <v>#DIV/0!</v>
      </c>
      <c r="E58" s="87" t="e">
        <f t="shared" si="9"/>
        <v>#DIV/0!</v>
      </c>
      <c r="F58" s="87" t="e">
        <f t="shared" si="9"/>
        <v>#DIV/0!</v>
      </c>
      <c r="G58" s="87" t="e">
        <f t="shared" si="9"/>
        <v>#DIV/0!</v>
      </c>
      <c r="H58" s="87" t="e">
        <f t="shared" si="9"/>
        <v>#DIV/0!</v>
      </c>
      <c r="I58" s="87" t="e">
        <f t="shared" si="9"/>
        <v>#DIV/0!</v>
      </c>
      <c r="J58" s="87" t="e">
        <f t="shared" si="9"/>
        <v>#DIV/0!</v>
      </c>
      <c r="K58" s="87" t="e">
        <f t="shared" si="9"/>
        <v>#DIV/0!</v>
      </c>
      <c r="L58" s="87" t="e">
        <f t="shared" si="9"/>
        <v>#DIV/0!</v>
      </c>
      <c r="M58" s="87" t="e">
        <f t="shared" si="9"/>
        <v>#DIV/0!</v>
      </c>
      <c r="N58" s="87" t="e">
        <f t="shared" si="9"/>
        <v>#DIV/0!</v>
      </c>
      <c r="O58" s="87">
        <f t="shared" si="9"/>
        <v>0.78265666666666678</v>
      </c>
      <c r="P58" s="128"/>
      <c r="Q58" s="128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66" t="s">
        <v>38</v>
      </c>
      <c r="C59" s="67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88"/>
      <c r="C60" s="67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P44:Q46"/>
    <mergeCell ref="P56:Q58"/>
    <mergeCell ref="B1:O2"/>
    <mergeCell ref="B3:C4"/>
    <mergeCell ref="B10:C11"/>
    <mergeCell ref="P31:Q33"/>
    <mergeCell ref="B34:C35"/>
    <mergeCell ref="B47:C48"/>
    <mergeCell ref="B54:C55"/>
  </mergeCells>
  <pageMargins left="0.511811024" right="0.511811024" top="0.78740157499999996" bottom="0.78740157499999996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Fluxo de Caixa</vt:lpstr>
      <vt:lpstr>Acompanhamento</vt:lpstr>
      <vt:lpstr>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Sá Cortez</dc:creator>
  <cp:lastModifiedBy>Ted Jordao Duarte</cp:lastModifiedBy>
  <dcterms:created xsi:type="dcterms:W3CDTF">2020-06-29T12:27:50Z</dcterms:created>
  <dcterms:modified xsi:type="dcterms:W3CDTF">2024-01-04T14:41:49Z</dcterms:modified>
</cp:coreProperties>
</file>