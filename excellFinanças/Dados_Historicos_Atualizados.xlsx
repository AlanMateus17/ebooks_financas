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5"/>
  <workbookPr/>
  <mc:AlternateContent xmlns:mc="http://schemas.openxmlformats.org/markup-compatibility/2006">
    <mc:Choice Requires="x15">
      <x15ac:absPath xmlns:x15ac="http://schemas.microsoft.com/office/spreadsheetml/2010/11/ac" url="C:\Users\mayara.yamamoto\Downloads\KARINE LAGO\"/>
    </mc:Choice>
  </mc:AlternateContent>
  <xr:revisionPtr revIDLastSave="0" documentId="13_ncr:1_{4BA02DD0-60E1-42AE-A461-8034E55892C3}" xr6:coauthVersionLast="36" xr6:coauthVersionMax="47" xr10:uidLastSave="{00000000-0000-0000-0000-000000000000}"/>
  <bookViews>
    <workbookView xWindow="-108" yWindow="-108" windowWidth="19416" windowHeight="11016" xr2:uid="{67AEF2FF-4F27-490D-8CFB-4299A7CAF097}"/>
  </bookViews>
  <sheets>
    <sheet name="Consolidado" sheetId="6" r:id="rId1"/>
    <sheet name="Data" sheetId="1" r:id="rId2"/>
  </sheets>
  <definedNames>
    <definedName name="DadosExternos_1" localSheetId="0" hidden="1">'Consolidado'!$B$4:$H$40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8" i="1" l="1"/>
  <c r="C29" i="1"/>
  <c r="C30" i="1"/>
  <c r="C31" i="1"/>
  <c r="C32" i="1"/>
  <c r="C33" i="1"/>
  <c r="C34" i="1"/>
  <c r="C35" i="1"/>
  <c r="C36" i="1"/>
  <c r="C37" i="1"/>
  <c r="C38" i="1"/>
  <c r="C39" i="1"/>
  <c r="C40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6" i="1"/>
  <c r="C7" i="1"/>
  <c r="C8" i="1"/>
  <c r="C9" i="1"/>
  <c r="C10" i="1"/>
  <c r="C11" i="1"/>
  <c r="C12" i="1"/>
  <c r="C13" i="1"/>
  <c r="C14" i="1"/>
  <c r="C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0D9F06-59ED-465B-930D-1A18734030DF}" keepAlive="1" name="Consulta - CDI" description="Conexão com a consulta 'CDI' na pasta de trabalho." type="5" refreshedVersion="0" background="1">
    <dbPr connection="Provider=Microsoft.Mashup.OleDb.1;Data Source=$Workbook$;Location=CDI;Extended Properties=&quot;&quot;" command="SELECT * FROM [CDI]"/>
  </connection>
  <connection id="2" xr16:uid="{81F1A504-8EB9-42AF-B796-FF4B66CBEF66}" keepAlive="1" name="Consulta - Consolidado" description="Conexão com a consulta 'Consolidado' na pasta de trabalho." type="5" refreshedVersion="8" background="1" saveData="1">
    <dbPr connection="Provider=Microsoft.Mashup.OleDb.1;Data Source=$Workbook$;Location=Consolidado;Extended Properties=&quot;&quot;" command="SELECT * FROM [Consolidado]"/>
  </connection>
  <connection id="3" xr16:uid="{ED9856A6-EFA3-4C11-8067-CACCCD99BAC9}" keepAlive="1" name="Consulta - DÓLAR (Compra)" description="Conexão com a consulta 'DÓLAR (Compra)' na pasta de trabalho." type="5" refreshedVersion="0" background="1">
    <dbPr connection="Provider=Microsoft.Mashup.OleDb.1;Data Source=$Workbook$;Location=&quot;DÓLAR (Compra)&quot;;Extended Properties=&quot;&quot;" command="SELECT * FROM [DÓLAR (Compra)]"/>
  </connection>
  <connection id="4" xr16:uid="{9465A768-E54E-438F-8E7C-9BB2346ACA2A}" keepAlive="1" name="Consulta - IGP-M" description="Conexão com a consulta 'IGP-M' na pasta de trabalho." type="5" refreshedVersion="0" background="1">
    <dbPr connection="Provider=Microsoft.Mashup.OleDb.1;Data Source=$Workbook$;Location=IGP-M;Extended Properties=&quot;&quot;" command="SELECT * FROM [IGP-M]"/>
  </connection>
  <connection id="5" xr16:uid="{022A5545-F319-4704-9F82-C315ADEEEA1C}" keepAlive="1" name="Consulta - IPCA" description="Conexão com a consulta 'IPCA' na pasta de trabalho." type="5" refreshedVersion="8" background="1" saveData="1">
    <dbPr connection="Provider=Microsoft.Mashup.OleDb.1;Data Source=$Workbook$;Location=IPCA;Extended Properties=&quot;&quot;" command="SELECT * FROM [IPCA]"/>
  </connection>
  <connection id="6" xr16:uid="{465F4E11-0A8B-4C90-B98C-B432E917C794}" keepAlive="1" name="Consulta - POUPANÇA" description="Conexão com a consulta 'POUPANÇA' na pasta de trabalho." type="5" refreshedVersion="8" background="1" saveData="1">
    <dbPr connection="Provider=Microsoft.Mashup.OleDb.1;Data Source=$Workbook$;Location=POUPANÇA;Extended Properties=&quot;&quot;" command="SELECT * FROM [POUPANÇA]"/>
  </connection>
  <connection id="7" xr16:uid="{7FFE8659-7267-4604-A282-A03C9226C282}" keepAlive="1" name="Consulta - SELIC(1)" description="Conexão com a consulta 'SELIC' na pasta de trabalho." type="5" refreshedVersion="0" background="1">
    <dbPr connection="Provider=Microsoft.Mashup.OleDb.1;Data Source=$Workbook$;Location=SELIC;Extended Properties=&quot;&quot;" command="SELECT * FROM [SELIC]"/>
  </connection>
</connections>
</file>

<file path=xl/sharedStrings.xml><?xml version="1.0" encoding="utf-8"?>
<sst xmlns="http://schemas.openxmlformats.org/spreadsheetml/2006/main" count="10" uniqueCount="9">
  <si>
    <t>Data</t>
  </si>
  <si>
    <t>Dólar Compra</t>
  </si>
  <si>
    <t>Meses Atrás</t>
  </si>
  <si>
    <t>SELIC</t>
  </si>
  <si>
    <t>IPCA</t>
  </si>
  <si>
    <t>CDI</t>
  </si>
  <si>
    <t>POUPANÇA</t>
  </si>
  <si>
    <t>IGP-M</t>
  </si>
  <si>
    <t>Dados Macroeconomicos Históricos Consolidados (36 meses)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</si>
</sst>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2" fillId="0" borderId="0" xfId="0" applyFont="1"/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8">
    <dxf>
      <numFmt numFmtId="19" formatCode="dd/mm/yyyy"/>
    </dxf>
    <dxf>
      <numFmt numFmtId="2" formatCode="0.00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6CCC65FA-D67F-47B1-A14D-5BDF9E232B36}" autoFormatId="16" applyNumberFormats="0" applyBorderFormats="0" applyFontFormats="0" applyPatternFormats="0" applyAlignmentFormats="0" applyWidthHeightFormats="0">
  <queryTableRefresh nextId="8">
    <queryTableFields count="7">
      <queryTableField id="1" name="Data" tableColumnId="1"/>
      <queryTableField id="2" name="SELIC" tableColumnId="2"/>
      <queryTableField id="3" name="IPCA" tableColumnId="3"/>
      <queryTableField id="4" name="CDI" tableColumnId="4"/>
      <queryTableField id="5" name="POUPANÇA" tableColumnId="5"/>
      <queryTableField id="6" name="IGP-M" tableColumnId="6"/>
      <queryTableField id="7" name="Dólar Compra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9E4990-7AF1-4D9A-AE7C-AACE86E43F39}" name="Consolidado" displayName="Consolidado" ref="B4:H40" tableType="queryTable" totalsRowShown="0">
  <autoFilter ref="B4:H40" xr:uid="{979E4990-7AF1-4D9A-AE7C-AACE86E43F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sortState ref="B5:H40">
    <sortCondition descending="1" ref="B4:B40"/>
  </sortState>
  <tableColumns count="7">
    <tableColumn id="1" xr3:uid="{65E5B1B9-8522-46F7-98A0-C1CFC5E4E9C3}" uniqueName="1" name="Data" queryTableFieldId="1" dataDxfId="7"/>
    <tableColumn id="2" xr3:uid="{E590CC8D-A0F8-4B26-843A-D805F8FFFA2D}" uniqueName="2" name="SELIC" queryTableFieldId="2" dataDxfId="6"/>
    <tableColumn id="3" xr3:uid="{651C5742-3EAF-4298-B89C-6452D2FF1DE7}" uniqueName="3" name="IPCA" queryTableFieldId="3" dataDxfId="5"/>
    <tableColumn id="4" xr3:uid="{86647AA3-E56D-4A7E-A021-6B019938903D}" uniqueName="4" name="CDI" queryTableFieldId="4" dataDxfId="4"/>
    <tableColumn id="5" xr3:uid="{C489FBFE-0101-4B5E-8A01-AC28EB080CBE}" uniqueName="5" name="POUPANÇA" queryTableFieldId="5" dataDxfId="3"/>
    <tableColumn id="6" xr3:uid="{DFB08B0E-1DF5-459A-B97A-683B3A574C1F}" uniqueName="6" name="IGP-M" queryTableFieldId="6" dataDxfId="2"/>
    <tableColumn id="7" xr3:uid="{539ACB35-3020-414F-B99C-9BA5B79B6458}" uniqueName="7" name="Dólar Compra" queryTableFieldId="7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3272D-499D-4101-B8F2-522F4AD47BAC}" name="Tabela5" displayName="Tabela5" ref="C4:C40" totalsRowShown="0">
  <autoFilter ref="C4:C40" xr:uid="{2FD3272D-499D-4101-B8F2-522F4AD47BAC}"/>
  <tableColumns count="1">
    <tableColumn id="1" xr3:uid="{70D91699-F7C3-4AC8-8FB1-5473A4DA7312}" name="Data" dataDxfId="0">
      <calculatedColumnFormula>EOMONTH(TODAY(),B5)+1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C839D-3E97-4E27-985F-EE50A8A5BAE2}">
  <dimension ref="B2:H40"/>
  <sheetViews>
    <sheetView showGridLines="0" tabSelected="1" zoomScale="145" zoomScaleNormal="145" workbookViewId="0">
      <selection activeCell="C20" sqref="C20"/>
    </sheetView>
  </sheetViews>
  <sheetFormatPr defaultRowHeight="13.8"/>
  <cols>
    <col min="1" max="1" width="3.796875" customWidth="1"/>
    <col min="2" max="2" width="10.5" bestFit="1" customWidth="1"/>
    <col min="3" max="3" width="10.796875" style="3" bestFit="1" customWidth="1"/>
    <col min="4" max="4" width="9.796875" style="3" bestFit="1" customWidth="1"/>
    <col min="5" max="5" width="9.09765625" style="3" customWidth="1"/>
    <col min="6" max="6" width="15.59765625" style="3" bestFit="1" customWidth="1"/>
    <col min="7" max="7" width="11" style="3" bestFit="1" customWidth="1"/>
    <col min="8" max="8" width="18.19921875" style="4" bestFit="1" customWidth="1"/>
  </cols>
  <sheetData>
    <row r="2" spans="2:8" ht="21">
      <c r="B2" s="2" t="s">
        <v>8</v>
      </c>
    </row>
    <row r="4" spans="2:8">
      <c r="B4" t="s">
        <v>0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4" t="s">
        <v>1</v>
      </c>
    </row>
    <row r="5" spans="2:8">
      <c r="B5" s="1">
        <v>45352</v>
      </c>
      <c r="G5" s="3">
        <v>-4.7000000000000002E-3</v>
      </c>
      <c r="H5" s="5">
        <v>4.9589999999999996</v>
      </c>
    </row>
    <row r="6" spans="2:8">
      <c r="B6" s="1">
        <v>45323</v>
      </c>
      <c r="C6" s="3">
        <v>8.0000000000000002E-3</v>
      </c>
      <c r="D6" s="3">
        <v>8.3000000000000001E-3</v>
      </c>
      <c r="E6" s="3">
        <v>8.0020000000000004E-3</v>
      </c>
      <c r="F6" s="3">
        <v>5.3330000000000001E-3</v>
      </c>
      <c r="G6" s="3">
        <v>-5.1999999999999998E-3</v>
      </c>
      <c r="H6" s="5">
        <v>4.9344000000000001</v>
      </c>
    </row>
    <row r="7" spans="2:8">
      <c r="B7" s="1">
        <v>45292</v>
      </c>
      <c r="C7" s="3">
        <v>9.7000000000000003E-3</v>
      </c>
      <c r="D7" s="3">
        <v>4.1999999999999997E-3</v>
      </c>
      <c r="E7" s="3">
        <v>9.6670000000000002E-3</v>
      </c>
      <c r="F7" s="3">
        <v>5.8089999999999999E-3</v>
      </c>
      <c r="G7" s="3">
        <v>6.9999999999999999E-4</v>
      </c>
      <c r="H7" s="5"/>
    </row>
    <row r="8" spans="2:8">
      <c r="B8" s="1">
        <v>45261</v>
      </c>
      <c r="C8" s="3">
        <v>8.8999999999999999E-3</v>
      </c>
      <c r="D8" s="3">
        <v>5.5999999999999999E-3</v>
      </c>
      <c r="E8" s="3">
        <v>8.9449999999999998E-3</v>
      </c>
      <c r="F8" s="3">
        <v>5.6930000000000001E-3</v>
      </c>
      <c r="G8" s="3">
        <v>7.4000000000000003E-3</v>
      </c>
      <c r="H8" s="5">
        <v>4.9184999999999999</v>
      </c>
    </row>
    <row r="9" spans="2:8">
      <c r="B9" s="1">
        <v>45231</v>
      </c>
      <c r="C9" s="3">
        <v>9.1999999999999998E-3</v>
      </c>
      <c r="D9" s="3">
        <v>2.8E-3</v>
      </c>
      <c r="E9" s="3">
        <v>9.1599999999999997E-3</v>
      </c>
      <c r="F9" s="3">
        <v>5.7790000000000003E-3</v>
      </c>
      <c r="G9" s="3">
        <v>5.8999999999999999E-3</v>
      </c>
      <c r="H9" s="5">
        <v>5.0187999999999997</v>
      </c>
    </row>
    <row r="10" spans="2:8">
      <c r="B10" s="1">
        <v>45200</v>
      </c>
      <c r="C10" s="3">
        <v>0.01</v>
      </c>
      <c r="D10" s="3">
        <v>2.3999999999999998E-3</v>
      </c>
      <c r="E10" s="3">
        <v>9.9760000000000005E-3</v>
      </c>
      <c r="F10" s="3">
        <v>6.0610000000000004E-3</v>
      </c>
      <c r="G10" s="3">
        <v>5.0000000000000001E-3</v>
      </c>
      <c r="H10" s="5"/>
    </row>
    <row r="11" spans="2:8">
      <c r="B11" s="1">
        <v>45170</v>
      </c>
      <c r="C11" s="3">
        <v>9.7000000000000003E-3</v>
      </c>
      <c r="D11" s="3">
        <v>2.5999999999999999E-3</v>
      </c>
      <c r="E11" s="3">
        <v>9.7289999999999998E-3</v>
      </c>
      <c r="F11" s="3">
        <v>6.136E-3</v>
      </c>
      <c r="G11" s="3">
        <v>3.7000000000000002E-3</v>
      </c>
      <c r="H11" s="5">
        <v>4.9311999999999996</v>
      </c>
    </row>
    <row r="12" spans="2:8">
      <c r="B12" s="1">
        <v>45139</v>
      </c>
      <c r="C12" s="3">
        <v>1.14E-2</v>
      </c>
      <c r="D12" s="3">
        <v>2.3E-3</v>
      </c>
      <c r="E12" s="3">
        <v>1.1375E-2</v>
      </c>
      <c r="F12" s="3">
        <v>7.1710000000000003E-3</v>
      </c>
      <c r="G12" s="3">
        <v>-1.4E-3</v>
      </c>
      <c r="H12" s="5">
        <v>4.7746000000000004</v>
      </c>
    </row>
    <row r="13" spans="2:8">
      <c r="B13" s="1">
        <v>45108</v>
      </c>
      <c r="C13" s="3">
        <v>1.0699999999999999E-2</v>
      </c>
      <c r="D13" s="3">
        <v>1.1999999999999999E-3</v>
      </c>
      <c r="E13" s="3">
        <v>1.072E-2</v>
      </c>
      <c r="F13" s="3">
        <v>6.5890000000000002E-3</v>
      </c>
      <c r="G13" s="3">
        <v>-7.1999999999999998E-3</v>
      </c>
      <c r="H13" s="5"/>
    </row>
    <row r="14" spans="2:8">
      <c r="B14" s="1">
        <v>45078</v>
      </c>
      <c r="C14" s="3">
        <v>1.0699999999999999E-2</v>
      </c>
      <c r="D14" s="3">
        <v>-8.0000000000000004E-4</v>
      </c>
      <c r="E14" s="3">
        <v>1.072E-2</v>
      </c>
      <c r="F14" s="3">
        <v>6.8079999999999998E-3</v>
      </c>
      <c r="G14" s="3">
        <v>-1.9300000000000001E-2</v>
      </c>
      <c r="H14" s="5">
        <v>5.0343999999999998</v>
      </c>
    </row>
    <row r="15" spans="2:8">
      <c r="B15" s="1">
        <v>45047</v>
      </c>
      <c r="C15" s="3">
        <v>1.12E-2</v>
      </c>
      <c r="D15" s="3">
        <v>2.3E-3</v>
      </c>
      <c r="E15" s="3">
        <v>1.1233E-2</v>
      </c>
      <c r="F15" s="3">
        <v>7.1580000000000003E-3</v>
      </c>
      <c r="G15" s="3">
        <v>-1.84E-2</v>
      </c>
      <c r="H15" s="5"/>
    </row>
    <row r="16" spans="2:8">
      <c r="B16" s="1">
        <v>45017</v>
      </c>
      <c r="C16" s="3">
        <v>9.1999999999999998E-3</v>
      </c>
      <c r="D16" s="3">
        <v>6.1000000000000004E-3</v>
      </c>
      <c r="E16" s="3">
        <v>9.1809999999999999E-3</v>
      </c>
      <c r="F16" s="3">
        <v>5.8250000000000003E-3</v>
      </c>
      <c r="G16" s="3">
        <v>-9.4999999999999998E-3</v>
      </c>
      <c r="H16" s="5"/>
    </row>
    <row r="17" spans="2:8">
      <c r="B17" s="1">
        <v>44986</v>
      </c>
      <c r="C17" s="3">
        <v>1.17E-2</v>
      </c>
      <c r="D17" s="3">
        <v>7.1000000000000004E-3</v>
      </c>
      <c r="E17" s="3">
        <v>1.1747E-2</v>
      </c>
      <c r="F17" s="3">
        <v>7.404E-3</v>
      </c>
      <c r="G17" s="3">
        <v>5.0000000000000001E-4</v>
      </c>
      <c r="H17" s="5">
        <v>5.2064000000000004</v>
      </c>
    </row>
    <row r="18" spans="2:8">
      <c r="B18" s="1">
        <v>44958</v>
      </c>
      <c r="C18" s="3">
        <v>9.1999999999999998E-3</v>
      </c>
      <c r="D18" s="3">
        <v>8.3999999999999995E-3</v>
      </c>
      <c r="E18" s="3">
        <v>9.1809999999999999E-3</v>
      </c>
      <c r="F18" s="3">
        <v>5.8339999999999998E-3</v>
      </c>
      <c r="G18" s="3">
        <v>-5.9999999999999995E-4</v>
      </c>
      <c r="H18" s="5">
        <v>5.0715000000000003</v>
      </c>
    </row>
    <row r="19" spans="2:8">
      <c r="B19" s="1">
        <v>44927</v>
      </c>
      <c r="C19" s="3">
        <v>1.12E-2</v>
      </c>
      <c r="D19" s="3">
        <v>5.3E-3</v>
      </c>
      <c r="E19" s="3">
        <v>1.1233E-2</v>
      </c>
      <c r="F19" s="3">
        <v>7.0910000000000001E-3</v>
      </c>
      <c r="G19" s="3">
        <v>2.0999999999999999E-3</v>
      </c>
      <c r="H19" s="5"/>
    </row>
    <row r="20" spans="2:8">
      <c r="B20" s="1">
        <v>44896</v>
      </c>
      <c r="C20" s="3">
        <v>1.12E-2</v>
      </c>
      <c r="D20" s="3">
        <v>6.1999999999999998E-3</v>
      </c>
      <c r="E20" s="3">
        <v>1.1233E-2</v>
      </c>
      <c r="F20" s="3">
        <v>7.0819999999999998E-3</v>
      </c>
      <c r="G20" s="3">
        <v>4.4999999999999997E-3</v>
      </c>
      <c r="H20" s="5">
        <v>5.1942000000000004</v>
      </c>
    </row>
    <row r="21" spans="2:8">
      <c r="B21" s="1">
        <v>44866</v>
      </c>
      <c r="C21" s="3">
        <v>1.0200000000000001E-2</v>
      </c>
      <c r="D21" s="3">
        <v>4.1000000000000003E-3</v>
      </c>
      <c r="E21" s="3">
        <v>1.0207000000000001E-2</v>
      </c>
      <c r="F21" s="3">
        <v>6.515E-3</v>
      </c>
      <c r="G21" s="3">
        <v>-5.5999999999999999E-3</v>
      </c>
      <c r="H21" s="5">
        <v>5.1494</v>
      </c>
    </row>
    <row r="22" spans="2:8">
      <c r="B22" s="1">
        <v>44835</v>
      </c>
      <c r="C22" s="3">
        <v>1.0200000000000001E-2</v>
      </c>
      <c r="D22" s="3">
        <v>5.8999999999999999E-3</v>
      </c>
      <c r="E22" s="3">
        <v>1.0207000000000001E-2</v>
      </c>
      <c r="F22" s="3">
        <v>6.5009999999999998E-3</v>
      </c>
      <c r="G22" s="3">
        <v>-9.7000000000000003E-3</v>
      </c>
      <c r="H22" s="5"/>
    </row>
    <row r="23" spans="2:8">
      <c r="B23" s="1">
        <v>44805</v>
      </c>
      <c r="C23" s="3">
        <v>1.0699999999999999E-2</v>
      </c>
      <c r="D23" s="3">
        <v>-2.8999999999999998E-3</v>
      </c>
      <c r="E23" s="3">
        <v>1.072E-2</v>
      </c>
      <c r="F23" s="3">
        <v>6.8139999999999997E-3</v>
      </c>
      <c r="G23" s="3">
        <v>-9.4999999999999998E-3</v>
      </c>
      <c r="H23" s="5">
        <v>5.2000999999999999</v>
      </c>
    </row>
    <row r="24" spans="2:8">
      <c r="B24" s="1">
        <v>44774</v>
      </c>
      <c r="C24" s="3">
        <v>1.17E-2</v>
      </c>
      <c r="D24" s="3">
        <v>-3.5999999999999999E-3</v>
      </c>
      <c r="E24" s="3">
        <v>1.1694E-2</v>
      </c>
      <c r="F24" s="3">
        <v>7.4209999999999996E-3</v>
      </c>
      <c r="G24" s="3">
        <v>-7.0000000000000001E-3</v>
      </c>
      <c r="H24" s="5">
        <v>5.16</v>
      </c>
    </row>
    <row r="25" spans="2:8">
      <c r="B25" s="1">
        <v>44743</v>
      </c>
      <c r="C25" s="3">
        <v>1.03E-2</v>
      </c>
      <c r="D25" s="3">
        <v>-6.7999999999999996E-3</v>
      </c>
      <c r="E25" s="3">
        <v>1.0349000000000001E-2</v>
      </c>
      <c r="F25" s="3">
        <v>6.6389999999999999E-3</v>
      </c>
      <c r="G25" s="3">
        <v>2.0999999999999999E-3</v>
      </c>
      <c r="H25" s="5">
        <v>5.3136000000000001</v>
      </c>
    </row>
    <row r="26" spans="2:8">
      <c r="B26" s="1">
        <v>44713</v>
      </c>
      <c r="C26" s="3">
        <v>1.0200000000000001E-2</v>
      </c>
      <c r="D26" s="3">
        <v>6.7000000000000002E-3</v>
      </c>
      <c r="E26" s="3">
        <v>1.0153000000000001E-2</v>
      </c>
      <c r="F26" s="3">
        <v>6.4910000000000002E-3</v>
      </c>
      <c r="G26" s="3">
        <v>5.8999999999999999E-3</v>
      </c>
      <c r="H26" s="5">
        <v>4.7759</v>
      </c>
    </row>
    <row r="27" spans="2:8">
      <c r="B27" s="1">
        <v>44682</v>
      </c>
      <c r="C27" s="3">
        <v>1.03E-2</v>
      </c>
      <c r="D27" s="3">
        <v>4.7000000000000002E-3</v>
      </c>
      <c r="E27" s="3">
        <v>1.0345999999999999E-2</v>
      </c>
      <c r="F27" s="3">
        <v>6.6709999999999998E-3</v>
      </c>
      <c r="G27" s="3">
        <v>5.1999999999999998E-3</v>
      </c>
      <c r="H27" s="5"/>
    </row>
    <row r="28" spans="2:8">
      <c r="B28" s="1">
        <v>44652</v>
      </c>
      <c r="C28" s="3">
        <v>8.3000000000000001E-3</v>
      </c>
      <c r="D28" s="3">
        <v>1.06E-2</v>
      </c>
      <c r="E28" s="3">
        <v>8.3459999999999993E-3</v>
      </c>
      <c r="F28" s="3">
        <v>5.5579999999999996E-3</v>
      </c>
      <c r="G28" s="3">
        <v>1.41E-2</v>
      </c>
      <c r="H28" s="5">
        <v>4.6978</v>
      </c>
    </row>
    <row r="29" spans="2:8">
      <c r="B29" s="1">
        <v>44621</v>
      </c>
      <c r="C29" s="3">
        <v>9.2999999999999992E-3</v>
      </c>
      <c r="D29" s="3">
        <v>1.6199999999999999E-2</v>
      </c>
      <c r="E29" s="3">
        <v>9.2720000000000007E-3</v>
      </c>
      <c r="F29" s="3">
        <v>5.9760000000000004E-3</v>
      </c>
      <c r="G29" s="3">
        <v>1.7399999999999999E-2</v>
      </c>
      <c r="H29" s="5"/>
    </row>
    <row r="30" spans="2:8">
      <c r="B30" s="1">
        <v>44593</v>
      </c>
      <c r="C30" s="3">
        <v>7.6E-3</v>
      </c>
      <c r="D30" s="3">
        <v>1.01E-2</v>
      </c>
      <c r="E30" s="3">
        <v>7.5500000000000003E-3</v>
      </c>
      <c r="F30" s="3">
        <v>5.0000000000000001E-3</v>
      </c>
      <c r="G30" s="3">
        <v>1.83E-2</v>
      </c>
      <c r="H30" s="5">
        <v>5.2804000000000002</v>
      </c>
    </row>
    <row r="31" spans="2:8">
      <c r="B31" s="1">
        <v>44562</v>
      </c>
      <c r="C31" s="3">
        <v>7.3000000000000001E-3</v>
      </c>
      <c r="D31" s="3">
        <v>5.4000000000000003E-3</v>
      </c>
      <c r="E31" s="3">
        <v>7.3220000000000004E-3</v>
      </c>
      <c r="F31" s="3">
        <v>5.6080000000000001E-3</v>
      </c>
      <c r="G31" s="3">
        <v>1.8200000000000001E-2</v>
      </c>
      <c r="H31" s="5"/>
    </row>
    <row r="32" spans="2:8">
      <c r="B32" s="1">
        <v>44531</v>
      </c>
      <c r="C32" s="3">
        <v>7.7000000000000002E-3</v>
      </c>
      <c r="D32" s="3">
        <v>7.3000000000000001E-3</v>
      </c>
      <c r="F32" s="3">
        <v>4.9020000000000001E-3</v>
      </c>
      <c r="G32" s="3">
        <v>8.6999999999999994E-3</v>
      </c>
      <c r="H32" s="5">
        <v>5.6162000000000001</v>
      </c>
    </row>
    <row r="33" spans="2:8">
      <c r="B33" s="1">
        <v>44501</v>
      </c>
      <c r="C33" s="3">
        <v>5.8999999999999999E-3</v>
      </c>
      <c r="D33" s="3">
        <v>9.4999999999999998E-3</v>
      </c>
      <c r="F33" s="3">
        <v>4.4120000000000001E-3</v>
      </c>
      <c r="G33" s="3">
        <v>2.0000000000000001E-4</v>
      </c>
      <c r="H33" s="5">
        <v>5.6688000000000001</v>
      </c>
    </row>
    <row r="34" spans="2:8">
      <c r="B34" s="1">
        <v>44470</v>
      </c>
      <c r="C34" s="3">
        <v>4.8999999999999998E-3</v>
      </c>
      <c r="D34" s="3">
        <v>1.2500000000000001E-2</v>
      </c>
      <c r="F34" s="3">
        <v>3.5750000000000001E-3</v>
      </c>
      <c r="G34" s="3">
        <v>6.4000000000000003E-3</v>
      </c>
      <c r="H34" s="5">
        <v>5.3905000000000003</v>
      </c>
    </row>
    <row r="35" spans="2:8">
      <c r="B35" s="1">
        <v>44440</v>
      </c>
      <c r="C35" s="3">
        <v>4.4000000000000003E-3</v>
      </c>
      <c r="D35" s="3">
        <v>1.1599999999999999E-2</v>
      </c>
      <c r="F35" s="3">
        <v>3.0119999999999999E-3</v>
      </c>
      <c r="G35" s="3">
        <v>-6.4000000000000003E-3</v>
      </c>
      <c r="H35" s="5">
        <v>5.157</v>
      </c>
    </row>
    <row r="36" spans="2:8">
      <c r="B36" s="1">
        <v>44409</v>
      </c>
      <c r="C36" s="3">
        <v>4.3E-3</v>
      </c>
      <c r="D36" s="3">
        <v>8.6999999999999994E-3</v>
      </c>
      <c r="F36" s="3">
        <v>2.4459999999999998E-3</v>
      </c>
      <c r="G36" s="3">
        <v>6.6E-3</v>
      </c>
      <c r="H36" s="5"/>
    </row>
    <row r="37" spans="2:8">
      <c r="B37" s="1">
        <v>44378</v>
      </c>
      <c r="C37" s="3">
        <v>3.5999999999999999E-3</v>
      </c>
      <c r="D37" s="3">
        <v>9.5999999999999992E-3</v>
      </c>
      <c r="F37" s="3">
        <v>2.4459999999999998E-3</v>
      </c>
      <c r="G37" s="3">
        <v>7.7999999999999996E-3</v>
      </c>
      <c r="H37" s="5">
        <v>5.0049000000000001</v>
      </c>
    </row>
    <row r="38" spans="2:8">
      <c r="B38" s="1">
        <v>44348</v>
      </c>
      <c r="C38" s="3">
        <v>3.0999999999999999E-3</v>
      </c>
      <c r="D38" s="3">
        <v>5.3E-3</v>
      </c>
      <c r="F38" s="3">
        <v>2.019E-3</v>
      </c>
      <c r="G38" s="3">
        <v>6.0000000000000001E-3</v>
      </c>
      <c r="H38" s="5">
        <v>5.1630000000000003</v>
      </c>
    </row>
    <row r="39" spans="2:8">
      <c r="B39" s="1">
        <v>44317</v>
      </c>
      <c r="C39" s="3">
        <v>2.7000000000000001E-3</v>
      </c>
      <c r="D39" s="3">
        <v>8.3000000000000001E-3</v>
      </c>
      <c r="F39" s="3">
        <v>1.5900000000000001E-3</v>
      </c>
      <c r="G39" s="3">
        <v>4.1000000000000002E-2</v>
      </c>
      <c r="H39" s="5"/>
    </row>
    <row r="40" spans="2:8">
      <c r="B40" s="1">
        <v>44287</v>
      </c>
      <c r="C40" s="3">
        <v>2.0999999999999999E-3</v>
      </c>
      <c r="D40" s="3">
        <v>3.0999999999999999E-3</v>
      </c>
      <c r="F40" s="3">
        <v>1.5900000000000001E-3</v>
      </c>
      <c r="G40" s="3">
        <v>1.5100000000000001E-2</v>
      </c>
      <c r="H40" s="5">
        <v>5.6843000000000004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AAF-CADF-4B6C-8A30-6CCD8D8C4D3B}">
  <dimension ref="B4:D40"/>
  <sheetViews>
    <sheetView workbookViewId="0">
      <selection activeCell="E22" sqref="E22"/>
    </sheetView>
  </sheetViews>
  <sheetFormatPr defaultRowHeight="13.8"/>
  <cols>
    <col min="2" max="2" width="11.5" customWidth="1"/>
    <col min="3" max="3" width="10.5" bestFit="1" customWidth="1"/>
    <col min="4" max="4" width="10.5" customWidth="1"/>
  </cols>
  <sheetData>
    <row r="4" spans="2:4">
      <c r="B4" t="s">
        <v>2</v>
      </c>
      <c r="C4" t="s">
        <v>0</v>
      </c>
    </row>
    <row r="5" spans="2:4">
      <c r="B5">
        <v>-2</v>
      </c>
      <c r="C5" s="1">
        <f ca="1">EOMONTH(TODAY(),B5)+1</f>
        <v>45474</v>
      </c>
      <c r="D5" s="1"/>
    </row>
    <row r="6" spans="2:4">
      <c r="B6">
        <v>-3</v>
      </c>
      <c r="C6" s="1">
        <f t="shared" ref="C6:C40" ca="1" si="0">EOMONTH(TODAY(),B6)+1</f>
        <v>45444</v>
      </c>
    </row>
    <row r="7" spans="2:4">
      <c r="B7">
        <v>-4</v>
      </c>
      <c r="C7" s="1">
        <f t="shared" ca="1" si="0"/>
        <v>45413</v>
      </c>
    </row>
    <row r="8" spans="2:4">
      <c r="B8">
        <v>-5</v>
      </c>
      <c r="C8" s="1">
        <f t="shared" ca="1" si="0"/>
        <v>45383</v>
      </c>
    </row>
    <row r="9" spans="2:4">
      <c r="B9">
        <v>-6</v>
      </c>
      <c r="C9" s="1">
        <f t="shared" ca="1" si="0"/>
        <v>45352</v>
      </c>
    </row>
    <row r="10" spans="2:4">
      <c r="B10">
        <v>-7</v>
      </c>
      <c r="C10" s="1">
        <f t="shared" ca="1" si="0"/>
        <v>45323</v>
      </c>
    </row>
    <row r="11" spans="2:4">
      <c r="B11">
        <v>-8</v>
      </c>
      <c r="C11" s="1">
        <f t="shared" ca="1" si="0"/>
        <v>45292</v>
      </c>
    </row>
    <row r="12" spans="2:4">
      <c r="B12">
        <v>-9</v>
      </c>
      <c r="C12" s="1">
        <f t="shared" ca="1" si="0"/>
        <v>45261</v>
      </c>
    </row>
    <row r="13" spans="2:4">
      <c r="B13">
        <v>-10</v>
      </c>
      <c r="C13" s="1">
        <f t="shared" ca="1" si="0"/>
        <v>45231</v>
      </c>
    </row>
    <row r="14" spans="2:4">
      <c r="B14">
        <v>-11</v>
      </c>
      <c r="C14" s="1">
        <f t="shared" ca="1" si="0"/>
        <v>45200</v>
      </c>
    </row>
    <row r="15" spans="2:4">
      <c r="B15">
        <v>-12</v>
      </c>
      <c r="C15" s="1">
        <f t="shared" ca="1" si="0"/>
        <v>45170</v>
      </c>
    </row>
    <row r="16" spans="2:4">
      <c r="B16">
        <v>-13</v>
      </c>
      <c r="C16" s="1">
        <f t="shared" ca="1" si="0"/>
        <v>45139</v>
      </c>
    </row>
    <row r="17" spans="2:3">
      <c r="B17">
        <v>-14</v>
      </c>
      <c r="C17" s="1">
        <f t="shared" ca="1" si="0"/>
        <v>45108</v>
      </c>
    </row>
    <row r="18" spans="2:3">
      <c r="B18">
        <v>-15</v>
      </c>
      <c r="C18" s="1">
        <f t="shared" ca="1" si="0"/>
        <v>45078</v>
      </c>
    </row>
    <row r="19" spans="2:3">
      <c r="B19">
        <v>-16</v>
      </c>
      <c r="C19" s="1">
        <f t="shared" ca="1" si="0"/>
        <v>45047</v>
      </c>
    </row>
    <row r="20" spans="2:3">
      <c r="B20">
        <v>-17</v>
      </c>
      <c r="C20" s="1">
        <f t="shared" ca="1" si="0"/>
        <v>45017</v>
      </c>
    </row>
    <row r="21" spans="2:3">
      <c r="B21">
        <v>-18</v>
      </c>
      <c r="C21" s="1">
        <f t="shared" ca="1" si="0"/>
        <v>44986</v>
      </c>
    </row>
    <row r="22" spans="2:3">
      <c r="B22">
        <v>-19</v>
      </c>
      <c r="C22" s="1">
        <f t="shared" ca="1" si="0"/>
        <v>44958</v>
      </c>
    </row>
    <row r="23" spans="2:3">
      <c r="B23">
        <v>-20</v>
      </c>
      <c r="C23" s="1">
        <f t="shared" ca="1" si="0"/>
        <v>44927</v>
      </c>
    </row>
    <row r="24" spans="2:3">
      <c r="B24">
        <v>-21</v>
      </c>
      <c r="C24" s="1">
        <f t="shared" ca="1" si="0"/>
        <v>44896</v>
      </c>
    </row>
    <row r="25" spans="2:3">
      <c r="B25">
        <v>-22</v>
      </c>
      <c r="C25" s="1">
        <f t="shared" ca="1" si="0"/>
        <v>44866</v>
      </c>
    </row>
    <row r="26" spans="2:3">
      <c r="B26">
        <v>-23</v>
      </c>
      <c r="C26" s="1">
        <f t="shared" ca="1" si="0"/>
        <v>44835</v>
      </c>
    </row>
    <row r="27" spans="2:3">
      <c r="B27">
        <v>-24</v>
      </c>
      <c r="C27" s="1">
        <f t="shared" ca="1" si="0"/>
        <v>44805</v>
      </c>
    </row>
    <row r="28" spans="2:3">
      <c r="B28">
        <v>-25</v>
      </c>
      <c r="C28" s="1">
        <f t="shared" ca="1" si="0"/>
        <v>44774</v>
      </c>
    </row>
    <row r="29" spans="2:3">
      <c r="B29">
        <v>-26</v>
      </c>
      <c r="C29" s="1">
        <f t="shared" ca="1" si="0"/>
        <v>44743</v>
      </c>
    </row>
    <row r="30" spans="2:3">
      <c r="B30">
        <v>-27</v>
      </c>
      <c r="C30" s="1">
        <f t="shared" ca="1" si="0"/>
        <v>44713</v>
      </c>
    </row>
    <row r="31" spans="2:3">
      <c r="B31">
        <v>-28</v>
      </c>
      <c r="C31" s="1">
        <f t="shared" ca="1" si="0"/>
        <v>44682</v>
      </c>
    </row>
    <row r="32" spans="2:3">
      <c r="B32">
        <v>-29</v>
      </c>
      <c r="C32" s="1">
        <f t="shared" ca="1" si="0"/>
        <v>44652</v>
      </c>
    </row>
    <row r="33" spans="2:3">
      <c r="B33">
        <v>-30</v>
      </c>
      <c r="C33" s="1">
        <f t="shared" ca="1" si="0"/>
        <v>44621</v>
      </c>
    </row>
    <row r="34" spans="2:3">
      <c r="B34">
        <v>-31</v>
      </c>
      <c r="C34" s="1">
        <f t="shared" ca="1" si="0"/>
        <v>44593</v>
      </c>
    </row>
    <row r="35" spans="2:3">
      <c r="B35">
        <v>-32</v>
      </c>
      <c r="C35" s="1">
        <f t="shared" ca="1" si="0"/>
        <v>44562</v>
      </c>
    </row>
    <row r="36" spans="2:3">
      <c r="B36">
        <v>-33</v>
      </c>
      <c r="C36" s="1">
        <f t="shared" ca="1" si="0"/>
        <v>44531</v>
      </c>
    </row>
    <row r="37" spans="2:3">
      <c r="B37">
        <v>-34</v>
      </c>
      <c r="C37" s="1">
        <f t="shared" ca="1" si="0"/>
        <v>44501</v>
      </c>
    </row>
    <row r="38" spans="2:3">
      <c r="B38">
        <v>-35</v>
      </c>
      <c r="C38" s="1">
        <f t="shared" ca="1" si="0"/>
        <v>44470</v>
      </c>
    </row>
    <row r="39" spans="2:3">
      <c r="B39">
        <v>-36</v>
      </c>
      <c r="C39" s="1">
        <f t="shared" ca="1" si="0"/>
        <v>44440</v>
      </c>
    </row>
    <row r="40" spans="2:3">
      <c r="B40">
        <v>-37</v>
      </c>
      <c r="C40" s="1">
        <f t="shared" ca="1" si="0"/>
        <v>44409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E05327-F30D-4FF6-9809-82B0FED5505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Consolidado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Karine Lago</dc:creator>
  <cp:lastModifiedBy>Mayara Sati Dantas Yamamoto</cp:lastModifiedBy>
  <dcterms:created xsi:type="dcterms:W3CDTF">2024-04-08T21:59:41Z</dcterms:created>
  <dcterms:modified xsi:type="dcterms:W3CDTF">2024-08-29T13:23:29Z</dcterms:modified>
</cp:coreProperties>
</file>