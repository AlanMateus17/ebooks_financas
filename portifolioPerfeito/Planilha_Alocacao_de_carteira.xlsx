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imeprimo.sharepoint.com/sites/ConteudoFinclass/Documentos Compartilhados/Plataforma/Finsessions/#21 Black Friday/"/>
    </mc:Choice>
  </mc:AlternateContent>
  <xr:revisionPtr revIDLastSave="0" documentId="8_{007EDE85-EEED-4D19-8E38-3E620BA65498}" xr6:coauthVersionLast="47" xr6:coauthVersionMax="47" xr10:uidLastSave="{00000000-0000-0000-0000-000000000000}"/>
  <bookViews>
    <workbookView xWindow="-28920" yWindow="-4815" windowWidth="29040" windowHeight="15840" tabRatio="707" xr2:uid="{73855F83-E158-434F-B152-18F8764AC817}"/>
  </bookViews>
  <sheets>
    <sheet name="Carteira Gera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D4" i="1"/>
  <c r="D5" i="1"/>
  <c r="D6" i="1"/>
  <c r="D7" i="1"/>
  <c r="D8" i="1"/>
  <c r="D9" i="1"/>
  <c r="D3" i="1"/>
</calcChain>
</file>

<file path=xl/sharedStrings.xml><?xml version="1.0" encoding="utf-8"?>
<sst xmlns="http://schemas.openxmlformats.org/spreadsheetml/2006/main" count="12" uniqueCount="12">
  <si>
    <t>Classe de ativos</t>
  </si>
  <si>
    <t>Porcentagem ideal</t>
  </si>
  <si>
    <t>Porcentagem atual</t>
  </si>
  <si>
    <t>Quantidade atual</t>
  </si>
  <si>
    <t>Pós-fixados</t>
  </si>
  <si>
    <t>Renda fixa dinâmica</t>
  </si>
  <si>
    <t>Fundos Imobiliários</t>
  </si>
  <si>
    <t>Ações</t>
  </si>
  <si>
    <t>Multimercados</t>
  </si>
  <si>
    <t>Ativos internacionais</t>
  </si>
  <si>
    <t>Criptoativos</t>
  </si>
  <si>
    <t>Consolidado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</si>
</sst>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9" fontId="0" fillId="0" borderId="0" xfId="0" applyNumberFormat="1"/>
    <xf numFmtId="0" fontId="0" fillId="3" borderId="5" xfId="0" applyFill="1" applyBorder="1" applyAlignment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9" fontId="0" fillId="3" borderId="6" xfId="0" applyNumberForma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0" fontId="0" fillId="0" borderId="0" xfId="0" applyNumberFormat="1"/>
    <xf numFmtId="9" fontId="0" fillId="0" borderId="10" xfId="0" applyNumberFormat="1" applyBorder="1" applyAlignment="1">
      <alignment horizontal="center" vertical="center"/>
    </xf>
    <xf numFmtId="9" fontId="0" fillId="4" borderId="9" xfId="0" applyNumberFormat="1" applyFill="1" applyBorder="1" applyAlignment="1">
      <alignment horizontal="center" vertical="center"/>
    </xf>
    <xf numFmtId="9" fontId="0" fillId="5" borderId="7" xfId="0" applyNumberFormat="1" applyFill="1" applyBorder="1" applyAlignment="1">
      <alignment horizontal="center" vertical="center"/>
    </xf>
    <xf numFmtId="9" fontId="0" fillId="7" borderId="9" xfId="0" applyNumberForma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9" fontId="0" fillId="6" borderId="2" xfId="0" applyNumberForma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9" fontId="0" fillId="2" borderId="14" xfId="0" applyNumberForma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9" fontId="0" fillId="0" borderId="15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'Carteira Geral'!$C$2</c:f>
              <c:strCache>
                <c:ptCount val="1"/>
                <c:pt idx="0">
                  <c:v>Porcentagem ideal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'Carteira Geral'!$B$3:$B$9</c:f>
              <c:strCache>
                <c:ptCount val="7"/>
                <c:pt idx="0">
                  <c:v>Pós-fixados</c:v>
                </c:pt>
                <c:pt idx="1">
                  <c:v>Renda fixa dinâmica</c:v>
                </c:pt>
                <c:pt idx="2">
                  <c:v>Fundos Imobiliários</c:v>
                </c:pt>
                <c:pt idx="3">
                  <c:v>Ações</c:v>
                </c:pt>
                <c:pt idx="4">
                  <c:v>Multimercados</c:v>
                </c:pt>
                <c:pt idx="5">
                  <c:v>Ativos internacionais</c:v>
                </c:pt>
                <c:pt idx="6">
                  <c:v>Criptoativos</c:v>
                </c:pt>
              </c:strCache>
            </c:strRef>
          </c:cat>
          <c:val>
            <c:numRef>
              <c:f>'Carteira Geral'!$C$3:$C$9</c:f>
              <c:numCache>
                <c:formatCode>0%</c:formatCode>
                <c:ptCount val="7"/>
                <c:pt idx="0">
                  <c:v>0.15</c:v>
                </c:pt>
                <c:pt idx="1">
                  <c:v>0.2</c:v>
                </c:pt>
                <c:pt idx="2">
                  <c:v>0.15</c:v>
                </c:pt>
                <c:pt idx="3">
                  <c:v>0.15</c:v>
                </c:pt>
                <c:pt idx="4">
                  <c:v>0.12</c:v>
                </c:pt>
                <c:pt idx="5">
                  <c:v>0.2</c:v>
                </c:pt>
                <c:pt idx="6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2B-4DEB-9BBE-324F1EE1CE13}"/>
            </c:ext>
          </c:extLst>
        </c:ser>
        <c:ser>
          <c:idx val="1"/>
          <c:order val="1"/>
          <c:tx>
            <c:strRef>
              <c:f>'Carteira Geral'!$D$2</c:f>
              <c:strCache>
                <c:ptCount val="1"/>
                <c:pt idx="0">
                  <c:v>Porcentagem atual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22B-4DEB-9BBE-324F1EE1CE1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22B-4DEB-9BBE-324F1EE1CE1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22B-4DEB-9BBE-324F1EE1CE1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422B-4DEB-9BBE-324F1EE1CE13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422B-4DEB-9BBE-324F1EE1CE1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422B-4DEB-9BBE-324F1EE1CE13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422B-4DEB-9BBE-324F1EE1CE1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'Carteira Geral'!$B$3:$B$9</c:f>
              <c:strCache>
                <c:ptCount val="7"/>
                <c:pt idx="0">
                  <c:v>Pós-fixados</c:v>
                </c:pt>
                <c:pt idx="1">
                  <c:v>Renda fixa dinâmica</c:v>
                </c:pt>
                <c:pt idx="2">
                  <c:v>Fundos Imobiliários</c:v>
                </c:pt>
                <c:pt idx="3">
                  <c:v>Ações</c:v>
                </c:pt>
                <c:pt idx="4">
                  <c:v>Multimercados</c:v>
                </c:pt>
                <c:pt idx="5">
                  <c:v>Ativos internacionais</c:v>
                </c:pt>
                <c:pt idx="6">
                  <c:v>Criptoativos</c:v>
                </c:pt>
              </c:strCache>
            </c:strRef>
          </c:cat>
          <c:val>
            <c:numRef>
              <c:f>'Carteira Geral'!$D$3:$D$9</c:f>
              <c:numCache>
                <c:formatCode>0%</c:formatCode>
                <c:ptCount val="7"/>
                <c:pt idx="0">
                  <c:v>0.22222222222222221</c:v>
                </c:pt>
                <c:pt idx="1">
                  <c:v>0.1111111111111111</c:v>
                </c:pt>
                <c:pt idx="2">
                  <c:v>0.22222222222222221</c:v>
                </c:pt>
                <c:pt idx="3">
                  <c:v>0.1111111111111111</c:v>
                </c:pt>
                <c:pt idx="4">
                  <c:v>0.16666666666666666</c:v>
                </c:pt>
                <c:pt idx="5">
                  <c:v>0.1111111111111111</c:v>
                </c:pt>
                <c:pt idx="6">
                  <c:v>5.5555555555555552E-2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2B-4DEB-9BBE-324F1EE1C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903439"/>
        <c:axId val="55901359"/>
      </c:barChart>
      <c:catAx>
        <c:axId val="5590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5901359"/>
        <c:crosses val="autoZero"/>
        <c:auto val="0"/>
        <c:lblAlgn val="ctr"/>
        <c:lblOffset val="100"/>
        <c:noMultiLvlLbl val="0"/>
      </c:catAx>
      <c:valAx>
        <c:axId val="5590135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55903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17</xdr:col>
      <xdr:colOff>114301</xdr:colOff>
      <xdr:row>10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8AA91CE-EB8F-445D-AAAF-8785B0674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31656-92C0-4B99-B486-103A16C90F88}">
  <dimension ref="B1:I12"/>
  <sheetViews>
    <sheetView showGridLines="0" tabSelected="1" workbookViewId="0">
      <selection activeCell="E14" sqref="E14"/>
    </sheetView>
  </sheetViews>
  <sheetFormatPr defaultRowHeight="15"/>
  <cols>
    <col min="1" max="1" width="1.42578125" customWidth="1"/>
    <col min="2" max="2" width="22.85546875" bestFit="1" customWidth="1"/>
    <col min="3" max="4" width="19.7109375" customWidth="1"/>
    <col min="5" max="5" width="18.28515625" bestFit="1" customWidth="1"/>
    <col min="6" max="6" width="1.42578125" customWidth="1"/>
  </cols>
  <sheetData>
    <row r="1" spans="2:9" ht="7.5" customHeight="1"/>
    <row r="2" spans="2:9" ht="22.5" customHeight="1">
      <c r="B2" s="10" t="s">
        <v>0</v>
      </c>
      <c r="C2" s="10" t="s">
        <v>1</v>
      </c>
      <c r="D2" s="10" t="s">
        <v>2</v>
      </c>
      <c r="E2" s="10" t="s">
        <v>3</v>
      </c>
    </row>
    <row r="3" spans="2:9" ht="22.5" customHeight="1">
      <c r="B3" s="2" t="s">
        <v>4</v>
      </c>
      <c r="C3" s="3">
        <v>0.15</v>
      </c>
      <c r="D3" s="4">
        <f>E3/SUM($E$3:$E$9)</f>
        <v>0.22222222222222221</v>
      </c>
      <c r="E3" s="11">
        <v>2000</v>
      </c>
    </row>
    <row r="4" spans="2:9" ht="22.5" customHeight="1">
      <c r="B4" s="5" t="s">
        <v>5</v>
      </c>
      <c r="C4" s="6">
        <v>0.2</v>
      </c>
      <c r="D4" s="4">
        <f>E4/SUM($E$3:$E$9)</f>
        <v>0.1111111111111111</v>
      </c>
      <c r="E4" s="12">
        <v>1000</v>
      </c>
    </row>
    <row r="5" spans="2:9" ht="22.5" customHeight="1">
      <c r="B5" s="8" t="s">
        <v>6</v>
      </c>
      <c r="C5" s="15">
        <v>0.15</v>
      </c>
      <c r="D5" s="14">
        <f>E5/SUM($E$3:$E$9)</f>
        <v>0.22222222222222221</v>
      </c>
      <c r="E5" s="18">
        <v>2000</v>
      </c>
    </row>
    <row r="6" spans="2:9" ht="22.5" customHeight="1">
      <c r="B6" s="7" t="s">
        <v>7</v>
      </c>
      <c r="C6" s="16">
        <v>0.15</v>
      </c>
      <c r="D6" s="14">
        <f>E6/SUM($E$3:$E$9)</f>
        <v>0.1111111111111111</v>
      </c>
      <c r="E6" s="19">
        <v>1000</v>
      </c>
    </row>
    <row r="7" spans="2:9" ht="22.5" customHeight="1">
      <c r="B7" s="9" t="s">
        <v>8</v>
      </c>
      <c r="C7" s="17">
        <v>0.12</v>
      </c>
      <c r="D7" s="14">
        <f>E7/SUM($E$3:$E$9)</f>
        <v>0.16666666666666666</v>
      </c>
      <c r="E7" s="18">
        <v>1500</v>
      </c>
    </row>
    <row r="8" spans="2:9" ht="22.5" customHeight="1">
      <c r="B8" s="26" t="s">
        <v>9</v>
      </c>
      <c r="C8" s="27">
        <v>0.2</v>
      </c>
      <c r="D8" s="28">
        <f>E8/SUM($E$3:$E$9)</f>
        <v>0.1111111111111111</v>
      </c>
      <c r="E8" s="29">
        <v>1000</v>
      </c>
    </row>
    <row r="9" spans="2:9" ht="22.5" customHeight="1">
      <c r="B9" s="20" t="s">
        <v>10</v>
      </c>
      <c r="C9" s="21">
        <v>0.03</v>
      </c>
      <c r="D9" s="30">
        <f>E9/SUM($E$3:$E$9)</f>
        <v>5.5555555555555552E-2</v>
      </c>
      <c r="E9" s="22">
        <v>500</v>
      </c>
    </row>
    <row r="10" spans="2:9" ht="22.5" customHeight="1">
      <c r="B10" s="23" t="s">
        <v>11</v>
      </c>
      <c r="C10" s="24"/>
      <c r="D10" s="24"/>
      <c r="E10" s="25">
        <f>SUM(E3:E9)</f>
        <v>9000</v>
      </c>
    </row>
    <row r="11" spans="2:9">
      <c r="C11" s="1"/>
    </row>
    <row r="12" spans="2:9">
      <c r="I12" s="13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04eee9-383a-4b8c-bf02-1b17214a4c7a" xsi:nil="true"/>
    <lcf76f155ced4ddcb4097134ff3c332f xmlns="cf870a7a-5f56-4e0b-aac1-6c44e4161f4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9A18969AF6C2E46B7FD734E9ED9DCAB" ma:contentTypeVersion="16" ma:contentTypeDescription="Crie um novo documento." ma:contentTypeScope="" ma:versionID="e924efaf90d66d3f42bc30bedccb0b3f">
  <xsd:schema xmlns:xsd="http://www.w3.org/2001/XMLSchema" xmlns:xs="http://www.w3.org/2001/XMLSchema" xmlns:p="http://schemas.microsoft.com/office/2006/metadata/properties" xmlns:ns2="cf870a7a-5f56-4e0b-aac1-6c44e4161f45" xmlns:ns3="6e04eee9-383a-4b8c-bf02-1b17214a4c7a" targetNamespace="http://schemas.microsoft.com/office/2006/metadata/properties" ma:root="true" ma:fieldsID="a820b738566b4ca02492366fdca1dae9" ns2:_="" ns3:_="">
    <xsd:import namespace="cf870a7a-5f56-4e0b-aac1-6c44e4161f45"/>
    <xsd:import namespace="6e04eee9-383a-4b8c-bf02-1b17214a4c7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870a7a-5f56-4e0b-aac1-6c44e4161f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e0f821ba-9ef2-4ce0-ab91-3295ab383a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4eee9-383a-4b8c-bf02-1b17214a4c7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b84cfb5e-241e-485a-9712-33d0a1396f43}" ma:internalName="TaxCatchAll" ma:showField="CatchAllData" ma:web="6e04eee9-383a-4b8c-bf02-1b17214a4c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875849-F9AF-4031-9ECA-967067A91274}"/>
</file>

<file path=customXml/itemProps2.xml><?xml version="1.0" encoding="utf-8"?>
<ds:datastoreItem xmlns:ds="http://schemas.openxmlformats.org/officeDocument/2006/customXml" ds:itemID="{85F47A32-BB1D-4069-B4B8-A7C6638EAC4A}"/>
</file>

<file path=customXml/itemProps3.xml><?xml version="1.0" encoding="utf-8"?>
<ds:datastoreItem xmlns:ds="http://schemas.openxmlformats.org/officeDocument/2006/customXml" ds:itemID="{2CD519D4-AF48-4E26-87BE-F7AE39C6817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Barbosa Sanchez</dc:creator>
  <cp:keywords/>
  <dc:description/>
  <cp:lastModifiedBy/>
  <cp:revision/>
  <dcterms:created xsi:type="dcterms:W3CDTF">2022-10-05T01:12:01Z</dcterms:created>
  <dcterms:modified xsi:type="dcterms:W3CDTF">2022-12-01T21:58:09Z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0x01010079A18969AF6C2E46B7FD734E9ED9DCAB</vt:lpwstr>
  </property>
  <property fmtid="{D5CDD505-2E9C-101B-9397-08002B2CF9AE}" pid="3" name="MediaServiceImageTags">
    <vt:lpwstr/>
  </property>
</Properties>
</file>