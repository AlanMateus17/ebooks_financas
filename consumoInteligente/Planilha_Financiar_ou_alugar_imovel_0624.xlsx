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5"/>
  <workbookPr/>
  <mc:AlternateContent xmlns:mc="http://schemas.openxmlformats.org/markup-compatibility/2006">
    <mc:Choice Requires="x15">
      <x15ac:absPath xmlns:x15ac="http://schemas.microsoft.com/office/spreadsheetml/2010/11/ac" url="C:\Users\mayara.yamamoto\Downloads\"/>
    </mc:Choice>
  </mc:AlternateContent>
  <xr:revisionPtr revIDLastSave="0" documentId="13_ncr:1_{AC56AED0-47AB-4A3F-8D45-ABC2FAF66CF2}" xr6:coauthVersionLast="36" xr6:coauthVersionMax="47" xr10:uidLastSave="{00000000-0000-0000-0000-000000000000}"/>
  <bookViews>
    <workbookView xWindow="-108" yWindow="-108" windowWidth="19416" windowHeight="10416" xr2:uid="{00000000-000D-0000-FFFF-FFFF00000000}"/>
  </bookViews>
  <sheets>
    <sheet name="Preencha Aqui" sheetId="1" r:id="rId1"/>
    <sheet name="Resultado" sheetId="2" r:id="rId2"/>
    <sheet name="Tabela Price" sheetId="3" r:id="rId3"/>
    <sheet name="Tabela Sac" sheetId="4" r:id="rId4"/>
    <sheet name="Aluguel" sheetId="5" r:id="rId5"/>
  </sheets>
  <calcPr calcId="191029"/>
</workbook>
</file>

<file path=xl/calcChain.xml><?xml version="1.0" encoding="utf-8"?>
<calcChain xmlns="http://schemas.openxmlformats.org/spreadsheetml/2006/main">
  <c r="B412" i="5" l="1"/>
  <c r="B400" i="5"/>
  <c r="B388" i="5"/>
  <c r="B376" i="5"/>
  <c r="B364" i="5"/>
  <c r="B352" i="5"/>
  <c r="B340" i="5"/>
  <c r="B328" i="5"/>
  <c r="B316" i="5"/>
  <c r="B304" i="5"/>
  <c r="B292" i="5"/>
  <c r="B280" i="5"/>
  <c r="B268" i="5"/>
  <c r="B256" i="5"/>
  <c r="B244" i="5"/>
  <c r="B232" i="5"/>
  <c r="I5" i="2" l="1"/>
  <c r="F6" i="2"/>
  <c r="G7" i="5"/>
  <c r="G6" i="5"/>
  <c r="G5" i="5"/>
  <c r="B5" i="5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C3" i="5"/>
  <c r="J11" i="4"/>
  <c r="J9" i="4"/>
  <c r="J7" i="4"/>
  <c r="J6" i="4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J5" i="4"/>
  <c r="G5" i="4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J11" i="3"/>
  <c r="J9" i="3"/>
  <c r="J7" i="3"/>
  <c r="J6" i="3"/>
  <c r="B6" i="3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3" i="3" s="1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B285" i="3" s="1"/>
  <c r="B286" i="3" s="1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B297" i="3" s="1"/>
  <c r="B298" i="3" s="1"/>
  <c r="B299" i="3" s="1"/>
  <c r="B300" i="3" s="1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B311" i="3" s="1"/>
  <c r="B312" i="3" s="1"/>
  <c r="B313" i="3" s="1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B338" i="3" s="1"/>
  <c r="B339" i="3" s="1"/>
  <c r="B340" i="3" s="1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B351" i="3" s="1"/>
  <c r="B352" i="3" s="1"/>
  <c r="B353" i="3" s="1"/>
  <c r="B354" i="3" s="1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B365" i="3" s="1"/>
  <c r="B366" i="3" s="1"/>
  <c r="B367" i="3" s="1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B378" i="3" s="1"/>
  <c r="B379" i="3" s="1"/>
  <c r="B380" i="3" s="1"/>
  <c r="B381" i="3" s="1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B392" i="3" s="1"/>
  <c r="B393" i="3" s="1"/>
  <c r="B394" i="3" s="1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B405" i="3" s="1"/>
  <c r="B406" i="3" s="1"/>
  <c r="B407" i="3" s="1"/>
  <c r="B408" i="3" s="1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B419" i="3" s="1"/>
  <c r="B420" i="3" s="1"/>
  <c r="B421" i="3" s="1"/>
  <c r="B422" i="3" s="1"/>
  <c r="B423" i="3" s="1"/>
  <c r="B424" i="3" s="1"/>
  <c r="J5" i="3"/>
  <c r="G5" i="3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G161" i="3" s="1"/>
  <c r="G162" i="3" s="1"/>
  <c r="G163" i="3" s="1"/>
  <c r="G164" i="3" s="1"/>
  <c r="G165" i="3" s="1"/>
  <c r="G166" i="3" s="1"/>
  <c r="G167" i="3" s="1"/>
  <c r="G168" i="3" s="1"/>
  <c r="G169" i="3" s="1"/>
  <c r="G170" i="3" s="1"/>
  <c r="G171" i="3" s="1"/>
  <c r="G172" i="3" s="1"/>
  <c r="G173" i="3" s="1"/>
  <c r="G174" i="3" s="1"/>
  <c r="G175" i="3" s="1"/>
  <c r="G176" i="3" s="1"/>
  <c r="G177" i="3" s="1"/>
  <c r="G178" i="3" s="1"/>
  <c r="G179" i="3" s="1"/>
  <c r="G180" i="3" s="1"/>
  <c r="G181" i="3" s="1"/>
  <c r="G182" i="3" s="1"/>
  <c r="G183" i="3" s="1"/>
  <c r="G184" i="3" s="1"/>
  <c r="G185" i="3" s="1"/>
  <c r="G186" i="3" s="1"/>
  <c r="G187" i="3" s="1"/>
  <c r="G188" i="3" s="1"/>
  <c r="G189" i="3" s="1"/>
  <c r="G190" i="3" s="1"/>
  <c r="G191" i="3" s="1"/>
  <c r="G192" i="3" s="1"/>
  <c r="G193" i="3" s="1"/>
  <c r="G194" i="3" s="1"/>
  <c r="G195" i="3" s="1"/>
  <c r="G196" i="3" s="1"/>
  <c r="G197" i="3" s="1"/>
  <c r="G198" i="3" s="1"/>
  <c r="G199" i="3" s="1"/>
  <c r="G200" i="3" s="1"/>
  <c r="G201" i="3" s="1"/>
  <c r="G202" i="3" s="1"/>
  <c r="G203" i="3" s="1"/>
  <c r="G204" i="3" s="1"/>
  <c r="G205" i="3" s="1"/>
  <c r="G206" i="3" s="1"/>
  <c r="G207" i="3" s="1"/>
  <c r="G208" i="3" s="1"/>
  <c r="G209" i="3" s="1"/>
  <c r="G210" i="3" s="1"/>
  <c r="G211" i="3" s="1"/>
  <c r="G212" i="3" s="1"/>
  <c r="G213" i="3" s="1"/>
  <c r="G214" i="3" s="1"/>
  <c r="G215" i="3" s="1"/>
  <c r="G216" i="3" s="1"/>
  <c r="G217" i="3" s="1"/>
  <c r="G218" i="3" s="1"/>
  <c r="G219" i="3" s="1"/>
  <c r="G220" i="3" s="1"/>
  <c r="G221" i="3" s="1"/>
  <c r="G222" i="3" s="1"/>
  <c r="G223" i="3" s="1"/>
  <c r="G224" i="3" s="1"/>
  <c r="G225" i="3" s="1"/>
  <c r="G226" i="3" s="1"/>
  <c r="G227" i="3" s="1"/>
  <c r="G228" i="3" s="1"/>
  <c r="G229" i="3" s="1"/>
  <c r="G230" i="3" s="1"/>
  <c r="G231" i="3" s="1"/>
  <c r="G232" i="3" s="1"/>
  <c r="G233" i="3" s="1"/>
  <c r="G234" i="3" s="1"/>
  <c r="G235" i="3" s="1"/>
  <c r="G236" i="3" s="1"/>
  <c r="G237" i="3" s="1"/>
  <c r="G238" i="3" s="1"/>
  <c r="G239" i="3" s="1"/>
  <c r="G240" i="3" s="1"/>
  <c r="G241" i="3" s="1"/>
  <c r="G242" i="3" s="1"/>
  <c r="G243" i="3" s="1"/>
  <c r="G244" i="3" s="1"/>
  <c r="G245" i="3" s="1"/>
  <c r="G246" i="3" s="1"/>
  <c r="G247" i="3" s="1"/>
  <c r="G248" i="3" s="1"/>
  <c r="G249" i="3" s="1"/>
  <c r="G250" i="3" s="1"/>
  <c r="G251" i="3" s="1"/>
  <c r="G252" i="3" s="1"/>
  <c r="G253" i="3" s="1"/>
  <c r="G254" i="3" s="1"/>
  <c r="G255" i="3" s="1"/>
  <c r="G256" i="3" s="1"/>
  <c r="G257" i="3" s="1"/>
  <c r="G258" i="3" s="1"/>
  <c r="G259" i="3" s="1"/>
  <c r="G260" i="3" s="1"/>
  <c r="G261" i="3" s="1"/>
  <c r="G262" i="3" s="1"/>
  <c r="G263" i="3" s="1"/>
  <c r="G264" i="3" s="1"/>
  <c r="G265" i="3" s="1"/>
  <c r="G266" i="3" s="1"/>
  <c r="G267" i="3" s="1"/>
  <c r="G268" i="3" s="1"/>
  <c r="G269" i="3" s="1"/>
  <c r="G270" i="3" s="1"/>
  <c r="G271" i="3" s="1"/>
  <c r="G272" i="3" s="1"/>
  <c r="G273" i="3" s="1"/>
  <c r="G274" i="3" s="1"/>
  <c r="G275" i="3" s="1"/>
  <c r="G276" i="3" s="1"/>
  <c r="G277" i="3" s="1"/>
  <c r="G278" i="3" s="1"/>
  <c r="G279" i="3" s="1"/>
  <c r="G280" i="3" s="1"/>
  <c r="G281" i="3" s="1"/>
  <c r="G282" i="3" s="1"/>
  <c r="G283" i="3" s="1"/>
  <c r="G284" i="3" s="1"/>
  <c r="G285" i="3" s="1"/>
  <c r="G286" i="3" s="1"/>
  <c r="G287" i="3" s="1"/>
  <c r="G288" i="3" s="1"/>
  <c r="G289" i="3" s="1"/>
  <c r="G290" i="3" s="1"/>
  <c r="G291" i="3" s="1"/>
  <c r="G292" i="3" s="1"/>
  <c r="G293" i="3" s="1"/>
  <c r="G294" i="3" s="1"/>
  <c r="G295" i="3" s="1"/>
  <c r="G296" i="3" s="1"/>
  <c r="G297" i="3" s="1"/>
  <c r="G298" i="3" s="1"/>
  <c r="G299" i="3" s="1"/>
  <c r="G300" i="3" s="1"/>
  <c r="G301" i="3" s="1"/>
  <c r="G302" i="3" s="1"/>
  <c r="G303" i="3" s="1"/>
  <c r="G304" i="3" s="1"/>
  <c r="G305" i="3" s="1"/>
  <c r="G306" i="3" s="1"/>
  <c r="G307" i="3" s="1"/>
  <c r="G308" i="3" s="1"/>
  <c r="G309" i="3" s="1"/>
  <c r="G310" i="3" s="1"/>
  <c r="G311" i="3" s="1"/>
  <c r="G312" i="3" s="1"/>
  <c r="G313" i="3" s="1"/>
  <c r="G314" i="3" s="1"/>
  <c r="G315" i="3" s="1"/>
  <c r="G316" i="3" s="1"/>
  <c r="G317" i="3" s="1"/>
  <c r="G318" i="3" s="1"/>
  <c r="G319" i="3" s="1"/>
  <c r="G320" i="3" s="1"/>
  <c r="G321" i="3" s="1"/>
  <c r="G322" i="3" s="1"/>
  <c r="G323" i="3" s="1"/>
  <c r="G324" i="3" s="1"/>
  <c r="G325" i="3" s="1"/>
  <c r="G326" i="3" s="1"/>
  <c r="G327" i="3" s="1"/>
  <c r="G328" i="3" s="1"/>
  <c r="G329" i="3" s="1"/>
  <c r="G330" i="3" s="1"/>
  <c r="G331" i="3" s="1"/>
  <c r="G332" i="3" s="1"/>
  <c r="G333" i="3" s="1"/>
  <c r="G334" i="3" s="1"/>
  <c r="G335" i="3" s="1"/>
  <c r="G336" i="3" s="1"/>
  <c r="G337" i="3" s="1"/>
  <c r="G338" i="3" s="1"/>
  <c r="G339" i="3" s="1"/>
  <c r="G340" i="3" s="1"/>
  <c r="G341" i="3" s="1"/>
  <c r="G342" i="3" s="1"/>
  <c r="G343" i="3" s="1"/>
  <c r="G344" i="3" s="1"/>
  <c r="G345" i="3" s="1"/>
  <c r="G346" i="3" s="1"/>
  <c r="G347" i="3" s="1"/>
  <c r="G348" i="3" s="1"/>
  <c r="G349" i="3" s="1"/>
  <c r="G350" i="3" s="1"/>
  <c r="G351" i="3" s="1"/>
  <c r="G352" i="3" s="1"/>
  <c r="G353" i="3" s="1"/>
  <c r="G354" i="3" s="1"/>
  <c r="G355" i="3" s="1"/>
  <c r="G356" i="3" s="1"/>
  <c r="G357" i="3" s="1"/>
  <c r="G358" i="3" s="1"/>
  <c r="G359" i="3" s="1"/>
  <c r="G360" i="3" s="1"/>
  <c r="G361" i="3" s="1"/>
  <c r="G362" i="3" s="1"/>
  <c r="G363" i="3" s="1"/>
  <c r="G364" i="3" s="1"/>
  <c r="G365" i="3" s="1"/>
  <c r="G366" i="3" s="1"/>
  <c r="G367" i="3" s="1"/>
  <c r="G368" i="3" s="1"/>
  <c r="G369" i="3" s="1"/>
  <c r="G370" i="3" s="1"/>
  <c r="G371" i="3" s="1"/>
  <c r="G372" i="3" s="1"/>
  <c r="G373" i="3" s="1"/>
  <c r="G374" i="3" s="1"/>
  <c r="G375" i="3" s="1"/>
  <c r="G376" i="3" s="1"/>
  <c r="G377" i="3" s="1"/>
  <c r="G378" i="3" s="1"/>
  <c r="G379" i="3" s="1"/>
  <c r="G380" i="3" s="1"/>
  <c r="G381" i="3" s="1"/>
  <c r="G382" i="3" s="1"/>
  <c r="G383" i="3" s="1"/>
  <c r="G384" i="3" s="1"/>
  <c r="G385" i="3" s="1"/>
  <c r="G386" i="3" s="1"/>
  <c r="G387" i="3" s="1"/>
  <c r="G388" i="3" s="1"/>
  <c r="G389" i="3" s="1"/>
  <c r="G390" i="3" s="1"/>
  <c r="G391" i="3" s="1"/>
  <c r="G392" i="3" s="1"/>
  <c r="G393" i="3" s="1"/>
  <c r="G394" i="3" s="1"/>
  <c r="G395" i="3" s="1"/>
  <c r="G396" i="3" s="1"/>
  <c r="G397" i="3" s="1"/>
  <c r="G398" i="3" s="1"/>
  <c r="G399" i="3" s="1"/>
  <c r="G400" i="3" s="1"/>
  <c r="G401" i="3" s="1"/>
  <c r="G402" i="3" s="1"/>
  <c r="G403" i="3" s="1"/>
  <c r="G404" i="3" s="1"/>
  <c r="G405" i="3" s="1"/>
  <c r="G406" i="3" s="1"/>
  <c r="G407" i="3" s="1"/>
  <c r="G408" i="3" s="1"/>
  <c r="G409" i="3" s="1"/>
  <c r="G410" i="3" s="1"/>
  <c r="G411" i="3" s="1"/>
  <c r="G412" i="3" s="1"/>
  <c r="G413" i="3" s="1"/>
  <c r="G414" i="3" s="1"/>
  <c r="G415" i="3" s="1"/>
  <c r="G416" i="3" s="1"/>
  <c r="G417" i="3" s="1"/>
  <c r="G418" i="3" s="1"/>
  <c r="G419" i="3" s="1"/>
  <c r="G420" i="3" s="1"/>
  <c r="G421" i="3" s="1"/>
  <c r="G422" i="3" s="1"/>
  <c r="G423" i="3" s="1"/>
  <c r="G424" i="3" s="1"/>
  <c r="H27" i="2"/>
  <c r="C6" i="2"/>
  <c r="F5" i="2"/>
  <c r="B28" i="2" s="1"/>
  <c r="C5" i="2"/>
  <c r="F4" i="2"/>
  <c r="C4" i="2"/>
  <c r="D27" i="2" s="1"/>
  <c r="F3" i="2"/>
  <c r="G27" i="2" s="1"/>
  <c r="C3" i="2"/>
  <c r="D24" i="1"/>
  <c r="D10" i="1"/>
  <c r="C8" i="1"/>
  <c r="C27" i="2" l="1"/>
  <c r="E27" i="2"/>
  <c r="E28" i="2" s="1"/>
  <c r="E29" i="2" s="1"/>
  <c r="E30" i="2" s="1"/>
  <c r="E31" i="2" s="1"/>
  <c r="E32" i="2" s="1"/>
  <c r="E33" i="2" s="1"/>
  <c r="D28" i="2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J8" i="4"/>
  <c r="C4" i="4" s="1"/>
  <c r="J8" i="3"/>
  <c r="C4" i="3" s="1"/>
  <c r="B29" i="2"/>
  <c r="B17" i="2"/>
  <c r="J10" i="4"/>
  <c r="J10" i="3"/>
  <c r="B18" i="4"/>
  <c r="G17" i="4"/>
  <c r="B17" i="5"/>
  <c r="C4" i="5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28" i="2" l="1"/>
  <c r="G28" i="2" s="1"/>
  <c r="C29" i="2"/>
  <c r="G29" i="2" s="1"/>
  <c r="E34" i="2"/>
  <c r="D16" i="5"/>
  <c r="D5" i="3"/>
  <c r="C17" i="5"/>
  <c r="B18" i="5"/>
  <c r="F5" i="3"/>
  <c r="E5" i="4"/>
  <c r="F5" i="4"/>
  <c r="B30" i="2"/>
  <c r="I27" i="2"/>
  <c r="G18" i="4"/>
  <c r="B19" i="4"/>
  <c r="F28" i="2" l="1"/>
  <c r="H28" i="2" s="1"/>
  <c r="F29" i="2"/>
  <c r="C30" i="2"/>
  <c r="E35" i="2"/>
  <c r="C5" i="4"/>
  <c r="F6" i="4" s="1"/>
  <c r="E6" i="4"/>
  <c r="E5" i="3"/>
  <c r="C5" i="3" s="1"/>
  <c r="B31" i="2"/>
  <c r="C18" i="5"/>
  <c r="B19" i="5"/>
  <c r="B20" i="4"/>
  <c r="G19" i="4"/>
  <c r="D5" i="4"/>
  <c r="I28" i="2"/>
  <c r="I29" i="2" l="1"/>
  <c r="H29" i="2"/>
  <c r="F30" i="2"/>
  <c r="C31" i="2"/>
  <c r="G30" i="2"/>
  <c r="E36" i="2"/>
  <c r="C6" i="4"/>
  <c r="F7" i="4" s="1"/>
  <c r="D6" i="4"/>
  <c r="E7" i="4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E254" i="4" s="1"/>
  <c r="E255" i="4" s="1"/>
  <c r="E256" i="4" s="1"/>
  <c r="E257" i="4" s="1"/>
  <c r="E258" i="4" s="1"/>
  <c r="E259" i="4" s="1"/>
  <c r="E260" i="4" s="1"/>
  <c r="E261" i="4" s="1"/>
  <c r="E262" i="4" s="1"/>
  <c r="E263" i="4" s="1"/>
  <c r="E264" i="4" s="1"/>
  <c r="E265" i="4" s="1"/>
  <c r="E266" i="4" s="1"/>
  <c r="E267" i="4" s="1"/>
  <c r="E268" i="4" s="1"/>
  <c r="E269" i="4" s="1"/>
  <c r="E270" i="4" s="1"/>
  <c r="E271" i="4" s="1"/>
  <c r="E272" i="4" s="1"/>
  <c r="E273" i="4" s="1"/>
  <c r="E274" i="4" s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E303" i="4" s="1"/>
  <c r="E304" i="4" s="1"/>
  <c r="E305" i="4" s="1"/>
  <c r="E306" i="4" s="1"/>
  <c r="E307" i="4" s="1"/>
  <c r="E308" i="4" s="1"/>
  <c r="E309" i="4" s="1"/>
  <c r="E310" i="4" s="1"/>
  <c r="E311" i="4" s="1"/>
  <c r="E312" i="4" s="1"/>
  <c r="E313" i="4" s="1"/>
  <c r="E314" i="4" s="1"/>
  <c r="E315" i="4" s="1"/>
  <c r="E316" i="4" s="1"/>
  <c r="E317" i="4" s="1"/>
  <c r="E318" i="4" s="1"/>
  <c r="E319" i="4" s="1"/>
  <c r="E320" i="4" s="1"/>
  <c r="E321" i="4" s="1"/>
  <c r="E322" i="4" s="1"/>
  <c r="E323" i="4" s="1"/>
  <c r="E324" i="4" s="1"/>
  <c r="E325" i="4" s="1"/>
  <c r="E326" i="4" s="1"/>
  <c r="E327" i="4" s="1"/>
  <c r="E328" i="4" s="1"/>
  <c r="E329" i="4" s="1"/>
  <c r="E330" i="4" s="1"/>
  <c r="E331" i="4" s="1"/>
  <c r="E332" i="4" s="1"/>
  <c r="E333" i="4" s="1"/>
  <c r="E334" i="4" s="1"/>
  <c r="E335" i="4" s="1"/>
  <c r="E336" i="4" s="1"/>
  <c r="E337" i="4" s="1"/>
  <c r="E338" i="4" s="1"/>
  <c r="E339" i="4" s="1"/>
  <c r="E340" i="4" s="1"/>
  <c r="E341" i="4" s="1"/>
  <c r="E342" i="4" s="1"/>
  <c r="E343" i="4" s="1"/>
  <c r="E344" i="4" s="1"/>
  <c r="E345" i="4" s="1"/>
  <c r="E346" i="4" s="1"/>
  <c r="E347" i="4" s="1"/>
  <c r="E348" i="4" s="1"/>
  <c r="E349" i="4" s="1"/>
  <c r="E350" i="4" s="1"/>
  <c r="E351" i="4" s="1"/>
  <c r="E352" i="4" s="1"/>
  <c r="E353" i="4" s="1"/>
  <c r="E354" i="4" s="1"/>
  <c r="E355" i="4" s="1"/>
  <c r="E356" i="4" s="1"/>
  <c r="E357" i="4" s="1"/>
  <c r="E358" i="4" s="1"/>
  <c r="E359" i="4" s="1"/>
  <c r="E360" i="4" s="1"/>
  <c r="E361" i="4" s="1"/>
  <c r="E362" i="4" s="1"/>
  <c r="E363" i="4" s="1"/>
  <c r="E364" i="4" s="1"/>
  <c r="E365" i="4" s="1"/>
  <c r="E366" i="4" s="1"/>
  <c r="E367" i="4" s="1"/>
  <c r="E368" i="4" s="1"/>
  <c r="E369" i="4" s="1"/>
  <c r="E370" i="4" s="1"/>
  <c r="E371" i="4" s="1"/>
  <c r="E372" i="4" s="1"/>
  <c r="E373" i="4" s="1"/>
  <c r="E374" i="4" s="1"/>
  <c r="E375" i="4" s="1"/>
  <c r="E376" i="4" s="1"/>
  <c r="E377" i="4" s="1"/>
  <c r="E378" i="4" s="1"/>
  <c r="E379" i="4" s="1"/>
  <c r="E380" i="4" s="1"/>
  <c r="E381" i="4" s="1"/>
  <c r="E382" i="4" s="1"/>
  <c r="E383" i="4" s="1"/>
  <c r="E384" i="4" s="1"/>
  <c r="E385" i="4" s="1"/>
  <c r="E386" i="4" s="1"/>
  <c r="E387" i="4" s="1"/>
  <c r="E388" i="4" s="1"/>
  <c r="E389" i="4" s="1"/>
  <c r="E390" i="4" s="1"/>
  <c r="E391" i="4" s="1"/>
  <c r="E392" i="4" s="1"/>
  <c r="E393" i="4" s="1"/>
  <c r="E394" i="4" s="1"/>
  <c r="E395" i="4" s="1"/>
  <c r="E396" i="4" s="1"/>
  <c r="E397" i="4" s="1"/>
  <c r="E398" i="4" s="1"/>
  <c r="E399" i="4" s="1"/>
  <c r="E400" i="4" s="1"/>
  <c r="E401" i="4" s="1"/>
  <c r="E402" i="4" s="1"/>
  <c r="E403" i="4" s="1"/>
  <c r="E404" i="4" s="1"/>
  <c r="E405" i="4" s="1"/>
  <c r="E406" i="4" s="1"/>
  <c r="E407" i="4" s="1"/>
  <c r="E408" i="4" s="1"/>
  <c r="E409" i="4" s="1"/>
  <c r="E410" i="4" s="1"/>
  <c r="E411" i="4" s="1"/>
  <c r="E412" i="4" s="1"/>
  <c r="E413" i="4" s="1"/>
  <c r="E414" i="4" s="1"/>
  <c r="E415" i="4" s="1"/>
  <c r="E416" i="4" s="1"/>
  <c r="E417" i="4" s="1"/>
  <c r="E418" i="4" s="1"/>
  <c r="E419" i="4" s="1"/>
  <c r="E420" i="4" s="1"/>
  <c r="E421" i="4" s="1"/>
  <c r="E422" i="4" s="1"/>
  <c r="E423" i="4" s="1"/>
  <c r="E424" i="4" s="1"/>
  <c r="F6" i="3"/>
  <c r="D6" i="3"/>
  <c r="C19" i="5"/>
  <c r="B20" i="5"/>
  <c r="B32" i="2"/>
  <c r="B21" i="4"/>
  <c r="G20" i="4"/>
  <c r="I30" i="2" l="1"/>
  <c r="H30" i="2"/>
  <c r="F31" i="2"/>
  <c r="G31" i="2"/>
  <c r="C32" i="2"/>
  <c r="F32" i="2" s="1"/>
  <c r="E37" i="2"/>
  <c r="D7" i="4"/>
  <c r="C7" i="4"/>
  <c r="C8" i="4" s="1"/>
  <c r="E6" i="3"/>
  <c r="C6" i="3" s="1"/>
  <c r="D7" i="3" s="1"/>
  <c r="B22" i="4"/>
  <c r="G21" i="4"/>
  <c r="C20" i="5"/>
  <c r="B21" i="5"/>
  <c r="B33" i="2"/>
  <c r="I31" i="2" l="1"/>
  <c r="H31" i="2"/>
  <c r="H32" i="2" s="1"/>
  <c r="G32" i="2"/>
  <c r="C33" i="2"/>
  <c r="G33" i="2" s="1"/>
  <c r="E38" i="2"/>
  <c r="F8" i="4"/>
  <c r="D8" i="4" s="1"/>
  <c r="F9" i="4"/>
  <c r="D9" i="4" s="1"/>
  <c r="F7" i="3"/>
  <c r="B22" i="5"/>
  <c r="C21" i="5"/>
  <c r="B34" i="2"/>
  <c r="G22" i="4"/>
  <c r="B23" i="4"/>
  <c r="I32" i="2" l="1"/>
  <c r="I33" i="2" s="1"/>
  <c r="F33" i="2"/>
  <c r="H33" i="2" s="1"/>
  <c r="C34" i="2"/>
  <c r="G34" i="2" s="1"/>
  <c r="E39" i="2"/>
  <c r="C9" i="4"/>
  <c r="E7" i="3"/>
  <c r="C7" i="3" s="1"/>
  <c r="D8" i="3" s="1"/>
  <c r="C22" i="5"/>
  <c r="B23" i="5"/>
  <c r="B24" i="4"/>
  <c r="G23" i="4"/>
  <c r="B35" i="2"/>
  <c r="C35" i="2" l="1"/>
  <c r="G35" i="2" s="1"/>
  <c r="F34" i="2"/>
  <c r="H34" i="2" s="1"/>
  <c r="I34" i="2"/>
  <c r="E40" i="2"/>
  <c r="F10" i="4"/>
  <c r="D10" i="4" s="1"/>
  <c r="B25" i="4"/>
  <c r="G24" i="4"/>
  <c r="B36" i="2"/>
  <c r="C23" i="5"/>
  <c r="B24" i="5"/>
  <c r="F8" i="3"/>
  <c r="C36" i="2" l="1"/>
  <c r="G36" i="2" s="1"/>
  <c r="I35" i="2"/>
  <c r="F35" i="2"/>
  <c r="H35" i="2" s="1"/>
  <c r="E41" i="2"/>
  <c r="C10" i="4"/>
  <c r="B37" i="2"/>
  <c r="C24" i="5"/>
  <c r="B25" i="5"/>
  <c r="B26" i="4"/>
  <c r="G25" i="4"/>
  <c r="E8" i="3"/>
  <c r="C8" i="3" s="1"/>
  <c r="D9" i="3" s="1"/>
  <c r="I36" i="2" l="1"/>
  <c r="F36" i="2"/>
  <c r="H36" i="2" s="1"/>
  <c r="C37" i="2"/>
  <c r="G37" i="2" s="1"/>
  <c r="E42" i="2"/>
  <c r="F11" i="4"/>
  <c r="D11" i="4" s="1"/>
  <c r="G26" i="4"/>
  <c r="B27" i="4"/>
  <c r="C25" i="5"/>
  <c r="B26" i="5"/>
  <c r="B38" i="2"/>
  <c r="F9" i="3"/>
  <c r="C38" i="2" l="1"/>
  <c r="G38" i="2" s="1"/>
  <c r="F37" i="2"/>
  <c r="H37" i="2" s="1"/>
  <c r="I37" i="2"/>
  <c r="E43" i="2"/>
  <c r="C11" i="4"/>
  <c r="E9" i="3"/>
  <c r="C9" i="3" s="1"/>
  <c r="B28" i="4"/>
  <c r="G27" i="4"/>
  <c r="C26" i="5"/>
  <c r="B27" i="5"/>
  <c r="B39" i="2"/>
  <c r="I38" i="2" l="1"/>
  <c r="C39" i="2"/>
  <c r="F38" i="2"/>
  <c r="H38" i="2" s="1"/>
  <c r="E44" i="2"/>
  <c r="F12" i="4"/>
  <c r="C12" i="4"/>
  <c r="F10" i="3"/>
  <c r="D10" i="3"/>
  <c r="B40" i="2"/>
  <c r="D39" i="2"/>
  <c r="C27" i="5"/>
  <c r="C28" i="5" s="1"/>
  <c r="D28" i="5" s="1"/>
  <c r="B28" i="5"/>
  <c r="B29" i="4"/>
  <c r="G28" i="4"/>
  <c r="F39" i="2" l="1"/>
  <c r="H39" i="2" s="1"/>
  <c r="G39" i="2"/>
  <c r="I39" i="2" s="1"/>
  <c r="C40" i="2"/>
  <c r="E45" i="2"/>
  <c r="E10" i="3"/>
  <c r="C10" i="3" s="1"/>
  <c r="F11" i="3" s="1"/>
  <c r="F13" i="4"/>
  <c r="C13" i="4"/>
  <c r="D12" i="4"/>
  <c r="B29" i="5"/>
  <c r="B30" i="4"/>
  <c r="G29" i="4"/>
  <c r="B41" i="2"/>
  <c r="D40" i="2"/>
  <c r="F40" i="2" l="1"/>
  <c r="H40" i="2" s="1"/>
  <c r="G40" i="2"/>
  <c r="I40" i="2" s="1"/>
  <c r="C41" i="2"/>
  <c r="E46" i="2"/>
  <c r="D11" i="3"/>
  <c r="E11" i="3" s="1"/>
  <c r="C11" i="3" s="1"/>
  <c r="F12" i="3" s="1"/>
  <c r="F14" i="4"/>
  <c r="C14" i="4"/>
  <c r="D13" i="4"/>
  <c r="B30" i="5"/>
  <c r="C29" i="5"/>
  <c r="G30" i="4"/>
  <c r="B31" i="4"/>
  <c r="B42" i="2"/>
  <c r="D41" i="2"/>
  <c r="F41" i="2" l="1"/>
  <c r="H41" i="2" s="1"/>
  <c r="G41" i="2"/>
  <c r="I41" i="2" s="1"/>
  <c r="C42" i="2"/>
  <c r="E47" i="2"/>
  <c r="C15" i="4"/>
  <c r="F15" i="4"/>
  <c r="D14" i="4"/>
  <c r="D12" i="3"/>
  <c r="E12" i="3" s="1"/>
  <c r="C12" i="3" s="1"/>
  <c r="F13" i="3" s="1"/>
  <c r="B31" i="5"/>
  <c r="C30" i="5"/>
  <c r="B32" i="4"/>
  <c r="G31" i="4"/>
  <c r="B43" i="2"/>
  <c r="D42" i="2"/>
  <c r="G42" i="2" l="1"/>
  <c r="I42" i="2" s="1"/>
  <c r="C43" i="2"/>
  <c r="F42" i="2"/>
  <c r="H42" i="2" s="1"/>
  <c r="E48" i="2"/>
  <c r="C16" i="4"/>
  <c r="F16" i="4"/>
  <c r="D15" i="4"/>
  <c r="D13" i="3"/>
  <c r="E13" i="3" s="1"/>
  <c r="C13" i="3" s="1"/>
  <c r="F14" i="3" s="1"/>
  <c r="B33" i="4"/>
  <c r="G32" i="4"/>
  <c r="B44" i="2"/>
  <c r="D43" i="2"/>
  <c r="B32" i="5"/>
  <c r="C31" i="5"/>
  <c r="G43" i="2" l="1"/>
  <c r="I43" i="2" s="1"/>
  <c r="C44" i="2"/>
  <c r="F43" i="2"/>
  <c r="H43" i="2" s="1"/>
  <c r="E49" i="2"/>
  <c r="F17" i="4"/>
  <c r="C17" i="4"/>
  <c r="D16" i="4"/>
  <c r="D14" i="3"/>
  <c r="E14" i="3" s="1"/>
  <c r="C14" i="3" s="1"/>
  <c r="F15" i="3" s="1"/>
  <c r="B34" i="4"/>
  <c r="G33" i="4"/>
  <c r="C32" i="5"/>
  <c r="B33" i="5"/>
  <c r="B45" i="2"/>
  <c r="D44" i="2"/>
  <c r="G44" i="2" l="1"/>
  <c r="I44" i="2" s="1"/>
  <c r="F44" i="2"/>
  <c r="H44" i="2" s="1"/>
  <c r="C45" i="2"/>
  <c r="E50" i="2"/>
  <c r="F18" i="4"/>
  <c r="D18" i="4" s="1"/>
  <c r="D17" i="4"/>
  <c r="D15" i="3"/>
  <c r="E15" i="3" s="1"/>
  <c r="C15" i="3" s="1"/>
  <c r="D16" i="3" s="1"/>
  <c r="B46" i="2"/>
  <c r="D45" i="2"/>
  <c r="B34" i="5"/>
  <c r="C33" i="5"/>
  <c r="G34" i="4"/>
  <c r="B35" i="4"/>
  <c r="F45" i="2" l="1"/>
  <c r="H45" i="2" s="1"/>
  <c r="G45" i="2"/>
  <c r="I45" i="2" s="1"/>
  <c r="C46" i="2"/>
  <c r="E51" i="2"/>
  <c r="C18" i="4"/>
  <c r="F16" i="3"/>
  <c r="E16" i="3" s="1"/>
  <c r="C16" i="3" s="1"/>
  <c r="B36" i="4"/>
  <c r="G35" i="4"/>
  <c r="B35" i="5"/>
  <c r="C34" i="5"/>
  <c r="B47" i="2"/>
  <c r="D46" i="2"/>
  <c r="G46" i="2" l="1"/>
  <c r="I46" i="2" s="1"/>
  <c r="C47" i="2"/>
  <c r="F46" i="2"/>
  <c r="H46" i="2" s="1"/>
  <c r="E52" i="2"/>
  <c r="C19" i="4"/>
  <c r="F19" i="4"/>
  <c r="F17" i="3"/>
  <c r="B37" i="4"/>
  <c r="G36" i="4"/>
  <c r="B48" i="2"/>
  <c r="D47" i="2"/>
  <c r="B36" i="5"/>
  <c r="C35" i="5"/>
  <c r="F47" i="2" l="1"/>
  <c r="H47" i="2" s="1"/>
  <c r="G47" i="2"/>
  <c r="I47" i="2" s="1"/>
  <c r="C48" i="2"/>
  <c r="E53" i="2"/>
  <c r="C20" i="4"/>
  <c r="F20" i="4"/>
  <c r="D19" i="4"/>
  <c r="C36" i="5"/>
  <c r="B37" i="5"/>
  <c r="B38" i="4"/>
  <c r="G37" i="4"/>
  <c r="B49" i="2"/>
  <c r="D48" i="2"/>
  <c r="F48" i="2" l="1"/>
  <c r="H48" i="2" s="1"/>
  <c r="G48" i="2"/>
  <c r="I48" i="2" s="1"/>
  <c r="C49" i="2"/>
  <c r="E54" i="2"/>
  <c r="C21" i="4"/>
  <c r="F21" i="4"/>
  <c r="D20" i="4"/>
  <c r="B38" i="5"/>
  <c r="C37" i="5"/>
  <c r="B50" i="2"/>
  <c r="D49" i="2"/>
  <c r="G38" i="4"/>
  <c r="B39" i="4"/>
  <c r="F49" i="2" l="1"/>
  <c r="H49" i="2" s="1"/>
  <c r="G49" i="2"/>
  <c r="I49" i="2" s="1"/>
  <c r="C50" i="2"/>
  <c r="E55" i="2"/>
  <c r="C22" i="4"/>
  <c r="F22" i="4"/>
  <c r="D21" i="4"/>
  <c r="B51" i="2"/>
  <c r="D50" i="2"/>
  <c r="B39" i="5"/>
  <c r="C38" i="5"/>
  <c r="B40" i="4"/>
  <c r="G39" i="4"/>
  <c r="F50" i="2" l="1"/>
  <c r="H50" i="2" s="1"/>
  <c r="G50" i="2"/>
  <c r="I50" i="2" s="1"/>
  <c r="C51" i="2"/>
  <c r="E56" i="2"/>
  <c r="C23" i="4"/>
  <c r="F23" i="4"/>
  <c r="D22" i="4"/>
  <c r="B41" i="4"/>
  <c r="G40" i="4"/>
  <c r="B40" i="5"/>
  <c r="C39" i="5"/>
  <c r="B52" i="2"/>
  <c r="D51" i="2"/>
  <c r="F51" i="2" l="1"/>
  <c r="H51" i="2" s="1"/>
  <c r="G51" i="2"/>
  <c r="I51" i="2" s="1"/>
  <c r="C52" i="2"/>
  <c r="E57" i="2"/>
  <c r="C24" i="4"/>
  <c r="F24" i="4"/>
  <c r="D23" i="4"/>
  <c r="B42" i="4"/>
  <c r="G41" i="4"/>
  <c r="C40" i="5"/>
  <c r="D40" i="5" s="1"/>
  <c r="B41" i="5"/>
  <c r="B53" i="2"/>
  <c r="D52" i="2"/>
  <c r="F52" i="2" l="1"/>
  <c r="H52" i="2" s="1"/>
  <c r="C53" i="2"/>
  <c r="G52" i="2"/>
  <c r="I52" i="2" s="1"/>
  <c r="E58" i="2"/>
  <c r="F25" i="4"/>
  <c r="C25" i="4"/>
  <c r="D24" i="4"/>
  <c r="G42" i="4"/>
  <c r="B43" i="4"/>
  <c r="B54" i="2"/>
  <c r="D53" i="2"/>
  <c r="C41" i="5"/>
  <c r="B42" i="5"/>
  <c r="F53" i="2" l="1"/>
  <c r="H53" i="2" s="1"/>
  <c r="G53" i="2"/>
  <c r="I53" i="2" s="1"/>
  <c r="C54" i="2"/>
  <c r="E59" i="2"/>
  <c r="C26" i="4"/>
  <c r="F26" i="4"/>
  <c r="D25" i="4"/>
  <c r="B44" i="4"/>
  <c r="G43" i="4"/>
  <c r="B55" i="2"/>
  <c r="D54" i="2"/>
  <c r="C42" i="5"/>
  <c r="B43" i="5"/>
  <c r="F54" i="2" l="1"/>
  <c r="H54" i="2" s="1"/>
  <c r="G54" i="2"/>
  <c r="I54" i="2" s="1"/>
  <c r="C55" i="2"/>
  <c r="E60" i="2"/>
  <c r="C27" i="4"/>
  <c r="F27" i="4"/>
  <c r="D26" i="4"/>
  <c r="B56" i="2"/>
  <c r="D55" i="2"/>
  <c r="C43" i="5"/>
  <c r="B44" i="5"/>
  <c r="B45" i="4"/>
  <c r="G44" i="4"/>
  <c r="F55" i="2" l="1"/>
  <c r="H55" i="2" s="1"/>
  <c r="G55" i="2"/>
  <c r="I55" i="2" s="1"/>
  <c r="C56" i="2"/>
  <c r="E61" i="2"/>
  <c r="F28" i="4"/>
  <c r="D28" i="4" s="1"/>
  <c r="D27" i="4"/>
  <c r="B45" i="5"/>
  <c r="C44" i="5"/>
  <c r="B57" i="2"/>
  <c r="D56" i="2"/>
  <c r="B46" i="4"/>
  <c r="G45" i="4"/>
  <c r="F56" i="2" l="1"/>
  <c r="H56" i="2" s="1"/>
  <c r="G56" i="2"/>
  <c r="I56" i="2" s="1"/>
  <c r="C57" i="2"/>
  <c r="E62" i="2"/>
  <c r="C28" i="4"/>
  <c r="G46" i="4"/>
  <c r="B47" i="4"/>
  <c r="C45" i="5"/>
  <c r="B46" i="5"/>
  <c r="B58" i="2"/>
  <c r="D57" i="2"/>
  <c r="F57" i="2" l="1"/>
  <c r="H57" i="2" s="1"/>
  <c r="G57" i="2"/>
  <c r="I57" i="2" s="1"/>
  <c r="C58" i="2"/>
  <c r="E63" i="2"/>
  <c r="C29" i="4"/>
  <c r="F29" i="4"/>
  <c r="B59" i="2"/>
  <c r="D58" i="2"/>
  <c r="B48" i="4"/>
  <c r="G47" i="4"/>
  <c r="C46" i="5"/>
  <c r="B47" i="5"/>
  <c r="G58" i="2" l="1"/>
  <c r="I58" i="2" s="1"/>
  <c r="F58" i="2"/>
  <c r="H58" i="2" s="1"/>
  <c r="C59" i="2"/>
  <c r="E64" i="2"/>
  <c r="F30" i="4"/>
  <c r="C30" i="4"/>
  <c r="D29" i="4"/>
  <c r="C47" i="5"/>
  <c r="B48" i="5"/>
  <c r="B60" i="2"/>
  <c r="D59" i="2"/>
  <c r="G48" i="4"/>
  <c r="B49" i="4"/>
  <c r="F59" i="2" l="1"/>
  <c r="H59" i="2" s="1"/>
  <c r="G59" i="2"/>
  <c r="I59" i="2" s="1"/>
  <c r="C60" i="2"/>
  <c r="E65" i="2"/>
  <c r="C31" i="4"/>
  <c r="F31" i="4"/>
  <c r="D30" i="4"/>
  <c r="C48" i="5"/>
  <c r="B49" i="5"/>
  <c r="B50" i="4"/>
  <c r="G49" i="4"/>
  <c r="B61" i="2"/>
  <c r="D60" i="2"/>
  <c r="F60" i="2" l="1"/>
  <c r="H60" i="2" s="1"/>
  <c r="G60" i="2"/>
  <c r="I60" i="2" s="1"/>
  <c r="C61" i="2"/>
  <c r="E66" i="2"/>
  <c r="C32" i="4"/>
  <c r="F32" i="4"/>
  <c r="D31" i="4"/>
  <c r="B62" i="2"/>
  <c r="D61" i="2"/>
  <c r="C49" i="5"/>
  <c r="B50" i="5"/>
  <c r="G50" i="4"/>
  <c r="B51" i="4"/>
  <c r="F61" i="2" l="1"/>
  <c r="H61" i="2" s="1"/>
  <c r="G61" i="2"/>
  <c r="I61" i="2" s="1"/>
  <c r="C62" i="2"/>
  <c r="E67" i="2"/>
  <c r="F33" i="4"/>
  <c r="C33" i="4"/>
  <c r="D32" i="4"/>
  <c r="C50" i="5"/>
  <c r="B51" i="5"/>
  <c r="B63" i="2"/>
  <c r="D62" i="2"/>
  <c r="B52" i="4"/>
  <c r="G51" i="4"/>
  <c r="F62" i="2" l="1"/>
  <c r="H62" i="2" s="1"/>
  <c r="G62" i="2"/>
  <c r="I62" i="2" s="1"/>
  <c r="C63" i="2"/>
  <c r="E68" i="2"/>
  <c r="F34" i="4"/>
  <c r="C34" i="4"/>
  <c r="D33" i="4"/>
  <c r="G52" i="4"/>
  <c r="B53" i="4"/>
  <c r="C51" i="5"/>
  <c r="B52" i="5"/>
  <c r="B64" i="2"/>
  <c r="D63" i="2"/>
  <c r="F63" i="2" l="1"/>
  <c r="H63" i="2" s="1"/>
  <c r="G63" i="2"/>
  <c r="I63" i="2" s="1"/>
  <c r="C64" i="2"/>
  <c r="E69" i="2"/>
  <c r="F35" i="4"/>
  <c r="C35" i="4"/>
  <c r="D34" i="4"/>
  <c r="B54" i="4"/>
  <c r="G53" i="4"/>
  <c r="B65" i="2"/>
  <c r="D64" i="2"/>
  <c r="B53" i="5"/>
  <c r="C52" i="5"/>
  <c r="D52" i="5" s="1"/>
  <c r="F64" i="2" l="1"/>
  <c r="H64" i="2" s="1"/>
  <c r="G64" i="2"/>
  <c r="I64" i="2" s="1"/>
  <c r="C65" i="2"/>
  <c r="E70" i="2"/>
  <c r="C36" i="4"/>
  <c r="F36" i="4"/>
  <c r="D35" i="4"/>
  <c r="B54" i="5"/>
  <c r="C53" i="5"/>
  <c r="B66" i="2"/>
  <c r="D65" i="2"/>
  <c r="G54" i="4"/>
  <c r="B55" i="4"/>
  <c r="F65" i="2" l="1"/>
  <c r="H65" i="2" s="1"/>
  <c r="G65" i="2"/>
  <c r="I65" i="2" s="1"/>
  <c r="C66" i="2"/>
  <c r="E71" i="2"/>
  <c r="C37" i="4"/>
  <c r="F37" i="4"/>
  <c r="D36" i="4"/>
  <c r="G55" i="4"/>
  <c r="B56" i="4"/>
  <c r="B55" i="5"/>
  <c r="C54" i="5"/>
  <c r="B67" i="2"/>
  <c r="D66" i="2"/>
  <c r="F66" i="2" l="1"/>
  <c r="H66" i="2" s="1"/>
  <c r="G66" i="2"/>
  <c r="I66" i="2" s="1"/>
  <c r="C67" i="2"/>
  <c r="E72" i="2"/>
  <c r="F38" i="4"/>
  <c r="C38" i="4"/>
  <c r="D37" i="4"/>
  <c r="B68" i="2"/>
  <c r="D67" i="2"/>
  <c r="G56" i="4"/>
  <c r="B57" i="4"/>
  <c r="C55" i="5"/>
  <c r="B56" i="5"/>
  <c r="F67" i="2" l="1"/>
  <c r="H67" i="2" s="1"/>
  <c r="G67" i="2"/>
  <c r="I67" i="2" s="1"/>
  <c r="C68" i="2"/>
  <c r="E73" i="2"/>
  <c r="C39" i="4"/>
  <c r="F39" i="4"/>
  <c r="D38" i="4"/>
  <c r="B58" i="4"/>
  <c r="G57" i="4"/>
  <c r="B69" i="2"/>
  <c r="D68" i="2"/>
  <c r="B57" i="5"/>
  <c r="C56" i="5"/>
  <c r="F68" i="2" l="1"/>
  <c r="H68" i="2" s="1"/>
  <c r="G68" i="2"/>
  <c r="I68" i="2" s="1"/>
  <c r="C69" i="2"/>
  <c r="E74" i="2"/>
  <c r="F40" i="4"/>
  <c r="C40" i="4"/>
  <c r="D39" i="4"/>
  <c r="B70" i="2"/>
  <c r="D69" i="2"/>
  <c r="B58" i="5"/>
  <c r="C57" i="5"/>
  <c r="G58" i="4"/>
  <c r="B59" i="4"/>
  <c r="F69" i="2" l="1"/>
  <c r="H69" i="2" s="1"/>
  <c r="G69" i="2"/>
  <c r="I69" i="2" s="1"/>
  <c r="C70" i="2"/>
  <c r="E75" i="2"/>
  <c r="C41" i="4"/>
  <c r="F41" i="4"/>
  <c r="D40" i="4"/>
  <c r="B71" i="2"/>
  <c r="D70" i="2"/>
  <c r="G59" i="4"/>
  <c r="B60" i="4"/>
  <c r="B59" i="5"/>
  <c r="C58" i="5"/>
  <c r="F70" i="2" l="1"/>
  <c r="H70" i="2" s="1"/>
  <c r="G70" i="2"/>
  <c r="I70" i="2" s="1"/>
  <c r="C71" i="2"/>
  <c r="E76" i="2"/>
  <c r="F42" i="4"/>
  <c r="C42" i="4"/>
  <c r="D41" i="4"/>
  <c r="G60" i="4"/>
  <c r="B61" i="4"/>
  <c r="B72" i="2"/>
  <c r="D71" i="2"/>
  <c r="C59" i="5"/>
  <c r="B60" i="5"/>
  <c r="F71" i="2" l="1"/>
  <c r="H71" i="2" s="1"/>
  <c r="G71" i="2"/>
  <c r="I71" i="2" s="1"/>
  <c r="C72" i="2"/>
  <c r="E77" i="2"/>
  <c r="C43" i="4"/>
  <c r="F43" i="4"/>
  <c r="D42" i="4"/>
  <c r="B73" i="2"/>
  <c r="D72" i="2"/>
  <c r="B62" i="4"/>
  <c r="G61" i="4"/>
  <c r="B61" i="5"/>
  <c r="C60" i="5"/>
  <c r="F72" i="2" l="1"/>
  <c r="H72" i="2" s="1"/>
  <c r="G72" i="2"/>
  <c r="I72" i="2" s="1"/>
  <c r="C73" i="2"/>
  <c r="E78" i="2"/>
  <c r="C44" i="4"/>
  <c r="F44" i="4"/>
  <c r="D43" i="4"/>
  <c r="G62" i="4"/>
  <c r="B63" i="4"/>
  <c r="B74" i="2"/>
  <c r="D73" i="2"/>
  <c r="B62" i="5"/>
  <c r="C61" i="5"/>
  <c r="F73" i="2" l="1"/>
  <c r="H73" i="2" s="1"/>
  <c r="G73" i="2"/>
  <c r="I73" i="2" s="1"/>
  <c r="C74" i="2"/>
  <c r="E79" i="2"/>
  <c r="F45" i="4"/>
  <c r="C45" i="4"/>
  <c r="D44" i="4"/>
  <c r="B75" i="2"/>
  <c r="D74" i="2"/>
  <c r="G63" i="4"/>
  <c r="B64" i="4"/>
  <c r="B63" i="5"/>
  <c r="C62" i="5"/>
  <c r="G74" i="2" l="1"/>
  <c r="I74" i="2" s="1"/>
  <c r="F74" i="2"/>
  <c r="H74" i="2" s="1"/>
  <c r="C75" i="2"/>
  <c r="E80" i="2"/>
  <c r="C46" i="4"/>
  <c r="F46" i="4"/>
  <c r="D45" i="4"/>
  <c r="B76" i="2"/>
  <c r="D75" i="2"/>
  <c r="C63" i="5"/>
  <c r="B64" i="5"/>
  <c r="G64" i="4"/>
  <c r="B65" i="4"/>
  <c r="F75" i="2" l="1"/>
  <c r="H75" i="2" s="1"/>
  <c r="G75" i="2"/>
  <c r="I75" i="2" s="1"/>
  <c r="C76" i="2"/>
  <c r="E81" i="2"/>
  <c r="C47" i="4"/>
  <c r="F47" i="4"/>
  <c r="D46" i="4"/>
  <c r="B77" i="2"/>
  <c r="D76" i="2"/>
  <c r="B66" i="4"/>
  <c r="G65" i="4"/>
  <c r="C64" i="5"/>
  <c r="D64" i="5" s="1"/>
  <c r="B65" i="5"/>
  <c r="F76" i="2" l="1"/>
  <c r="H76" i="2" s="1"/>
  <c r="G76" i="2"/>
  <c r="I76" i="2" s="1"/>
  <c r="C77" i="2"/>
  <c r="E82" i="2"/>
  <c r="C48" i="4"/>
  <c r="F48" i="4"/>
  <c r="D47" i="4"/>
  <c r="G66" i="4"/>
  <c r="B67" i="4"/>
  <c r="B78" i="2"/>
  <c r="D77" i="2"/>
  <c r="C65" i="5"/>
  <c r="B66" i="5"/>
  <c r="F77" i="2" l="1"/>
  <c r="H77" i="2" s="1"/>
  <c r="G77" i="2"/>
  <c r="I77" i="2" s="1"/>
  <c r="C78" i="2"/>
  <c r="E83" i="2"/>
  <c r="F49" i="4"/>
  <c r="C49" i="4"/>
  <c r="D48" i="4"/>
  <c r="C66" i="5"/>
  <c r="B67" i="5"/>
  <c r="B68" i="4"/>
  <c r="G67" i="4"/>
  <c r="B79" i="2"/>
  <c r="D78" i="2"/>
  <c r="G78" i="2" l="1"/>
  <c r="I78" i="2" s="1"/>
  <c r="F78" i="2"/>
  <c r="H78" i="2" s="1"/>
  <c r="C79" i="2"/>
  <c r="E84" i="2"/>
  <c r="C50" i="4"/>
  <c r="F50" i="4"/>
  <c r="D49" i="4"/>
  <c r="B68" i="5"/>
  <c r="C67" i="5"/>
  <c r="B80" i="2"/>
  <c r="D79" i="2"/>
  <c r="G68" i="4"/>
  <c r="B69" i="4"/>
  <c r="F79" i="2" l="1"/>
  <c r="H79" i="2" s="1"/>
  <c r="G79" i="2"/>
  <c r="I79" i="2" s="1"/>
  <c r="C80" i="2"/>
  <c r="E85" i="2"/>
  <c r="C51" i="4"/>
  <c r="F51" i="4"/>
  <c r="D50" i="4"/>
  <c r="B70" i="4"/>
  <c r="G69" i="4"/>
  <c r="C68" i="5"/>
  <c r="B69" i="5"/>
  <c r="B81" i="2"/>
  <c r="D80" i="2"/>
  <c r="F80" i="2" l="1"/>
  <c r="H80" i="2" s="1"/>
  <c r="G80" i="2"/>
  <c r="I80" i="2" s="1"/>
  <c r="C81" i="2"/>
  <c r="E86" i="2"/>
  <c r="C52" i="4"/>
  <c r="F52" i="4"/>
  <c r="D51" i="4"/>
  <c r="G70" i="4"/>
  <c r="B71" i="4"/>
  <c r="C69" i="5"/>
  <c r="B70" i="5"/>
  <c r="B82" i="2"/>
  <c r="D81" i="2"/>
  <c r="F81" i="2" l="1"/>
  <c r="H81" i="2" s="1"/>
  <c r="G81" i="2"/>
  <c r="I81" i="2" s="1"/>
  <c r="C82" i="2"/>
  <c r="E87" i="2"/>
  <c r="F53" i="4"/>
  <c r="C53" i="4"/>
  <c r="D52" i="4"/>
  <c r="G71" i="4"/>
  <c r="B72" i="4"/>
  <c r="C70" i="5"/>
  <c r="B71" i="5"/>
  <c r="B83" i="2"/>
  <c r="D82" i="2"/>
  <c r="F82" i="2" l="1"/>
  <c r="H82" i="2" s="1"/>
  <c r="G82" i="2"/>
  <c r="I82" i="2" s="1"/>
  <c r="C83" i="2"/>
  <c r="E88" i="2"/>
  <c r="C54" i="4"/>
  <c r="F54" i="4"/>
  <c r="D53" i="4"/>
  <c r="C71" i="5"/>
  <c r="B72" i="5"/>
  <c r="G72" i="4"/>
  <c r="B73" i="4"/>
  <c r="B84" i="2"/>
  <c r="D83" i="2"/>
  <c r="F83" i="2" l="1"/>
  <c r="H83" i="2" s="1"/>
  <c r="G83" i="2"/>
  <c r="I83" i="2" s="1"/>
  <c r="C84" i="2"/>
  <c r="E89" i="2"/>
  <c r="C55" i="4"/>
  <c r="F55" i="4"/>
  <c r="D54" i="4"/>
  <c r="C72" i="5"/>
  <c r="B73" i="5"/>
  <c r="B85" i="2"/>
  <c r="D84" i="2"/>
  <c r="B74" i="4"/>
  <c r="G73" i="4"/>
  <c r="F84" i="2" l="1"/>
  <c r="H84" i="2" s="1"/>
  <c r="G84" i="2"/>
  <c r="I84" i="2" s="1"/>
  <c r="C85" i="2"/>
  <c r="E90" i="2"/>
  <c r="C56" i="4"/>
  <c r="F56" i="4"/>
  <c r="D55" i="4"/>
  <c r="B86" i="2"/>
  <c r="D85" i="2"/>
  <c r="C73" i="5"/>
  <c r="B74" i="5"/>
  <c r="G74" i="4"/>
  <c r="B75" i="4"/>
  <c r="F85" i="2" l="1"/>
  <c r="H85" i="2" s="1"/>
  <c r="G85" i="2"/>
  <c r="I85" i="2" s="1"/>
  <c r="C86" i="2"/>
  <c r="E91" i="2"/>
  <c r="F57" i="4"/>
  <c r="C57" i="4"/>
  <c r="D56" i="4"/>
  <c r="C74" i="5"/>
  <c r="B75" i="5"/>
  <c r="B87" i="2"/>
  <c r="D86" i="2"/>
  <c r="B76" i="4"/>
  <c r="G75" i="4"/>
  <c r="F86" i="2" l="1"/>
  <c r="H86" i="2" s="1"/>
  <c r="G86" i="2"/>
  <c r="I86" i="2" s="1"/>
  <c r="C87" i="2"/>
  <c r="E92" i="2"/>
  <c r="C58" i="4"/>
  <c r="F58" i="4"/>
  <c r="D57" i="4"/>
  <c r="G76" i="4"/>
  <c r="B77" i="4"/>
  <c r="B88" i="2"/>
  <c r="D87" i="2"/>
  <c r="B76" i="5"/>
  <c r="C75" i="5"/>
  <c r="F87" i="2" l="1"/>
  <c r="H87" i="2" s="1"/>
  <c r="G87" i="2"/>
  <c r="I87" i="2" s="1"/>
  <c r="C88" i="2"/>
  <c r="E93" i="2"/>
  <c r="C59" i="4"/>
  <c r="F59" i="4"/>
  <c r="D58" i="4"/>
  <c r="B89" i="2"/>
  <c r="D88" i="2"/>
  <c r="B78" i="4"/>
  <c r="G77" i="4"/>
  <c r="B77" i="5"/>
  <c r="C76" i="5"/>
  <c r="D76" i="5" s="1"/>
  <c r="F88" i="2" l="1"/>
  <c r="H88" i="2" s="1"/>
  <c r="G88" i="2"/>
  <c r="I88" i="2" s="1"/>
  <c r="C89" i="2"/>
  <c r="E94" i="2"/>
  <c r="C60" i="4"/>
  <c r="F60" i="4"/>
  <c r="D59" i="4"/>
  <c r="B90" i="2"/>
  <c r="D89" i="2"/>
  <c r="B78" i="5"/>
  <c r="C77" i="5"/>
  <c r="G78" i="4"/>
  <c r="B79" i="4"/>
  <c r="G89" i="2" l="1"/>
  <c r="I89" i="2" s="1"/>
  <c r="F89" i="2"/>
  <c r="H89" i="2" s="1"/>
  <c r="C90" i="2"/>
  <c r="E95" i="2"/>
  <c r="C61" i="4"/>
  <c r="F61" i="4"/>
  <c r="D60" i="4"/>
  <c r="B91" i="2"/>
  <c r="D90" i="2"/>
  <c r="C78" i="5"/>
  <c r="B79" i="5"/>
  <c r="B80" i="4"/>
  <c r="G79" i="4"/>
  <c r="F90" i="2" l="1"/>
  <c r="H90" i="2" s="1"/>
  <c r="G90" i="2"/>
  <c r="I90" i="2" s="1"/>
  <c r="C91" i="2"/>
  <c r="E96" i="2"/>
  <c r="C62" i="4"/>
  <c r="F62" i="4"/>
  <c r="D61" i="4"/>
  <c r="B92" i="2"/>
  <c r="D91" i="2"/>
  <c r="B80" i="5"/>
  <c r="C79" i="5"/>
  <c r="G80" i="4"/>
  <c r="B81" i="4"/>
  <c r="F91" i="2" l="1"/>
  <c r="H91" i="2" s="1"/>
  <c r="G91" i="2"/>
  <c r="I91" i="2" s="1"/>
  <c r="C92" i="2"/>
  <c r="E97" i="2"/>
  <c r="F63" i="4"/>
  <c r="C63" i="4"/>
  <c r="D62" i="4"/>
  <c r="B81" i="5"/>
  <c r="C80" i="5"/>
  <c r="B93" i="2"/>
  <c r="D92" i="2"/>
  <c r="B82" i="4"/>
  <c r="G81" i="4"/>
  <c r="F92" i="2" l="1"/>
  <c r="H92" i="2" s="1"/>
  <c r="G92" i="2"/>
  <c r="I92" i="2" s="1"/>
  <c r="C93" i="2"/>
  <c r="E98" i="2"/>
  <c r="F64" i="4"/>
  <c r="C64" i="4"/>
  <c r="D63" i="4"/>
  <c r="B94" i="2"/>
  <c r="D93" i="2"/>
  <c r="B82" i="5"/>
  <c r="C81" i="5"/>
  <c r="G82" i="4"/>
  <c r="B83" i="4"/>
  <c r="G93" i="2" l="1"/>
  <c r="I93" i="2" s="1"/>
  <c r="F93" i="2"/>
  <c r="H93" i="2" s="1"/>
  <c r="C94" i="2"/>
  <c r="E99" i="2"/>
  <c r="F65" i="4"/>
  <c r="C65" i="4"/>
  <c r="D64" i="4"/>
  <c r="B84" i="4"/>
  <c r="G83" i="4"/>
  <c r="B95" i="2"/>
  <c r="D94" i="2"/>
  <c r="C82" i="5"/>
  <c r="B83" i="5"/>
  <c r="F94" i="2" l="1"/>
  <c r="H94" i="2" s="1"/>
  <c r="G94" i="2"/>
  <c r="I94" i="2" s="1"/>
  <c r="C95" i="2"/>
  <c r="E100" i="2"/>
  <c r="C66" i="4"/>
  <c r="F66" i="4"/>
  <c r="D65" i="4"/>
  <c r="G84" i="4"/>
  <c r="B85" i="4"/>
  <c r="B84" i="5"/>
  <c r="C83" i="5"/>
  <c r="B96" i="2"/>
  <c r="D95" i="2"/>
  <c r="F95" i="2" l="1"/>
  <c r="H95" i="2" s="1"/>
  <c r="G95" i="2"/>
  <c r="I95" i="2" s="1"/>
  <c r="C96" i="2"/>
  <c r="E101" i="2"/>
  <c r="C67" i="4"/>
  <c r="F67" i="4"/>
  <c r="D66" i="4"/>
  <c r="B85" i="5"/>
  <c r="C84" i="5"/>
  <c r="B97" i="2"/>
  <c r="D96" i="2"/>
  <c r="B86" i="4"/>
  <c r="G85" i="4"/>
  <c r="F96" i="2" l="1"/>
  <c r="H96" i="2" s="1"/>
  <c r="G96" i="2"/>
  <c r="I96" i="2" s="1"/>
  <c r="C97" i="2"/>
  <c r="E102" i="2"/>
  <c r="C68" i="4"/>
  <c r="F68" i="4"/>
  <c r="D67" i="4"/>
  <c r="G86" i="4"/>
  <c r="B87" i="4"/>
  <c r="B98" i="2"/>
  <c r="D97" i="2"/>
  <c r="B86" i="5"/>
  <c r="C85" i="5"/>
  <c r="F97" i="2" l="1"/>
  <c r="H97" i="2" s="1"/>
  <c r="G97" i="2"/>
  <c r="I97" i="2" s="1"/>
  <c r="C98" i="2"/>
  <c r="E103" i="2"/>
  <c r="F69" i="4"/>
  <c r="C69" i="4"/>
  <c r="D68" i="4"/>
  <c r="B99" i="2"/>
  <c r="D98" i="2"/>
  <c r="C86" i="5"/>
  <c r="B87" i="5"/>
  <c r="G87" i="4"/>
  <c r="B88" i="4"/>
  <c r="F98" i="2" l="1"/>
  <c r="H98" i="2" s="1"/>
  <c r="G98" i="2"/>
  <c r="I98" i="2" s="1"/>
  <c r="C99" i="2"/>
  <c r="E104" i="2"/>
  <c r="F70" i="4"/>
  <c r="C70" i="4"/>
  <c r="D69" i="4"/>
  <c r="B88" i="5"/>
  <c r="C87" i="5"/>
  <c r="B100" i="2"/>
  <c r="D99" i="2"/>
  <c r="G88" i="4"/>
  <c r="B89" i="4"/>
  <c r="F99" i="2" l="1"/>
  <c r="H99" i="2" s="1"/>
  <c r="G99" i="2"/>
  <c r="I99" i="2" s="1"/>
  <c r="C100" i="2"/>
  <c r="E105" i="2"/>
  <c r="F71" i="4"/>
  <c r="C71" i="4"/>
  <c r="D70" i="4"/>
  <c r="B89" i="5"/>
  <c r="C88" i="5"/>
  <c r="D88" i="5" s="1"/>
  <c r="B90" i="4"/>
  <c r="G89" i="4"/>
  <c r="B101" i="2"/>
  <c r="D100" i="2"/>
  <c r="F100" i="2" l="1"/>
  <c r="H100" i="2" s="1"/>
  <c r="G100" i="2"/>
  <c r="I100" i="2" s="1"/>
  <c r="C101" i="2"/>
  <c r="E106" i="2"/>
  <c r="C72" i="4"/>
  <c r="F72" i="4"/>
  <c r="D71" i="4"/>
  <c r="B102" i="2"/>
  <c r="D101" i="2"/>
  <c r="C89" i="5"/>
  <c r="B90" i="5"/>
  <c r="G90" i="4"/>
  <c r="B91" i="4"/>
  <c r="F101" i="2" l="1"/>
  <c r="H101" i="2" s="1"/>
  <c r="G101" i="2"/>
  <c r="I101" i="2" s="1"/>
  <c r="C102" i="2"/>
  <c r="E107" i="2"/>
  <c r="F73" i="4"/>
  <c r="C73" i="4"/>
  <c r="D72" i="4"/>
  <c r="G91" i="4"/>
  <c r="B92" i="4"/>
  <c r="B91" i="5"/>
  <c r="C90" i="5"/>
  <c r="B103" i="2"/>
  <c r="D102" i="2"/>
  <c r="F102" i="2" l="1"/>
  <c r="H102" i="2" s="1"/>
  <c r="G102" i="2"/>
  <c r="I102" i="2" s="1"/>
  <c r="C103" i="2"/>
  <c r="E108" i="2"/>
  <c r="C74" i="4"/>
  <c r="F74" i="4"/>
  <c r="D73" i="4"/>
  <c r="B104" i="2"/>
  <c r="D103" i="2"/>
  <c r="C91" i="5"/>
  <c r="B92" i="5"/>
  <c r="G92" i="4"/>
  <c r="B93" i="4"/>
  <c r="F103" i="2" l="1"/>
  <c r="H103" i="2" s="1"/>
  <c r="G103" i="2"/>
  <c r="I103" i="2" s="1"/>
  <c r="C104" i="2"/>
  <c r="E109" i="2"/>
  <c r="C75" i="4"/>
  <c r="F75" i="4"/>
  <c r="D74" i="4"/>
  <c r="B94" i="4"/>
  <c r="G93" i="4"/>
  <c r="C92" i="5"/>
  <c r="B93" i="5"/>
  <c r="B105" i="2"/>
  <c r="D104" i="2"/>
  <c r="F104" i="2" l="1"/>
  <c r="H104" i="2" s="1"/>
  <c r="G104" i="2"/>
  <c r="I104" i="2" s="1"/>
  <c r="C105" i="2"/>
  <c r="E110" i="2"/>
  <c r="F76" i="4"/>
  <c r="C76" i="4"/>
  <c r="D75" i="4"/>
  <c r="B106" i="2"/>
  <c r="D105" i="2"/>
  <c r="C93" i="5"/>
  <c r="B94" i="5"/>
  <c r="G94" i="4"/>
  <c r="B95" i="4"/>
  <c r="F105" i="2" l="1"/>
  <c r="H105" i="2" s="1"/>
  <c r="G105" i="2"/>
  <c r="I105" i="2" s="1"/>
  <c r="C106" i="2"/>
  <c r="E111" i="2"/>
  <c r="C77" i="4"/>
  <c r="F77" i="4"/>
  <c r="D76" i="4"/>
  <c r="B96" i="4"/>
  <c r="G95" i="4"/>
  <c r="C94" i="5"/>
  <c r="B95" i="5"/>
  <c r="B107" i="2"/>
  <c r="D106" i="2"/>
  <c r="F106" i="2" l="1"/>
  <c r="H106" i="2" s="1"/>
  <c r="G106" i="2"/>
  <c r="I106" i="2" s="1"/>
  <c r="C107" i="2"/>
  <c r="E112" i="2"/>
  <c r="C78" i="4"/>
  <c r="F78" i="4"/>
  <c r="D77" i="4"/>
  <c r="B108" i="2"/>
  <c r="D107" i="2"/>
  <c r="G96" i="4"/>
  <c r="B97" i="4"/>
  <c r="C95" i="5"/>
  <c r="B96" i="5"/>
  <c r="F107" i="2" l="1"/>
  <c r="H107" i="2" s="1"/>
  <c r="G107" i="2"/>
  <c r="I107" i="2" s="1"/>
  <c r="C108" i="2"/>
  <c r="E113" i="2"/>
  <c r="F79" i="4"/>
  <c r="C79" i="4"/>
  <c r="D78" i="4"/>
  <c r="B109" i="2"/>
  <c r="D108" i="2"/>
  <c r="B98" i="4"/>
  <c r="G97" i="4"/>
  <c r="C96" i="5"/>
  <c r="B97" i="5"/>
  <c r="F108" i="2" l="1"/>
  <c r="H108" i="2" s="1"/>
  <c r="G108" i="2"/>
  <c r="I108" i="2" s="1"/>
  <c r="C109" i="2"/>
  <c r="E114" i="2"/>
  <c r="C80" i="4"/>
  <c r="F80" i="4"/>
  <c r="D79" i="4"/>
  <c r="C97" i="5"/>
  <c r="B98" i="5"/>
  <c r="G98" i="4"/>
  <c r="B99" i="4"/>
  <c r="B110" i="2"/>
  <c r="D109" i="2"/>
  <c r="F109" i="2" l="1"/>
  <c r="H109" i="2" s="1"/>
  <c r="G109" i="2"/>
  <c r="I109" i="2" s="1"/>
  <c r="C110" i="2"/>
  <c r="E115" i="2"/>
  <c r="C81" i="4"/>
  <c r="F81" i="4"/>
  <c r="D80" i="4"/>
  <c r="B111" i="2"/>
  <c r="D110" i="2"/>
  <c r="B100" i="4"/>
  <c r="G99" i="4"/>
  <c r="B99" i="5"/>
  <c r="C98" i="5"/>
  <c r="F110" i="2" l="1"/>
  <c r="H110" i="2" s="1"/>
  <c r="G110" i="2"/>
  <c r="I110" i="2" s="1"/>
  <c r="C111" i="2"/>
  <c r="E116" i="2"/>
  <c r="C82" i="4"/>
  <c r="F82" i="4"/>
  <c r="D81" i="4"/>
  <c r="B100" i="5"/>
  <c r="C99" i="5"/>
  <c r="B112" i="2"/>
  <c r="D111" i="2"/>
  <c r="G100" i="4"/>
  <c r="B101" i="4"/>
  <c r="F111" i="2" l="1"/>
  <c r="H111" i="2" s="1"/>
  <c r="G111" i="2"/>
  <c r="I111" i="2" s="1"/>
  <c r="C112" i="2"/>
  <c r="E117" i="2"/>
  <c r="C83" i="4"/>
  <c r="F83" i="4"/>
  <c r="D82" i="4"/>
  <c r="B102" i="4"/>
  <c r="G101" i="4"/>
  <c r="B101" i="5"/>
  <c r="C100" i="5"/>
  <c r="D100" i="5" s="1"/>
  <c r="B113" i="2"/>
  <c r="D112" i="2"/>
  <c r="F112" i="2" l="1"/>
  <c r="H112" i="2" s="1"/>
  <c r="G112" i="2"/>
  <c r="I112" i="2" s="1"/>
  <c r="C113" i="2"/>
  <c r="E118" i="2"/>
  <c r="C84" i="4"/>
  <c r="F84" i="4"/>
  <c r="D83" i="4"/>
  <c r="G102" i="4"/>
  <c r="B103" i="4"/>
  <c r="B102" i="5"/>
  <c r="C101" i="5"/>
  <c r="B114" i="2"/>
  <c r="D113" i="2"/>
  <c r="F113" i="2" l="1"/>
  <c r="H113" i="2" s="1"/>
  <c r="G113" i="2"/>
  <c r="I113" i="2" s="1"/>
  <c r="C114" i="2"/>
  <c r="E119" i="2"/>
  <c r="C85" i="4"/>
  <c r="F85" i="4"/>
  <c r="D84" i="4"/>
  <c r="C102" i="5"/>
  <c r="B103" i="5"/>
  <c r="B115" i="2"/>
  <c r="D114" i="2"/>
  <c r="G103" i="4"/>
  <c r="B104" i="4"/>
  <c r="F114" i="2" l="1"/>
  <c r="H114" i="2" s="1"/>
  <c r="G114" i="2"/>
  <c r="I114" i="2" s="1"/>
  <c r="C115" i="2"/>
  <c r="E120" i="2"/>
  <c r="C86" i="4"/>
  <c r="F86" i="4"/>
  <c r="D85" i="4"/>
  <c r="G104" i="4"/>
  <c r="B105" i="4"/>
  <c r="B116" i="2"/>
  <c r="D115" i="2"/>
  <c r="C103" i="5"/>
  <c r="B104" i="5"/>
  <c r="F115" i="2" l="1"/>
  <c r="H115" i="2" s="1"/>
  <c r="G115" i="2"/>
  <c r="I115" i="2" s="1"/>
  <c r="C116" i="2"/>
  <c r="E121" i="2"/>
  <c r="F87" i="4"/>
  <c r="C87" i="4"/>
  <c r="D86" i="4"/>
  <c r="B106" i="4"/>
  <c r="G105" i="4"/>
  <c r="B117" i="2"/>
  <c r="D116" i="2"/>
  <c r="B105" i="5"/>
  <c r="C104" i="5"/>
  <c r="F116" i="2" l="1"/>
  <c r="H116" i="2" s="1"/>
  <c r="G116" i="2"/>
  <c r="I116" i="2" s="1"/>
  <c r="C117" i="2"/>
  <c r="E122" i="2"/>
  <c r="C88" i="4"/>
  <c r="F88" i="4"/>
  <c r="D87" i="4"/>
  <c r="C105" i="5"/>
  <c r="B106" i="5"/>
  <c r="B118" i="2"/>
  <c r="D117" i="2"/>
  <c r="G106" i="4"/>
  <c r="B107" i="4"/>
  <c r="F117" i="2" l="1"/>
  <c r="H117" i="2" s="1"/>
  <c r="G117" i="2"/>
  <c r="I117" i="2" s="1"/>
  <c r="C118" i="2"/>
  <c r="E123" i="2"/>
  <c r="F89" i="4"/>
  <c r="C89" i="4"/>
  <c r="D88" i="4"/>
  <c r="B119" i="2"/>
  <c r="D118" i="2"/>
  <c r="B108" i="4"/>
  <c r="G107" i="4"/>
  <c r="C106" i="5"/>
  <c r="B107" i="5"/>
  <c r="F118" i="2" l="1"/>
  <c r="H118" i="2" s="1"/>
  <c r="G118" i="2"/>
  <c r="I118" i="2" s="1"/>
  <c r="C119" i="2"/>
  <c r="E124" i="2"/>
  <c r="C90" i="4"/>
  <c r="F90" i="4"/>
  <c r="D89" i="4"/>
  <c r="G108" i="4"/>
  <c r="B109" i="4"/>
  <c r="C107" i="5"/>
  <c r="B108" i="5"/>
  <c r="B120" i="2"/>
  <c r="D119" i="2"/>
  <c r="F119" i="2" l="1"/>
  <c r="H119" i="2" s="1"/>
  <c r="G119" i="2"/>
  <c r="I119" i="2" s="1"/>
  <c r="C120" i="2"/>
  <c r="E125" i="2"/>
  <c r="F91" i="4"/>
  <c r="C91" i="4"/>
  <c r="D90" i="4"/>
  <c r="B110" i="4"/>
  <c r="G109" i="4"/>
  <c r="B109" i="5"/>
  <c r="C108" i="5"/>
  <c r="B121" i="2"/>
  <c r="D120" i="2"/>
  <c r="F120" i="2" l="1"/>
  <c r="H120" i="2" s="1"/>
  <c r="G120" i="2"/>
  <c r="I120" i="2" s="1"/>
  <c r="C121" i="2"/>
  <c r="E126" i="2"/>
  <c r="F92" i="4"/>
  <c r="C92" i="4"/>
  <c r="D91" i="4"/>
  <c r="B122" i="2"/>
  <c r="D121" i="2"/>
  <c r="B110" i="5"/>
  <c r="C109" i="5"/>
  <c r="G110" i="4"/>
  <c r="B111" i="4"/>
  <c r="F121" i="2" l="1"/>
  <c r="H121" i="2" s="1"/>
  <c r="G121" i="2"/>
  <c r="I121" i="2" s="1"/>
  <c r="C122" i="2"/>
  <c r="E127" i="2"/>
  <c r="C93" i="4"/>
  <c r="F93" i="4"/>
  <c r="D92" i="4"/>
  <c r="B112" i="4"/>
  <c r="G111" i="4"/>
  <c r="B123" i="2"/>
  <c r="D122" i="2"/>
  <c r="C110" i="5"/>
  <c r="B111" i="5"/>
  <c r="F122" i="2" l="1"/>
  <c r="H122" i="2" s="1"/>
  <c r="G122" i="2"/>
  <c r="I122" i="2" s="1"/>
  <c r="C123" i="2"/>
  <c r="E128" i="2"/>
  <c r="F94" i="4"/>
  <c r="C94" i="4"/>
  <c r="D93" i="4"/>
  <c r="B124" i="2"/>
  <c r="D123" i="2"/>
  <c r="G112" i="4"/>
  <c r="B113" i="4"/>
  <c r="C111" i="5"/>
  <c r="B112" i="5"/>
  <c r="F123" i="2" l="1"/>
  <c r="H123" i="2" s="1"/>
  <c r="G123" i="2"/>
  <c r="I123" i="2" s="1"/>
  <c r="C124" i="2"/>
  <c r="E129" i="2"/>
  <c r="C95" i="4"/>
  <c r="F95" i="4"/>
  <c r="D94" i="4"/>
  <c r="B113" i="5"/>
  <c r="C112" i="5"/>
  <c r="D112" i="5" s="1"/>
  <c r="B125" i="2"/>
  <c r="D124" i="2"/>
  <c r="B114" i="4"/>
  <c r="G113" i="4"/>
  <c r="F124" i="2" l="1"/>
  <c r="H124" i="2" s="1"/>
  <c r="G124" i="2"/>
  <c r="I124" i="2" s="1"/>
  <c r="C125" i="2"/>
  <c r="E130" i="2"/>
  <c r="C96" i="4"/>
  <c r="F96" i="4"/>
  <c r="D95" i="4"/>
  <c r="B126" i="2"/>
  <c r="D125" i="2"/>
  <c r="B114" i="5"/>
  <c r="C113" i="5"/>
  <c r="G114" i="4"/>
  <c r="B115" i="4"/>
  <c r="F125" i="2" l="1"/>
  <c r="H125" i="2" s="1"/>
  <c r="G125" i="2"/>
  <c r="I125" i="2" s="1"/>
  <c r="C126" i="2"/>
  <c r="E131" i="2"/>
  <c r="F97" i="4"/>
  <c r="C97" i="4"/>
  <c r="D96" i="4"/>
  <c r="B115" i="5"/>
  <c r="C114" i="5"/>
  <c r="B127" i="2"/>
  <c r="D126" i="2"/>
  <c r="B116" i="4"/>
  <c r="G115" i="4"/>
  <c r="F126" i="2" l="1"/>
  <c r="H126" i="2" s="1"/>
  <c r="G126" i="2"/>
  <c r="I126" i="2" s="1"/>
  <c r="C127" i="2"/>
  <c r="E132" i="2"/>
  <c r="C98" i="4"/>
  <c r="F98" i="4"/>
  <c r="D97" i="4"/>
  <c r="B116" i="5"/>
  <c r="C115" i="5"/>
  <c r="G116" i="4"/>
  <c r="B117" i="4"/>
  <c r="B128" i="2"/>
  <c r="D127" i="2"/>
  <c r="F127" i="2" l="1"/>
  <c r="H127" i="2" s="1"/>
  <c r="G127" i="2"/>
  <c r="I127" i="2" s="1"/>
  <c r="C128" i="2"/>
  <c r="E133" i="2"/>
  <c r="F99" i="4"/>
  <c r="C99" i="4"/>
  <c r="D98" i="4"/>
  <c r="B118" i="4"/>
  <c r="G117" i="4"/>
  <c r="C116" i="5"/>
  <c r="B117" i="5"/>
  <c r="B129" i="2"/>
  <c r="D128" i="2"/>
  <c r="F128" i="2" l="1"/>
  <c r="H128" i="2" s="1"/>
  <c r="G128" i="2"/>
  <c r="I128" i="2" s="1"/>
  <c r="C129" i="2"/>
  <c r="E134" i="2"/>
  <c r="C100" i="4"/>
  <c r="F100" i="4"/>
  <c r="D99" i="4"/>
  <c r="G118" i="4"/>
  <c r="B119" i="4"/>
  <c r="B130" i="2"/>
  <c r="D129" i="2"/>
  <c r="B118" i="5"/>
  <c r="C117" i="5"/>
  <c r="F129" i="2" l="1"/>
  <c r="H129" i="2" s="1"/>
  <c r="G129" i="2"/>
  <c r="I129" i="2" s="1"/>
  <c r="C130" i="2"/>
  <c r="E135" i="2"/>
  <c r="F101" i="4"/>
  <c r="C101" i="4"/>
  <c r="D100" i="4"/>
  <c r="B131" i="2"/>
  <c r="D130" i="2"/>
  <c r="G119" i="4"/>
  <c r="B120" i="4"/>
  <c r="B119" i="5"/>
  <c r="C118" i="5"/>
  <c r="F130" i="2" l="1"/>
  <c r="H130" i="2" s="1"/>
  <c r="G130" i="2"/>
  <c r="I130" i="2" s="1"/>
  <c r="C131" i="2"/>
  <c r="E136" i="2"/>
  <c r="F102" i="4"/>
  <c r="C102" i="4"/>
  <c r="D101" i="4"/>
  <c r="B132" i="2"/>
  <c r="D131" i="2"/>
  <c r="C119" i="5"/>
  <c r="B120" i="5"/>
  <c r="G120" i="4"/>
  <c r="B121" i="4"/>
  <c r="F131" i="2" l="1"/>
  <c r="H131" i="2" s="1"/>
  <c r="G131" i="2"/>
  <c r="I131" i="2" s="1"/>
  <c r="C132" i="2"/>
  <c r="E137" i="2"/>
  <c r="F103" i="4"/>
  <c r="C103" i="4"/>
  <c r="D102" i="4"/>
  <c r="B122" i="4"/>
  <c r="G121" i="4"/>
  <c r="B133" i="2"/>
  <c r="D132" i="2"/>
  <c r="C120" i="5"/>
  <c r="B121" i="5"/>
  <c r="F132" i="2" l="1"/>
  <c r="H132" i="2" s="1"/>
  <c r="G132" i="2"/>
  <c r="I132" i="2" s="1"/>
  <c r="C133" i="2"/>
  <c r="E138" i="2"/>
  <c r="F104" i="4"/>
  <c r="C104" i="4"/>
  <c r="D103" i="4"/>
  <c r="B122" i="5"/>
  <c r="C121" i="5"/>
  <c r="B134" i="2"/>
  <c r="D133" i="2"/>
  <c r="G122" i="4"/>
  <c r="B123" i="4"/>
  <c r="F133" i="2" l="1"/>
  <c r="H133" i="2" s="1"/>
  <c r="G133" i="2"/>
  <c r="I133" i="2" s="1"/>
  <c r="C134" i="2"/>
  <c r="E139" i="2"/>
  <c r="C105" i="4"/>
  <c r="F105" i="4"/>
  <c r="D104" i="4"/>
  <c r="B135" i="2"/>
  <c r="D134" i="2"/>
  <c r="B123" i="5"/>
  <c r="C122" i="5"/>
  <c r="G123" i="4"/>
  <c r="B124" i="4"/>
  <c r="F134" i="2" l="1"/>
  <c r="H134" i="2" s="1"/>
  <c r="G134" i="2"/>
  <c r="I134" i="2" s="1"/>
  <c r="C135" i="2"/>
  <c r="E140" i="2"/>
  <c r="C106" i="4"/>
  <c r="F106" i="4"/>
  <c r="D105" i="4"/>
  <c r="B136" i="2"/>
  <c r="D135" i="2"/>
  <c r="C123" i="5"/>
  <c r="B124" i="5"/>
  <c r="G124" i="4"/>
  <c r="B125" i="4"/>
  <c r="F135" i="2" l="1"/>
  <c r="H135" i="2" s="1"/>
  <c r="G135" i="2"/>
  <c r="I135" i="2" s="1"/>
  <c r="C136" i="2"/>
  <c r="E141" i="2"/>
  <c r="C107" i="4"/>
  <c r="F107" i="4"/>
  <c r="D106" i="4"/>
  <c r="C124" i="5"/>
  <c r="D124" i="5" s="1"/>
  <c r="B125" i="5"/>
  <c r="B137" i="2"/>
  <c r="D136" i="2"/>
  <c r="B126" i="4"/>
  <c r="G125" i="4"/>
  <c r="F136" i="2" l="1"/>
  <c r="H136" i="2" s="1"/>
  <c r="G136" i="2"/>
  <c r="I136" i="2" s="1"/>
  <c r="C137" i="2"/>
  <c r="E142" i="2"/>
  <c r="C108" i="4"/>
  <c r="F108" i="4"/>
  <c r="D107" i="4"/>
  <c r="C125" i="5"/>
  <c r="B126" i="5"/>
  <c r="G126" i="4"/>
  <c r="B127" i="4"/>
  <c r="B138" i="2"/>
  <c r="D137" i="2"/>
  <c r="F137" i="2" l="1"/>
  <c r="H137" i="2" s="1"/>
  <c r="G137" i="2"/>
  <c r="I137" i="2" s="1"/>
  <c r="C138" i="2"/>
  <c r="E143" i="2"/>
  <c r="C109" i="4"/>
  <c r="F109" i="4"/>
  <c r="D108" i="4"/>
  <c r="C126" i="5"/>
  <c r="B127" i="5"/>
  <c r="B139" i="2"/>
  <c r="D138" i="2"/>
  <c r="B128" i="4"/>
  <c r="G127" i="4"/>
  <c r="F138" i="2" l="1"/>
  <c r="H138" i="2" s="1"/>
  <c r="G138" i="2"/>
  <c r="I138" i="2" s="1"/>
  <c r="C139" i="2"/>
  <c r="E144" i="2"/>
  <c r="C110" i="4"/>
  <c r="F110" i="4"/>
  <c r="D109" i="4"/>
  <c r="B140" i="2"/>
  <c r="D139" i="2"/>
  <c r="B128" i="5"/>
  <c r="C127" i="5"/>
  <c r="G128" i="4"/>
  <c r="B129" i="4"/>
  <c r="F139" i="2" l="1"/>
  <c r="H139" i="2" s="1"/>
  <c r="G139" i="2"/>
  <c r="I139" i="2" s="1"/>
  <c r="C140" i="2"/>
  <c r="E145" i="2"/>
  <c r="C111" i="4"/>
  <c r="F111" i="4"/>
  <c r="D110" i="4"/>
  <c r="B141" i="2"/>
  <c r="D140" i="2"/>
  <c r="B130" i="4"/>
  <c r="G129" i="4"/>
  <c r="C128" i="5"/>
  <c r="B129" i="5"/>
  <c r="F140" i="2" l="1"/>
  <c r="H140" i="2" s="1"/>
  <c r="G140" i="2"/>
  <c r="I140" i="2" s="1"/>
  <c r="C141" i="2"/>
  <c r="E146" i="2"/>
  <c r="C112" i="4"/>
  <c r="F112" i="4"/>
  <c r="D111" i="4"/>
  <c r="G130" i="4"/>
  <c r="B131" i="4"/>
  <c r="B142" i="2"/>
  <c r="D141" i="2"/>
  <c r="C129" i="5"/>
  <c r="B130" i="5"/>
  <c r="F141" i="2" l="1"/>
  <c r="H141" i="2" s="1"/>
  <c r="G141" i="2"/>
  <c r="I141" i="2" s="1"/>
  <c r="C142" i="2"/>
  <c r="E147" i="2"/>
  <c r="F113" i="4"/>
  <c r="C113" i="4"/>
  <c r="D112" i="4"/>
  <c r="C130" i="5"/>
  <c r="B131" i="5"/>
  <c r="B143" i="2"/>
  <c r="D142" i="2"/>
  <c r="B132" i="4"/>
  <c r="G131" i="4"/>
  <c r="F142" i="2" l="1"/>
  <c r="H142" i="2" s="1"/>
  <c r="G142" i="2"/>
  <c r="I142" i="2" s="1"/>
  <c r="C143" i="2"/>
  <c r="E148" i="2"/>
  <c r="C114" i="4"/>
  <c r="F114" i="4"/>
  <c r="D113" i="4"/>
  <c r="B144" i="2"/>
  <c r="D143" i="2"/>
  <c r="B132" i="5"/>
  <c r="C131" i="5"/>
  <c r="G132" i="4"/>
  <c r="B133" i="4"/>
  <c r="F143" i="2" l="1"/>
  <c r="H143" i="2" s="1"/>
  <c r="G143" i="2"/>
  <c r="I143" i="2" s="1"/>
  <c r="C144" i="2"/>
  <c r="E149" i="2"/>
  <c r="C115" i="4"/>
  <c r="F115" i="4"/>
  <c r="D114" i="4"/>
  <c r="B145" i="2"/>
  <c r="D144" i="2"/>
  <c r="B134" i="4"/>
  <c r="G133" i="4"/>
  <c r="B133" i="5"/>
  <c r="C132" i="5"/>
  <c r="F144" i="2" l="1"/>
  <c r="H144" i="2" s="1"/>
  <c r="G144" i="2"/>
  <c r="I144" i="2" s="1"/>
  <c r="C145" i="2"/>
  <c r="E150" i="2"/>
  <c r="C116" i="4"/>
  <c r="F116" i="4"/>
  <c r="D115" i="4"/>
  <c r="C133" i="5"/>
  <c r="B134" i="5"/>
  <c r="G134" i="4"/>
  <c r="B135" i="4"/>
  <c r="B146" i="2"/>
  <c r="D145" i="2"/>
  <c r="F145" i="2" l="1"/>
  <c r="H145" i="2" s="1"/>
  <c r="G145" i="2"/>
  <c r="I145" i="2" s="1"/>
  <c r="C146" i="2"/>
  <c r="E151" i="2"/>
  <c r="C117" i="4"/>
  <c r="F117" i="4"/>
  <c r="D116" i="4"/>
  <c r="G135" i="4"/>
  <c r="B136" i="4"/>
  <c r="C134" i="5"/>
  <c r="B135" i="5"/>
  <c r="B147" i="2"/>
  <c r="D146" i="2"/>
  <c r="F146" i="2" l="1"/>
  <c r="H146" i="2" s="1"/>
  <c r="G146" i="2"/>
  <c r="I146" i="2" s="1"/>
  <c r="C147" i="2"/>
  <c r="E152" i="2"/>
  <c r="F118" i="4"/>
  <c r="C118" i="4"/>
  <c r="D117" i="4"/>
  <c r="G136" i="4"/>
  <c r="B137" i="4"/>
  <c r="C135" i="5"/>
  <c r="B136" i="5"/>
  <c r="B148" i="2"/>
  <c r="D147" i="2"/>
  <c r="F147" i="2" l="1"/>
  <c r="H147" i="2" s="1"/>
  <c r="G147" i="2"/>
  <c r="I147" i="2" s="1"/>
  <c r="C148" i="2"/>
  <c r="E153" i="2"/>
  <c r="C119" i="4"/>
  <c r="F119" i="4"/>
  <c r="D118" i="4"/>
  <c r="B137" i="5"/>
  <c r="C136" i="5"/>
  <c r="D136" i="5" s="1"/>
  <c r="B138" i="4"/>
  <c r="G137" i="4"/>
  <c r="B149" i="2"/>
  <c r="D148" i="2"/>
  <c r="F148" i="2" l="1"/>
  <c r="H148" i="2" s="1"/>
  <c r="G148" i="2"/>
  <c r="I148" i="2" s="1"/>
  <c r="C149" i="2"/>
  <c r="E154" i="2"/>
  <c r="F120" i="4"/>
  <c r="C120" i="4"/>
  <c r="D119" i="4"/>
  <c r="B150" i="2"/>
  <c r="D149" i="2"/>
  <c r="G138" i="4"/>
  <c r="B139" i="4"/>
  <c r="B138" i="5"/>
  <c r="C137" i="5"/>
  <c r="F149" i="2" l="1"/>
  <c r="H149" i="2" s="1"/>
  <c r="G149" i="2"/>
  <c r="I149" i="2" s="1"/>
  <c r="C150" i="2"/>
  <c r="E155" i="2"/>
  <c r="F121" i="4"/>
  <c r="C121" i="4"/>
  <c r="D120" i="4"/>
  <c r="B151" i="2"/>
  <c r="D150" i="2"/>
  <c r="B139" i="5"/>
  <c r="C138" i="5"/>
  <c r="B140" i="4"/>
  <c r="G139" i="4"/>
  <c r="F150" i="2" l="1"/>
  <c r="H150" i="2" s="1"/>
  <c r="G150" i="2"/>
  <c r="I150" i="2" s="1"/>
  <c r="C151" i="2"/>
  <c r="E156" i="2"/>
  <c r="C122" i="4"/>
  <c r="F122" i="4"/>
  <c r="D121" i="4"/>
  <c r="G140" i="4"/>
  <c r="B141" i="4"/>
  <c r="B152" i="2"/>
  <c r="D151" i="2"/>
  <c r="C139" i="5"/>
  <c r="B140" i="5"/>
  <c r="F151" i="2" l="1"/>
  <c r="H151" i="2" s="1"/>
  <c r="G151" i="2"/>
  <c r="I151" i="2" s="1"/>
  <c r="C152" i="2"/>
  <c r="E157" i="2"/>
  <c r="C123" i="4"/>
  <c r="F123" i="4"/>
  <c r="D122" i="4"/>
  <c r="B141" i="5"/>
  <c r="C140" i="5"/>
  <c r="B142" i="4"/>
  <c r="G141" i="4"/>
  <c r="B153" i="2"/>
  <c r="D152" i="2"/>
  <c r="F152" i="2" l="1"/>
  <c r="H152" i="2" s="1"/>
  <c r="G152" i="2"/>
  <c r="I152" i="2" s="1"/>
  <c r="C153" i="2"/>
  <c r="E158" i="2"/>
  <c r="F124" i="4"/>
  <c r="C124" i="4"/>
  <c r="D123" i="4"/>
  <c r="G142" i="4"/>
  <c r="B143" i="4"/>
  <c r="B154" i="2"/>
  <c r="D153" i="2"/>
  <c r="B142" i="5"/>
  <c r="C141" i="5"/>
  <c r="F153" i="2" l="1"/>
  <c r="H153" i="2" s="1"/>
  <c r="G153" i="2"/>
  <c r="I153" i="2" s="1"/>
  <c r="C154" i="2"/>
  <c r="E159" i="2"/>
  <c r="C125" i="4"/>
  <c r="F125" i="4"/>
  <c r="D124" i="4"/>
  <c r="B144" i="4"/>
  <c r="G143" i="4"/>
  <c r="B155" i="2"/>
  <c r="D154" i="2"/>
  <c r="B143" i="5"/>
  <c r="C142" i="5"/>
  <c r="F154" i="2" l="1"/>
  <c r="H154" i="2" s="1"/>
  <c r="G154" i="2"/>
  <c r="I154" i="2" s="1"/>
  <c r="C155" i="2"/>
  <c r="E160" i="2"/>
  <c r="C126" i="4"/>
  <c r="F126" i="4"/>
  <c r="D125" i="4"/>
  <c r="B156" i="2"/>
  <c r="D155" i="2"/>
  <c r="C143" i="5"/>
  <c r="B144" i="5"/>
  <c r="G144" i="4"/>
  <c r="B145" i="4"/>
  <c r="F155" i="2" l="1"/>
  <c r="H155" i="2" s="1"/>
  <c r="G155" i="2"/>
  <c r="I155" i="2" s="1"/>
  <c r="C156" i="2"/>
  <c r="E161" i="2"/>
  <c r="F127" i="4"/>
  <c r="C127" i="4"/>
  <c r="D126" i="4"/>
  <c r="B146" i="4"/>
  <c r="G145" i="4"/>
  <c r="B145" i="5"/>
  <c r="C144" i="5"/>
  <c r="B157" i="2"/>
  <c r="D156" i="2"/>
  <c r="F156" i="2" l="1"/>
  <c r="H156" i="2" s="1"/>
  <c r="G156" i="2"/>
  <c r="I156" i="2" s="1"/>
  <c r="C157" i="2"/>
  <c r="E162" i="2"/>
  <c r="F128" i="4"/>
  <c r="D128" i="4" s="1"/>
  <c r="D127" i="4"/>
  <c r="G146" i="4"/>
  <c r="B147" i="4"/>
  <c r="B146" i="5"/>
  <c r="C145" i="5"/>
  <c r="B158" i="2"/>
  <c r="D157" i="2"/>
  <c r="F157" i="2" l="1"/>
  <c r="H157" i="2" s="1"/>
  <c r="G157" i="2"/>
  <c r="I157" i="2" s="1"/>
  <c r="C158" i="2"/>
  <c r="E163" i="2"/>
  <c r="C128" i="4"/>
  <c r="B148" i="4"/>
  <c r="G147" i="4"/>
  <c r="B147" i="5"/>
  <c r="C146" i="5"/>
  <c r="B159" i="2"/>
  <c r="D158" i="2"/>
  <c r="F158" i="2" l="1"/>
  <c r="H158" i="2"/>
  <c r="G158" i="2"/>
  <c r="I158" i="2" s="1"/>
  <c r="C159" i="2"/>
  <c r="E164" i="2"/>
  <c r="F129" i="4"/>
  <c r="C129" i="4"/>
  <c r="B160" i="2"/>
  <c r="D159" i="2"/>
  <c r="G148" i="4"/>
  <c r="B149" i="4"/>
  <c r="C147" i="5"/>
  <c r="B148" i="5"/>
  <c r="F159" i="2" l="1"/>
  <c r="H159" i="2" s="1"/>
  <c r="G159" i="2"/>
  <c r="I159" i="2" s="1"/>
  <c r="C160" i="2"/>
  <c r="E165" i="2"/>
  <c r="C130" i="4"/>
  <c r="F130" i="4"/>
  <c r="D129" i="4"/>
  <c r="B150" i="4"/>
  <c r="G149" i="4"/>
  <c r="B161" i="2"/>
  <c r="D160" i="2"/>
  <c r="C148" i="5"/>
  <c r="D148" i="5" s="1"/>
  <c r="B149" i="5"/>
  <c r="F160" i="2" l="1"/>
  <c r="H160" i="2" s="1"/>
  <c r="G160" i="2"/>
  <c r="I160" i="2" s="1"/>
  <c r="C161" i="2"/>
  <c r="E166" i="2"/>
  <c r="C131" i="4"/>
  <c r="F131" i="4"/>
  <c r="D130" i="4"/>
  <c r="C149" i="5"/>
  <c r="B150" i="5"/>
  <c r="G150" i="4"/>
  <c r="B151" i="4"/>
  <c r="B162" i="2"/>
  <c r="D161" i="2"/>
  <c r="F161" i="2" l="1"/>
  <c r="H161" i="2" s="1"/>
  <c r="G161" i="2"/>
  <c r="I161" i="2" s="1"/>
  <c r="C162" i="2"/>
  <c r="E167" i="2"/>
  <c r="C132" i="4"/>
  <c r="F132" i="4"/>
  <c r="D131" i="4"/>
  <c r="C150" i="5"/>
  <c r="B151" i="5"/>
  <c r="G151" i="4"/>
  <c r="B152" i="4"/>
  <c r="B163" i="2"/>
  <c r="D162" i="2"/>
  <c r="F162" i="2" l="1"/>
  <c r="H162" i="2" s="1"/>
  <c r="G162" i="2"/>
  <c r="I162" i="2" s="1"/>
  <c r="C163" i="2"/>
  <c r="E168" i="2"/>
  <c r="C133" i="4"/>
  <c r="F133" i="4"/>
  <c r="D132" i="4"/>
  <c r="G152" i="4"/>
  <c r="B153" i="4"/>
  <c r="C151" i="5"/>
  <c r="B152" i="5"/>
  <c r="B164" i="2"/>
  <c r="D163" i="2"/>
  <c r="F163" i="2" l="1"/>
  <c r="H163" i="2" s="1"/>
  <c r="G163" i="2"/>
  <c r="I163" i="2" s="1"/>
  <c r="C164" i="2"/>
  <c r="E169" i="2"/>
  <c r="F134" i="4"/>
  <c r="C134" i="4"/>
  <c r="D133" i="4"/>
  <c r="C152" i="5"/>
  <c r="B153" i="5"/>
  <c r="B165" i="2"/>
  <c r="D164" i="2"/>
  <c r="B154" i="4"/>
  <c r="G153" i="4"/>
  <c r="F164" i="2" l="1"/>
  <c r="H164" i="2" s="1"/>
  <c r="G164" i="2"/>
  <c r="I164" i="2" s="1"/>
  <c r="C165" i="2"/>
  <c r="E170" i="2"/>
  <c r="F135" i="4"/>
  <c r="C135" i="4"/>
  <c r="D134" i="4"/>
  <c r="G154" i="4"/>
  <c r="B155" i="4"/>
  <c r="C153" i="5"/>
  <c r="B154" i="5"/>
  <c r="B166" i="2"/>
  <c r="D165" i="2"/>
  <c r="F165" i="2" l="1"/>
  <c r="H165" i="2" s="1"/>
  <c r="G165" i="2"/>
  <c r="I165" i="2" s="1"/>
  <c r="C166" i="2"/>
  <c r="E171" i="2"/>
  <c r="C136" i="4"/>
  <c r="F136" i="4"/>
  <c r="D135" i="4"/>
  <c r="G155" i="4"/>
  <c r="B156" i="4"/>
  <c r="B167" i="2"/>
  <c r="D166" i="2"/>
  <c r="C154" i="5"/>
  <c r="B155" i="5"/>
  <c r="F166" i="2" l="1"/>
  <c r="H166" i="2" s="1"/>
  <c r="G166" i="2"/>
  <c r="I166" i="2" s="1"/>
  <c r="C167" i="2"/>
  <c r="E172" i="2"/>
  <c r="F137" i="4"/>
  <c r="C137" i="4"/>
  <c r="D136" i="4"/>
  <c r="G156" i="4"/>
  <c r="B157" i="4"/>
  <c r="B156" i="5"/>
  <c r="C155" i="5"/>
  <c r="B168" i="2"/>
  <c r="D167" i="2"/>
  <c r="F167" i="2" l="1"/>
  <c r="H167" i="2" s="1"/>
  <c r="G167" i="2"/>
  <c r="I167" i="2" s="1"/>
  <c r="C168" i="2"/>
  <c r="E173" i="2"/>
  <c r="C138" i="4"/>
  <c r="F138" i="4"/>
  <c r="D137" i="4"/>
  <c r="C156" i="5"/>
  <c r="B157" i="5"/>
  <c r="B158" i="4"/>
  <c r="G157" i="4"/>
  <c r="B169" i="2"/>
  <c r="D168" i="2"/>
  <c r="F168" i="2" l="1"/>
  <c r="H168" i="2" s="1"/>
  <c r="G168" i="2"/>
  <c r="I168" i="2" s="1"/>
  <c r="C169" i="2"/>
  <c r="E174" i="2"/>
  <c r="F139" i="4"/>
  <c r="C139" i="4"/>
  <c r="D138" i="4"/>
  <c r="C157" i="5"/>
  <c r="B158" i="5"/>
  <c r="G158" i="4"/>
  <c r="B159" i="4"/>
  <c r="B170" i="2"/>
  <c r="D169" i="2"/>
  <c r="F169" i="2" l="1"/>
  <c r="H169" i="2" s="1"/>
  <c r="G169" i="2"/>
  <c r="I169" i="2" s="1"/>
  <c r="C170" i="2"/>
  <c r="E175" i="2"/>
  <c r="C140" i="4"/>
  <c r="F140" i="4"/>
  <c r="D139" i="4"/>
  <c r="C158" i="5"/>
  <c r="B159" i="5"/>
  <c r="B171" i="2"/>
  <c r="D170" i="2"/>
  <c r="B160" i="4"/>
  <c r="G159" i="4"/>
  <c r="F170" i="2" l="1"/>
  <c r="H170" i="2" s="1"/>
  <c r="G170" i="2"/>
  <c r="I170" i="2" s="1"/>
  <c r="C171" i="2"/>
  <c r="E176" i="2"/>
  <c r="C141" i="4"/>
  <c r="F141" i="4"/>
  <c r="D140" i="4"/>
  <c r="B172" i="2"/>
  <c r="D171" i="2"/>
  <c r="C159" i="5"/>
  <c r="B160" i="5"/>
  <c r="G160" i="4"/>
  <c r="B161" i="4"/>
  <c r="F171" i="2" l="1"/>
  <c r="H171" i="2" s="1"/>
  <c r="G171" i="2"/>
  <c r="I171" i="2" s="1"/>
  <c r="C172" i="2"/>
  <c r="E177" i="2"/>
  <c r="C142" i="4"/>
  <c r="F142" i="4"/>
  <c r="D141" i="4"/>
  <c r="B162" i="4"/>
  <c r="G161" i="4"/>
  <c r="B173" i="2"/>
  <c r="D172" i="2"/>
  <c r="B161" i="5"/>
  <c r="C160" i="5"/>
  <c r="D160" i="5" s="1"/>
  <c r="F172" i="2" l="1"/>
  <c r="H172" i="2" s="1"/>
  <c r="G172" i="2"/>
  <c r="I172" i="2" s="1"/>
  <c r="C173" i="2"/>
  <c r="E178" i="2"/>
  <c r="C143" i="4"/>
  <c r="F143" i="4"/>
  <c r="D142" i="4"/>
  <c r="B174" i="2"/>
  <c r="D173" i="2"/>
  <c r="B162" i="5"/>
  <c r="C161" i="5"/>
  <c r="G162" i="4"/>
  <c r="B163" i="4"/>
  <c r="F173" i="2" l="1"/>
  <c r="H173" i="2" s="1"/>
  <c r="G173" i="2"/>
  <c r="I173" i="2" s="1"/>
  <c r="C174" i="2"/>
  <c r="E179" i="2"/>
  <c r="C144" i="4"/>
  <c r="F144" i="4"/>
  <c r="D143" i="4"/>
  <c r="C162" i="5"/>
  <c r="B163" i="5"/>
  <c r="B164" i="4"/>
  <c r="G163" i="4"/>
  <c r="B175" i="2"/>
  <c r="D174" i="2"/>
  <c r="F174" i="2" l="1"/>
  <c r="H174" i="2" s="1"/>
  <c r="G174" i="2"/>
  <c r="I174" i="2" s="1"/>
  <c r="C175" i="2"/>
  <c r="E180" i="2"/>
  <c r="F145" i="4"/>
  <c r="C145" i="4"/>
  <c r="D144" i="4"/>
  <c r="G164" i="4"/>
  <c r="B165" i="4"/>
  <c r="B164" i="5"/>
  <c r="C163" i="5"/>
  <c r="D175" i="2"/>
  <c r="B176" i="2"/>
  <c r="F175" i="2" l="1"/>
  <c r="H175" i="2" s="1"/>
  <c r="G175" i="2"/>
  <c r="I175" i="2" s="1"/>
  <c r="C176" i="2"/>
  <c r="E181" i="2"/>
  <c r="C146" i="4"/>
  <c r="F146" i="4"/>
  <c r="D145" i="4"/>
  <c r="B177" i="2"/>
  <c r="D176" i="2"/>
  <c r="B165" i="5"/>
  <c r="C164" i="5"/>
  <c r="B166" i="4"/>
  <c r="G165" i="4"/>
  <c r="F176" i="2" l="1"/>
  <c r="H176" i="2" s="1"/>
  <c r="G176" i="2"/>
  <c r="I176" i="2" s="1"/>
  <c r="C177" i="2"/>
  <c r="E182" i="2"/>
  <c r="F147" i="4"/>
  <c r="C147" i="4"/>
  <c r="D146" i="4"/>
  <c r="B166" i="5"/>
  <c r="C165" i="5"/>
  <c r="B178" i="2"/>
  <c r="D177" i="2"/>
  <c r="G166" i="4"/>
  <c r="B167" i="4"/>
  <c r="F177" i="2" l="1"/>
  <c r="H177" i="2" s="1"/>
  <c r="G177" i="2"/>
  <c r="I177" i="2" s="1"/>
  <c r="C178" i="2"/>
  <c r="E183" i="2"/>
  <c r="C148" i="4"/>
  <c r="F148" i="4"/>
  <c r="D147" i="4"/>
  <c r="B179" i="2"/>
  <c r="D178" i="2"/>
  <c r="G167" i="4"/>
  <c r="B168" i="4"/>
  <c r="C166" i="5"/>
  <c r="B167" i="5"/>
  <c r="G178" i="2" l="1"/>
  <c r="I178" i="2" s="1"/>
  <c r="F178" i="2"/>
  <c r="H178" i="2" s="1"/>
  <c r="C179" i="2"/>
  <c r="E184" i="2"/>
  <c r="C149" i="4"/>
  <c r="F149" i="4"/>
  <c r="D148" i="4"/>
  <c r="B180" i="2"/>
  <c r="D179" i="2"/>
  <c r="G168" i="4"/>
  <c r="B169" i="4"/>
  <c r="B168" i="5"/>
  <c r="C167" i="5"/>
  <c r="F179" i="2" l="1"/>
  <c r="H179" i="2" s="1"/>
  <c r="G179" i="2"/>
  <c r="I179" i="2" s="1"/>
  <c r="C180" i="2"/>
  <c r="E185" i="2"/>
  <c r="C150" i="4"/>
  <c r="F150" i="4"/>
  <c r="D149" i="4"/>
  <c r="D180" i="2"/>
  <c r="B181" i="2"/>
  <c r="B169" i="5"/>
  <c r="C168" i="5"/>
  <c r="B170" i="4"/>
  <c r="G169" i="4"/>
  <c r="F180" i="2" l="1"/>
  <c r="H180" i="2" s="1"/>
  <c r="G180" i="2"/>
  <c r="I180" i="2" s="1"/>
  <c r="C181" i="2"/>
  <c r="E186" i="2"/>
  <c r="F151" i="4"/>
  <c r="C151" i="4"/>
  <c r="D150" i="4"/>
  <c r="G170" i="4"/>
  <c r="B171" i="4"/>
  <c r="D181" i="2"/>
  <c r="B182" i="2"/>
  <c r="B170" i="5"/>
  <c r="C169" i="5"/>
  <c r="F181" i="2" l="1"/>
  <c r="H181" i="2" s="1"/>
  <c r="G181" i="2"/>
  <c r="I181" i="2" s="1"/>
  <c r="C182" i="2"/>
  <c r="E187" i="2"/>
  <c r="F152" i="4"/>
  <c r="C152" i="4"/>
  <c r="D151" i="4"/>
  <c r="B172" i="4"/>
  <c r="G171" i="4"/>
  <c r="C170" i="5"/>
  <c r="B171" i="5"/>
  <c r="D182" i="2"/>
  <c r="B183" i="2"/>
  <c r="G182" i="2" l="1"/>
  <c r="I182" i="2" s="1"/>
  <c r="F182" i="2"/>
  <c r="H182" i="2" s="1"/>
  <c r="C183" i="2"/>
  <c r="E188" i="2"/>
  <c r="F153" i="4"/>
  <c r="C153" i="4"/>
  <c r="D152" i="4"/>
  <c r="B172" i="5"/>
  <c r="C171" i="5"/>
  <c r="D183" i="2"/>
  <c r="B184" i="2"/>
  <c r="G172" i="4"/>
  <c r="B173" i="4"/>
  <c r="G183" i="2" l="1"/>
  <c r="I183" i="2" s="1"/>
  <c r="F183" i="2"/>
  <c r="H183" i="2" s="1"/>
  <c r="C184" i="2"/>
  <c r="E189" i="2"/>
  <c r="F154" i="4"/>
  <c r="C154" i="4"/>
  <c r="D153" i="4"/>
  <c r="D184" i="2"/>
  <c r="B185" i="2"/>
  <c r="B174" i="4"/>
  <c r="G173" i="4"/>
  <c r="B173" i="5"/>
  <c r="C172" i="5"/>
  <c r="D172" i="5" s="1"/>
  <c r="F184" i="2" l="1"/>
  <c r="H184" i="2" s="1"/>
  <c r="G184" i="2"/>
  <c r="I184" i="2" s="1"/>
  <c r="C185" i="2"/>
  <c r="E190" i="2"/>
  <c r="C155" i="4"/>
  <c r="F155" i="4"/>
  <c r="D154" i="4"/>
  <c r="C173" i="5"/>
  <c r="B174" i="5"/>
  <c r="G174" i="4"/>
  <c r="B175" i="4"/>
  <c r="B186" i="2"/>
  <c r="D185" i="2"/>
  <c r="F185" i="2" l="1"/>
  <c r="H185" i="2" s="1"/>
  <c r="G185" i="2"/>
  <c r="I185" i="2" s="1"/>
  <c r="C186" i="2"/>
  <c r="E191" i="2"/>
  <c r="C156" i="4"/>
  <c r="F156" i="4"/>
  <c r="D155" i="4"/>
  <c r="C174" i="5"/>
  <c r="B175" i="5"/>
  <c r="B176" i="4"/>
  <c r="G175" i="4"/>
  <c r="D186" i="2"/>
  <c r="B187" i="2"/>
  <c r="F186" i="2" l="1"/>
  <c r="H186" i="2" s="1"/>
  <c r="G186" i="2"/>
  <c r="I186" i="2" s="1"/>
  <c r="C187" i="2"/>
  <c r="E192" i="2"/>
  <c r="C157" i="4"/>
  <c r="F157" i="4"/>
  <c r="D156" i="4"/>
  <c r="B188" i="2"/>
  <c r="D187" i="2"/>
  <c r="C175" i="5"/>
  <c r="B176" i="5"/>
  <c r="G176" i="4"/>
  <c r="B177" i="4"/>
  <c r="F187" i="2" l="1"/>
  <c r="H187" i="2" s="1"/>
  <c r="G187" i="2"/>
  <c r="I187" i="2" s="1"/>
  <c r="C188" i="2"/>
  <c r="E193" i="2"/>
  <c r="C158" i="4"/>
  <c r="F158" i="4"/>
  <c r="D157" i="4"/>
  <c r="D188" i="2"/>
  <c r="B189" i="2"/>
  <c r="B178" i="4"/>
  <c r="G177" i="4"/>
  <c r="C176" i="5"/>
  <c r="B177" i="5"/>
  <c r="F188" i="2" l="1"/>
  <c r="H188" i="2" s="1"/>
  <c r="G188" i="2"/>
  <c r="I188" i="2" s="1"/>
  <c r="C189" i="2"/>
  <c r="E194" i="2"/>
  <c r="F159" i="4"/>
  <c r="C159" i="4"/>
  <c r="D158" i="4"/>
  <c r="D189" i="2"/>
  <c r="B190" i="2"/>
  <c r="G178" i="4"/>
  <c r="B179" i="4"/>
  <c r="C177" i="5"/>
  <c r="B178" i="5"/>
  <c r="F189" i="2" l="1"/>
  <c r="H189" i="2" s="1"/>
  <c r="G189" i="2"/>
  <c r="I189" i="2" s="1"/>
  <c r="C190" i="2"/>
  <c r="E195" i="2"/>
  <c r="F160" i="4"/>
  <c r="C160" i="4"/>
  <c r="D159" i="4"/>
  <c r="B179" i="5"/>
  <c r="C178" i="5"/>
  <c r="B180" i="4"/>
  <c r="G179" i="4"/>
  <c r="D190" i="2"/>
  <c r="B191" i="2"/>
  <c r="F190" i="2" l="1"/>
  <c r="H190" i="2" s="1"/>
  <c r="G190" i="2"/>
  <c r="I190" i="2" s="1"/>
  <c r="C191" i="2"/>
  <c r="E196" i="2"/>
  <c r="C161" i="4"/>
  <c r="F161" i="4"/>
  <c r="D160" i="4"/>
  <c r="G180" i="4"/>
  <c r="B181" i="4"/>
  <c r="D191" i="2"/>
  <c r="B192" i="2"/>
  <c r="C179" i="5"/>
  <c r="B180" i="5"/>
  <c r="F191" i="2" l="1"/>
  <c r="H191" i="2" s="1"/>
  <c r="G191" i="2"/>
  <c r="I191" i="2" s="1"/>
  <c r="C192" i="2"/>
  <c r="E197" i="2"/>
  <c r="C162" i="4"/>
  <c r="F162" i="4"/>
  <c r="D161" i="4"/>
  <c r="B182" i="4"/>
  <c r="G181" i="4"/>
  <c r="C180" i="5"/>
  <c r="B181" i="5"/>
  <c r="B193" i="2"/>
  <c r="D192" i="2"/>
  <c r="F192" i="2" l="1"/>
  <c r="H192" i="2" s="1"/>
  <c r="G192" i="2"/>
  <c r="I192" i="2" s="1"/>
  <c r="C193" i="2"/>
  <c r="E198" i="2"/>
  <c r="C163" i="4"/>
  <c r="F163" i="4"/>
  <c r="D162" i="4"/>
  <c r="C181" i="5"/>
  <c r="B182" i="5"/>
  <c r="G182" i="4"/>
  <c r="B183" i="4"/>
  <c r="B194" i="2"/>
  <c r="D193" i="2"/>
  <c r="F193" i="2" l="1"/>
  <c r="H193" i="2" s="1"/>
  <c r="G193" i="2"/>
  <c r="I193" i="2" s="1"/>
  <c r="C194" i="2"/>
  <c r="E199" i="2"/>
  <c r="C164" i="4"/>
  <c r="F164" i="4"/>
  <c r="D163" i="4"/>
  <c r="B195" i="2"/>
  <c r="D194" i="2"/>
  <c r="C182" i="5"/>
  <c r="B183" i="5"/>
  <c r="G183" i="4"/>
  <c r="B184" i="4"/>
  <c r="F194" i="2" l="1"/>
  <c r="H194" i="2" s="1"/>
  <c r="G194" i="2"/>
  <c r="I194" i="2" s="1"/>
  <c r="C195" i="2"/>
  <c r="E200" i="2"/>
  <c r="C165" i="4"/>
  <c r="F165" i="4"/>
  <c r="D164" i="4"/>
  <c r="B196" i="2"/>
  <c r="D195" i="2"/>
  <c r="G184" i="4"/>
  <c r="B185" i="4"/>
  <c r="C183" i="5"/>
  <c r="B184" i="5"/>
  <c r="G195" i="2" l="1"/>
  <c r="I195" i="2" s="1"/>
  <c r="F195" i="2"/>
  <c r="H195" i="2" s="1"/>
  <c r="C196" i="2"/>
  <c r="E201" i="2"/>
  <c r="C166" i="4"/>
  <c r="F166" i="4"/>
  <c r="D165" i="4"/>
  <c r="B185" i="5"/>
  <c r="C184" i="5"/>
  <c r="D184" i="5" s="1"/>
  <c r="B186" i="4"/>
  <c r="G185" i="4"/>
  <c r="B197" i="2"/>
  <c r="D196" i="2"/>
  <c r="F196" i="2" l="1"/>
  <c r="H196" i="2" s="1"/>
  <c r="G196" i="2"/>
  <c r="I196" i="2" s="1"/>
  <c r="C197" i="2"/>
  <c r="E202" i="2"/>
  <c r="F167" i="4"/>
  <c r="C167" i="4"/>
  <c r="D166" i="4"/>
  <c r="C185" i="5"/>
  <c r="B186" i="5"/>
  <c r="G186" i="4"/>
  <c r="B187" i="4"/>
  <c r="D197" i="2"/>
  <c r="B198" i="2"/>
  <c r="F197" i="2" l="1"/>
  <c r="H197" i="2" s="1"/>
  <c r="G197" i="2"/>
  <c r="I197" i="2" s="1"/>
  <c r="C198" i="2"/>
  <c r="E203" i="2"/>
  <c r="F168" i="4"/>
  <c r="C168" i="4"/>
  <c r="D167" i="4"/>
  <c r="B187" i="5"/>
  <c r="C186" i="5"/>
  <c r="B199" i="2"/>
  <c r="D198" i="2"/>
  <c r="G187" i="4"/>
  <c r="B188" i="4"/>
  <c r="F198" i="2" l="1"/>
  <c r="H198" i="2" s="1"/>
  <c r="G198" i="2"/>
  <c r="I198" i="2" s="1"/>
  <c r="C199" i="2"/>
  <c r="E204" i="2"/>
  <c r="F169" i="4"/>
  <c r="C169" i="4"/>
  <c r="D168" i="4"/>
  <c r="D199" i="2"/>
  <c r="B200" i="2"/>
  <c r="B188" i="5"/>
  <c r="C187" i="5"/>
  <c r="G188" i="4"/>
  <c r="B189" i="4"/>
  <c r="F199" i="2" l="1"/>
  <c r="H199" i="2" s="1"/>
  <c r="G199" i="2"/>
  <c r="I199" i="2" s="1"/>
  <c r="C200" i="2"/>
  <c r="E205" i="2"/>
  <c r="F170" i="4"/>
  <c r="C170" i="4"/>
  <c r="D169" i="4"/>
  <c r="D200" i="2"/>
  <c r="B201" i="2"/>
  <c r="B189" i="5"/>
  <c r="C188" i="5"/>
  <c r="B190" i="4"/>
  <c r="G189" i="4"/>
  <c r="F200" i="2" l="1"/>
  <c r="H200" i="2" s="1"/>
  <c r="G200" i="2"/>
  <c r="I200" i="2" s="1"/>
  <c r="C201" i="2"/>
  <c r="E206" i="2"/>
  <c r="C171" i="4"/>
  <c r="F171" i="4"/>
  <c r="D170" i="4"/>
  <c r="G190" i="4"/>
  <c r="B191" i="4"/>
  <c r="C189" i="5"/>
  <c r="B190" i="5"/>
  <c r="B202" i="2"/>
  <c r="D201" i="2"/>
  <c r="F201" i="2" l="1"/>
  <c r="H201" i="2" s="1"/>
  <c r="G201" i="2"/>
  <c r="I201" i="2" s="1"/>
  <c r="C202" i="2"/>
  <c r="E207" i="2"/>
  <c r="C172" i="4"/>
  <c r="F172" i="4"/>
  <c r="D171" i="4"/>
  <c r="G191" i="4"/>
  <c r="B192" i="4"/>
  <c r="B191" i="5"/>
  <c r="C190" i="5"/>
  <c r="B203" i="2"/>
  <c r="D202" i="2"/>
  <c r="F202" i="2" l="1"/>
  <c r="H202" i="2" s="1"/>
  <c r="G202" i="2"/>
  <c r="I202" i="2" s="1"/>
  <c r="C203" i="2"/>
  <c r="E208" i="2"/>
  <c r="C173" i="4"/>
  <c r="F173" i="4"/>
  <c r="D172" i="4"/>
  <c r="B204" i="2"/>
  <c r="D203" i="2"/>
  <c r="G192" i="4"/>
  <c r="B193" i="4"/>
  <c r="B192" i="5"/>
  <c r="C191" i="5"/>
  <c r="F203" i="2" l="1"/>
  <c r="H203" i="2" s="1"/>
  <c r="G203" i="2"/>
  <c r="I203" i="2" s="1"/>
  <c r="C204" i="2"/>
  <c r="E209" i="2"/>
  <c r="C174" i="4"/>
  <c r="F174" i="4"/>
  <c r="D173" i="4"/>
  <c r="B205" i="2"/>
  <c r="D204" i="2"/>
  <c r="B193" i="5"/>
  <c r="C192" i="5"/>
  <c r="B194" i="4"/>
  <c r="G193" i="4"/>
  <c r="G204" i="2" l="1"/>
  <c r="I204" i="2" s="1"/>
  <c r="F204" i="2"/>
  <c r="C205" i="2"/>
  <c r="H204" i="2"/>
  <c r="E210" i="2"/>
  <c r="F175" i="4"/>
  <c r="C175" i="4"/>
  <c r="D174" i="4"/>
  <c r="D205" i="2"/>
  <c r="B206" i="2"/>
  <c r="G194" i="4"/>
  <c r="B195" i="4"/>
  <c r="C193" i="5"/>
  <c r="B194" i="5"/>
  <c r="F205" i="2" l="1"/>
  <c r="H205" i="2" s="1"/>
  <c r="G205" i="2"/>
  <c r="I205" i="2" s="1"/>
  <c r="C206" i="2"/>
  <c r="E211" i="2"/>
  <c r="C176" i="4"/>
  <c r="F176" i="4"/>
  <c r="D175" i="4"/>
  <c r="B195" i="5"/>
  <c r="C194" i="5"/>
  <c r="B207" i="2"/>
  <c r="D206" i="2"/>
  <c r="B196" i="4"/>
  <c r="G195" i="4"/>
  <c r="F206" i="2" l="1"/>
  <c r="H206" i="2" s="1"/>
  <c r="G206" i="2"/>
  <c r="I206" i="2" s="1"/>
  <c r="C207" i="2"/>
  <c r="E212" i="2"/>
  <c r="F177" i="4"/>
  <c r="C177" i="4"/>
  <c r="D176" i="4"/>
  <c r="B196" i="5"/>
  <c r="C195" i="5"/>
  <c r="G196" i="4"/>
  <c r="B197" i="4"/>
  <c r="D207" i="2"/>
  <c r="B208" i="2"/>
  <c r="F207" i="2" l="1"/>
  <c r="H207" i="2" s="1"/>
  <c r="C208" i="2"/>
  <c r="G207" i="2"/>
  <c r="I207" i="2" s="1"/>
  <c r="E213" i="2"/>
  <c r="C178" i="4"/>
  <c r="F178" i="4"/>
  <c r="D177" i="4"/>
  <c r="B209" i="2"/>
  <c r="D208" i="2"/>
  <c r="B197" i="5"/>
  <c r="C196" i="5"/>
  <c r="D196" i="5" s="1"/>
  <c r="B198" i="4"/>
  <c r="G197" i="4"/>
  <c r="F208" i="2" l="1"/>
  <c r="H208" i="2" s="1"/>
  <c r="G208" i="2"/>
  <c r="C209" i="2"/>
  <c r="I208" i="2"/>
  <c r="E214" i="2"/>
  <c r="C179" i="4"/>
  <c r="F179" i="4"/>
  <c r="D178" i="4"/>
  <c r="G198" i="4"/>
  <c r="B199" i="4"/>
  <c r="C197" i="5"/>
  <c r="B198" i="5"/>
  <c r="B210" i="2"/>
  <c r="D209" i="2"/>
  <c r="F209" i="2" l="1"/>
  <c r="H209" i="2" s="1"/>
  <c r="G209" i="2"/>
  <c r="I209" i="2" s="1"/>
  <c r="C210" i="2"/>
  <c r="E215" i="2"/>
  <c r="C180" i="4"/>
  <c r="F180" i="4"/>
  <c r="D179" i="4"/>
  <c r="C198" i="5"/>
  <c r="B199" i="5"/>
  <c r="B211" i="2"/>
  <c r="D210" i="2"/>
  <c r="G199" i="4"/>
  <c r="B200" i="4"/>
  <c r="F210" i="2" l="1"/>
  <c r="H210" i="2" s="1"/>
  <c r="G210" i="2"/>
  <c r="I210" i="2" s="1"/>
  <c r="C211" i="2"/>
  <c r="E216" i="2"/>
  <c r="C181" i="4"/>
  <c r="F181" i="4"/>
  <c r="D180" i="4"/>
  <c r="B212" i="2"/>
  <c r="D211" i="2"/>
  <c r="G200" i="4"/>
  <c r="B201" i="4"/>
  <c r="C199" i="5"/>
  <c r="B200" i="5"/>
  <c r="F211" i="2" l="1"/>
  <c r="H211" i="2" s="1"/>
  <c r="G211" i="2"/>
  <c r="I211" i="2" s="1"/>
  <c r="C212" i="2"/>
  <c r="E217" i="2"/>
  <c r="F182" i="4"/>
  <c r="C182" i="4"/>
  <c r="D181" i="4"/>
  <c r="B202" i="4"/>
  <c r="G201" i="4"/>
  <c r="D212" i="2"/>
  <c r="B213" i="2"/>
  <c r="C200" i="5"/>
  <c r="B201" i="5"/>
  <c r="F212" i="2" l="1"/>
  <c r="H212" i="2" s="1"/>
  <c r="G212" i="2"/>
  <c r="C213" i="2"/>
  <c r="I212" i="2"/>
  <c r="E218" i="2"/>
  <c r="F183" i="4"/>
  <c r="C183" i="4"/>
  <c r="D182" i="4"/>
  <c r="B202" i="5"/>
  <c r="C201" i="5"/>
  <c r="G202" i="4"/>
  <c r="B203" i="4"/>
  <c r="D213" i="2"/>
  <c r="F213" i="2" s="1"/>
  <c r="B214" i="2"/>
  <c r="G213" i="2" l="1"/>
  <c r="I213" i="2" s="1"/>
  <c r="C214" i="2"/>
  <c r="H213" i="2"/>
  <c r="E219" i="2"/>
  <c r="F184" i="4"/>
  <c r="C184" i="4"/>
  <c r="D183" i="4"/>
  <c r="C202" i="5"/>
  <c r="B203" i="5"/>
  <c r="B204" i="4"/>
  <c r="G203" i="4"/>
  <c r="D214" i="2"/>
  <c r="B215" i="2"/>
  <c r="F214" i="2" l="1"/>
  <c r="G214" i="2"/>
  <c r="H214" i="2"/>
  <c r="C215" i="2"/>
  <c r="I214" i="2"/>
  <c r="E220" i="2"/>
  <c r="C185" i="4"/>
  <c r="F185" i="4"/>
  <c r="D184" i="4"/>
  <c r="G204" i="4"/>
  <c r="B205" i="4"/>
  <c r="D215" i="2"/>
  <c r="B216" i="2"/>
  <c r="C203" i="5"/>
  <c r="B204" i="5"/>
  <c r="F215" i="2" l="1"/>
  <c r="H215" i="2" s="1"/>
  <c r="G215" i="2"/>
  <c r="C216" i="2"/>
  <c r="I215" i="2"/>
  <c r="E221" i="2"/>
  <c r="F186" i="4"/>
  <c r="C186" i="4"/>
  <c r="D185" i="4"/>
  <c r="B206" i="4"/>
  <c r="G205" i="4"/>
  <c r="C204" i="5"/>
  <c r="B205" i="5"/>
  <c r="D216" i="2"/>
  <c r="B217" i="2"/>
  <c r="F216" i="2" l="1"/>
  <c r="G216" i="2"/>
  <c r="I216" i="2" s="1"/>
  <c r="C217" i="2"/>
  <c r="H216" i="2"/>
  <c r="E222" i="2"/>
  <c r="C187" i="4"/>
  <c r="F187" i="4"/>
  <c r="D186" i="4"/>
  <c r="C205" i="5"/>
  <c r="B206" i="5"/>
  <c r="B218" i="2"/>
  <c r="D217" i="2"/>
  <c r="G206" i="4"/>
  <c r="B207" i="4"/>
  <c r="F217" i="2" l="1"/>
  <c r="H217" i="2" s="1"/>
  <c r="G217" i="2"/>
  <c r="I217" i="2" s="1"/>
  <c r="C218" i="2"/>
  <c r="E223" i="2"/>
  <c r="C188" i="4"/>
  <c r="F188" i="4"/>
  <c r="D187" i="4"/>
  <c r="B208" i="4"/>
  <c r="G207" i="4"/>
  <c r="C206" i="5"/>
  <c r="B207" i="5"/>
  <c r="D218" i="2"/>
  <c r="B219" i="2"/>
  <c r="F218" i="2" l="1"/>
  <c r="G218" i="2"/>
  <c r="C219" i="2"/>
  <c r="H218" i="2"/>
  <c r="I218" i="2"/>
  <c r="E224" i="2"/>
  <c r="C189" i="4"/>
  <c r="F189" i="4"/>
  <c r="D188" i="4"/>
  <c r="C207" i="5"/>
  <c r="B208" i="5"/>
  <c r="G208" i="4"/>
  <c r="B209" i="4"/>
  <c r="B220" i="2"/>
  <c r="D219" i="2"/>
  <c r="F219" i="2" l="1"/>
  <c r="G219" i="2"/>
  <c r="I219" i="2" s="1"/>
  <c r="C220" i="2"/>
  <c r="H219" i="2"/>
  <c r="E225" i="2"/>
  <c r="F190" i="4"/>
  <c r="C190" i="4"/>
  <c r="D189" i="4"/>
  <c r="D220" i="2"/>
  <c r="B221" i="2"/>
  <c r="B210" i="4"/>
  <c r="G209" i="4"/>
  <c r="C208" i="5"/>
  <c r="D208" i="5" s="1"/>
  <c r="B209" i="5"/>
  <c r="F220" i="2" l="1"/>
  <c r="H220" i="2" s="1"/>
  <c r="G220" i="2"/>
  <c r="I220" i="2" s="1"/>
  <c r="C221" i="2"/>
  <c r="E226" i="2"/>
  <c r="F191" i="4"/>
  <c r="C191" i="4"/>
  <c r="D190" i="4"/>
  <c r="B210" i="5"/>
  <c r="C209" i="5"/>
  <c r="G210" i="4"/>
  <c r="B211" i="4"/>
  <c r="D221" i="2"/>
  <c r="B222" i="2"/>
  <c r="F221" i="2" l="1"/>
  <c r="G221" i="2"/>
  <c r="C222" i="2"/>
  <c r="I221" i="2"/>
  <c r="H221" i="2"/>
  <c r="E227" i="2"/>
  <c r="F192" i="4"/>
  <c r="C192" i="4"/>
  <c r="D191" i="4"/>
  <c r="B211" i="5"/>
  <c r="C210" i="5"/>
  <c r="D222" i="2"/>
  <c r="B223" i="2"/>
  <c r="B212" i="4"/>
  <c r="G211" i="4"/>
  <c r="F222" i="2" l="1"/>
  <c r="H222" i="2" s="1"/>
  <c r="G222" i="2"/>
  <c r="I222" i="2" s="1"/>
  <c r="C223" i="2"/>
  <c r="E228" i="2"/>
  <c r="F193" i="4"/>
  <c r="C193" i="4"/>
  <c r="D192" i="4"/>
  <c r="G212" i="4"/>
  <c r="B213" i="4"/>
  <c r="B212" i="5"/>
  <c r="C211" i="5"/>
  <c r="D223" i="2"/>
  <c r="B224" i="2"/>
  <c r="F223" i="2" l="1"/>
  <c r="H223" i="2" s="1"/>
  <c r="G223" i="2"/>
  <c r="I223" i="2" s="1"/>
  <c r="C224" i="2"/>
  <c r="E229" i="2"/>
  <c r="C194" i="4"/>
  <c r="F194" i="4"/>
  <c r="D193" i="4"/>
  <c r="B225" i="2"/>
  <c r="D224" i="2"/>
  <c r="C212" i="5"/>
  <c r="B213" i="5"/>
  <c r="B214" i="4"/>
  <c r="G213" i="4"/>
  <c r="F224" i="2" l="1"/>
  <c r="H224" i="2" s="1"/>
  <c r="G224" i="2"/>
  <c r="I224" i="2" s="1"/>
  <c r="C225" i="2"/>
  <c r="E230" i="2"/>
  <c r="C195" i="4"/>
  <c r="F195" i="4"/>
  <c r="D194" i="4"/>
  <c r="B226" i="2"/>
  <c r="D225" i="2"/>
  <c r="G214" i="4"/>
  <c r="B215" i="4"/>
  <c r="B214" i="5"/>
  <c r="C213" i="5"/>
  <c r="G225" i="2" l="1"/>
  <c r="F225" i="2"/>
  <c r="I225" i="2"/>
  <c r="C226" i="2"/>
  <c r="H225" i="2"/>
  <c r="E231" i="2"/>
  <c r="C196" i="4"/>
  <c r="F196" i="4"/>
  <c r="D195" i="4"/>
  <c r="B227" i="2"/>
  <c r="D226" i="2"/>
  <c r="B215" i="5"/>
  <c r="C214" i="5"/>
  <c r="G215" i="4"/>
  <c r="B216" i="4"/>
  <c r="F226" i="2" l="1"/>
  <c r="H226" i="2" s="1"/>
  <c r="G226" i="2"/>
  <c r="C227" i="2"/>
  <c r="I226" i="2"/>
  <c r="E232" i="2"/>
  <c r="C197" i="4"/>
  <c r="F197" i="4"/>
  <c r="D196" i="4"/>
  <c r="G216" i="4"/>
  <c r="B217" i="4"/>
  <c r="B228" i="2"/>
  <c r="D227" i="2"/>
  <c r="B216" i="5"/>
  <c r="C215" i="5"/>
  <c r="F227" i="2" l="1"/>
  <c r="H227" i="2" s="1"/>
  <c r="G227" i="2"/>
  <c r="I227" i="2" s="1"/>
  <c r="C228" i="2"/>
  <c r="E233" i="2"/>
  <c r="C198" i="4"/>
  <c r="F198" i="4"/>
  <c r="D197" i="4"/>
  <c r="B218" i="4"/>
  <c r="G217" i="4"/>
  <c r="B229" i="2"/>
  <c r="D228" i="2"/>
  <c r="C216" i="5"/>
  <c r="B217" i="5"/>
  <c r="F228" i="2" l="1"/>
  <c r="H228" i="2" s="1"/>
  <c r="G228" i="2"/>
  <c r="I228" i="2" s="1"/>
  <c r="C229" i="2"/>
  <c r="E234" i="2"/>
  <c r="F199" i="4"/>
  <c r="C199" i="4"/>
  <c r="D198" i="4"/>
  <c r="G218" i="4"/>
  <c r="B219" i="4"/>
  <c r="B218" i="5"/>
  <c r="C217" i="5"/>
  <c r="D229" i="2"/>
  <c r="B230" i="2"/>
  <c r="F229" i="2" l="1"/>
  <c r="H229" i="2" s="1"/>
  <c r="G229" i="2"/>
  <c r="I229" i="2" s="1"/>
  <c r="C230" i="2"/>
  <c r="E235" i="2"/>
  <c r="F200" i="4"/>
  <c r="D200" i="4" s="1"/>
  <c r="D199" i="4"/>
  <c r="G219" i="4"/>
  <c r="B220" i="4"/>
  <c r="B219" i="5"/>
  <c r="C218" i="5"/>
  <c r="B231" i="2"/>
  <c r="D230" i="2"/>
  <c r="F230" i="2" l="1"/>
  <c r="H230" i="2" s="1"/>
  <c r="G230" i="2"/>
  <c r="C231" i="2"/>
  <c r="I230" i="2"/>
  <c r="E236" i="2"/>
  <c r="C200" i="4"/>
  <c r="G220" i="4"/>
  <c r="B221" i="4"/>
  <c r="B220" i="5"/>
  <c r="C219" i="5"/>
  <c r="D231" i="2"/>
  <c r="B232" i="2"/>
  <c r="F231" i="2" l="1"/>
  <c r="G231" i="2"/>
  <c r="C232" i="2"/>
  <c r="I231" i="2"/>
  <c r="H231" i="2"/>
  <c r="E237" i="2"/>
  <c r="C201" i="4"/>
  <c r="F201" i="4"/>
  <c r="B222" i="4"/>
  <c r="G221" i="4"/>
  <c r="C220" i="5"/>
  <c r="D220" i="5" s="1"/>
  <c r="B221" i="5"/>
  <c r="D232" i="2"/>
  <c r="B233" i="2"/>
  <c r="F232" i="2" l="1"/>
  <c r="H232" i="2" s="1"/>
  <c r="G232" i="2"/>
  <c r="I232" i="2" s="1"/>
  <c r="C233" i="2"/>
  <c r="E238" i="2"/>
  <c r="C202" i="4"/>
  <c r="F202" i="4"/>
  <c r="D201" i="4"/>
  <c r="C221" i="5"/>
  <c r="B222" i="5"/>
  <c r="B234" i="2"/>
  <c r="D233" i="2"/>
  <c r="G222" i="4"/>
  <c r="B223" i="4"/>
  <c r="F233" i="2" l="1"/>
  <c r="H233" i="2" s="1"/>
  <c r="G233" i="2"/>
  <c r="C234" i="2"/>
  <c r="I233" i="2"/>
  <c r="E239" i="2"/>
  <c r="C203" i="4"/>
  <c r="F203" i="4"/>
  <c r="D202" i="4"/>
  <c r="B224" i="4"/>
  <c r="G223" i="4"/>
  <c r="B235" i="2"/>
  <c r="D234" i="2"/>
  <c r="C222" i="5"/>
  <c r="B223" i="5"/>
  <c r="F234" i="2" l="1"/>
  <c r="G234" i="2"/>
  <c r="I234" i="2" s="1"/>
  <c r="H234" i="2"/>
  <c r="C235" i="2"/>
  <c r="E240" i="2"/>
  <c r="C204" i="4"/>
  <c r="F204" i="4"/>
  <c r="D203" i="4"/>
  <c r="C223" i="5"/>
  <c r="B224" i="5"/>
  <c r="B236" i="2"/>
  <c r="D235" i="2"/>
  <c r="B225" i="4"/>
  <c r="G224" i="4"/>
  <c r="F235" i="2" l="1"/>
  <c r="H235" i="2" s="1"/>
  <c r="G235" i="2"/>
  <c r="I235" i="2" s="1"/>
  <c r="C236" i="2"/>
  <c r="E241" i="2"/>
  <c r="C205" i="4"/>
  <c r="F205" i="4"/>
  <c r="D204" i="4"/>
  <c r="B225" i="5"/>
  <c r="C224" i="5"/>
  <c r="G225" i="4"/>
  <c r="B226" i="4"/>
  <c r="B237" i="2"/>
  <c r="D236" i="2"/>
  <c r="F236" i="2" l="1"/>
  <c r="G236" i="2"/>
  <c r="I236" i="2" s="1"/>
  <c r="H236" i="2"/>
  <c r="C237" i="2"/>
  <c r="E242" i="2"/>
  <c r="C206" i="4"/>
  <c r="F206" i="4"/>
  <c r="D205" i="4"/>
  <c r="D237" i="2"/>
  <c r="B238" i="2"/>
  <c r="C225" i="5"/>
  <c r="B226" i="5"/>
  <c r="G226" i="4"/>
  <c r="B227" i="4"/>
  <c r="G237" i="2" l="1"/>
  <c r="I237" i="2" s="1"/>
  <c r="F237" i="2"/>
  <c r="H237" i="2" s="1"/>
  <c r="C238" i="2"/>
  <c r="E243" i="2"/>
  <c r="F207" i="4"/>
  <c r="C207" i="4"/>
  <c r="D206" i="4"/>
  <c r="C226" i="5"/>
  <c r="B227" i="5"/>
  <c r="G227" i="4"/>
  <c r="B228" i="4"/>
  <c r="B239" i="2"/>
  <c r="D238" i="2"/>
  <c r="F238" i="2" l="1"/>
  <c r="H238" i="2" s="1"/>
  <c r="G238" i="2"/>
  <c r="C239" i="2"/>
  <c r="I238" i="2"/>
  <c r="E244" i="2"/>
  <c r="C208" i="4"/>
  <c r="F208" i="4"/>
  <c r="D207" i="4"/>
  <c r="C227" i="5"/>
  <c r="B228" i="5"/>
  <c r="B229" i="4"/>
  <c r="G228" i="4"/>
  <c r="D239" i="2"/>
  <c r="B240" i="2"/>
  <c r="F239" i="2" l="1"/>
  <c r="G239" i="2"/>
  <c r="C240" i="2"/>
  <c r="I239" i="2"/>
  <c r="H239" i="2"/>
  <c r="E245" i="2"/>
  <c r="C209" i="4"/>
  <c r="F209" i="4"/>
  <c r="D208" i="4"/>
  <c r="G229" i="4"/>
  <c r="B230" i="4"/>
  <c r="C228" i="5"/>
  <c r="B229" i="5"/>
  <c r="B241" i="2"/>
  <c r="D240" i="2"/>
  <c r="F240" i="2" l="1"/>
  <c r="H240" i="2" s="1"/>
  <c r="G240" i="2"/>
  <c r="I240" i="2" s="1"/>
  <c r="C241" i="2"/>
  <c r="E246" i="2"/>
  <c r="C210" i="4"/>
  <c r="F210" i="4"/>
  <c r="D209" i="4"/>
  <c r="G230" i="4"/>
  <c r="B231" i="4"/>
  <c r="B242" i="2"/>
  <c r="D241" i="2"/>
  <c r="C229" i="5"/>
  <c r="B230" i="5"/>
  <c r="F241" i="2" l="1"/>
  <c r="H241" i="2" s="1"/>
  <c r="G241" i="2"/>
  <c r="I241" i="2" s="1"/>
  <c r="C242" i="2"/>
  <c r="E247" i="2"/>
  <c r="F211" i="4"/>
  <c r="C211" i="4"/>
  <c r="D210" i="4"/>
  <c r="B243" i="2"/>
  <c r="D242" i="2"/>
  <c r="C230" i="5"/>
  <c r="B231" i="5"/>
  <c r="G231" i="4"/>
  <c r="B232" i="4"/>
  <c r="F242" i="2" l="1"/>
  <c r="G242" i="2"/>
  <c r="I242" i="2"/>
  <c r="C243" i="2"/>
  <c r="H242" i="2"/>
  <c r="E248" i="2"/>
  <c r="C212" i="4"/>
  <c r="F212" i="4"/>
  <c r="D211" i="4"/>
  <c r="C231" i="5"/>
  <c r="C232" i="5" s="1"/>
  <c r="D232" i="5" s="1"/>
  <c r="B244" i="2"/>
  <c r="D243" i="2"/>
  <c r="B233" i="4"/>
  <c r="G232" i="4"/>
  <c r="F243" i="2" l="1"/>
  <c r="G243" i="2"/>
  <c r="I243" i="2" s="1"/>
  <c r="C244" i="2"/>
  <c r="H243" i="2"/>
  <c r="E249" i="2"/>
  <c r="F213" i="4"/>
  <c r="C213" i="4"/>
  <c r="D212" i="4"/>
  <c r="B233" i="5"/>
  <c r="D244" i="2"/>
  <c r="B245" i="2"/>
  <c r="G233" i="4"/>
  <c r="B234" i="4"/>
  <c r="F244" i="2" l="1"/>
  <c r="H244" i="2" s="1"/>
  <c r="G244" i="2"/>
  <c r="I244" i="2" s="1"/>
  <c r="C245" i="2"/>
  <c r="E250" i="2"/>
  <c r="C214" i="4"/>
  <c r="F214" i="4"/>
  <c r="D213" i="4"/>
  <c r="B234" i="5"/>
  <c r="C233" i="5"/>
  <c r="D245" i="2"/>
  <c r="B246" i="2"/>
  <c r="B235" i="4"/>
  <c r="G234" i="4"/>
  <c r="F245" i="2" l="1"/>
  <c r="G245" i="2"/>
  <c r="I245" i="2" s="1"/>
  <c r="C246" i="2"/>
  <c r="H245" i="2"/>
  <c r="E251" i="2"/>
  <c r="F215" i="4"/>
  <c r="C215" i="4"/>
  <c r="D214" i="4"/>
  <c r="D246" i="2"/>
  <c r="B247" i="2"/>
  <c r="G235" i="4"/>
  <c r="B236" i="4"/>
  <c r="B235" i="5"/>
  <c r="C234" i="5"/>
  <c r="F246" i="2" l="1"/>
  <c r="H246" i="2" s="1"/>
  <c r="G246" i="2"/>
  <c r="I246" i="2" s="1"/>
  <c r="C247" i="2"/>
  <c r="E252" i="2"/>
  <c r="C216" i="4"/>
  <c r="F216" i="4"/>
  <c r="D215" i="4"/>
  <c r="C235" i="5"/>
  <c r="B236" i="5"/>
  <c r="D247" i="2"/>
  <c r="B248" i="2"/>
  <c r="B237" i="4"/>
  <c r="G236" i="4"/>
  <c r="F247" i="2" l="1"/>
  <c r="H247" i="2" s="1"/>
  <c r="G247" i="2"/>
  <c r="C248" i="2"/>
  <c r="I247" i="2"/>
  <c r="E253" i="2"/>
  <c r="C217" i="4"/>
  <c r="F217" i="4"/>
  <c r="D216" i="4"/>
  <c r="B237" i="5"/>
  <c r="C236" i="5"/>
  <c r="D248" i="2"/>
  <c r="B249" i="2"/>
  <c r="G237" i="4"/>
  <c r="B238" i="4"/>
  <c r="F248" i="2" l="1"/>
  <c r="H248" i="2" s="1"/>
  <c r="G248" i="2"/>
  <c r="I248" i="2" s="1"/>
  <c r="C249" i="2"/>
  <c r="E254" i="2"/>
  <c r="C218" i="4"/>
  <c r="F218" i="4"/>
  <c r="D217" i="4"/>
  <c r="B239" i="4"/>
  <c r="G238" i="4"/>
  <c r="B238" i="5"/>
  <c r="C237" i="5"/>
  <c r="B250" i="2"/>
  <c r="D249" i="2"/>
  <c r="F249" i="2" l="1"/>
  <c r="H249" i="2" s="1"/>
  <c r="G249" i="2"/>
  <c r="C250" i="2"/>
  <c r="I249" i="2"/>
  <c r="E255" i="2"/>
  <c r="C219" i="4"/>
  <c r="F219" i="4"/>
  <c r="D218" i="4"/>
  <c r="B239" i="5"/>
  <c r="C238" i="5"/>
  <c r="G239" i="4"/>
  <c r="B240" i="4"/>
  <c r="D250" i="2"/>
  <c r="B251" i="2"/>
  <c r="F250" i="2" l="1"/>
  <c r="H250" i="2" s="1"/>
  <c r="G250" i="2"/>
  <c r="I250" i="2" s="1"/>
  <c r="C251" i="2"/>
  <c r="E256" i="2"/>
  <c r="F220" i="4"/>
  <c r="C220" i="4"/>
  <c r="D219" i="4"/>
  <c r="B252" i="2"/>
  <c r="D251" i="2"/>
  <c r="B241" i="4"/>
  <c r="G240" i="4"/>
  <c r="C239" i="5"/>
  <c r="B240" i="5"/>
  <c r="G251" i="2" l="1"/>
  <c r="I251" i="2" s="1"/>
  <c r="F251" i="2"/>
  <c r="H251" i="2" s="1"/>
  <c r="C252" i="2"/>
  <c r="E257" i="2"/>
  <c r="C221" i="4"/>
  <c r="F221" i="4"/>
  <c r="D220" i="4"/>
  <c r="D252" i="2"/>
  <c r="B253" i="2"/>
  <c r="B241" i="5"/>
  <c r="C240" i="5"/>
  <c r="G241" i="4"/>
  <c r="B242" i="4"/>
  <c r="F252" i="2" l="1"/>
  <c r="G252" i="2"/>
  <c r="C253" i="2"/>
  <c r="I252" i="2"/>
  <c r="H252" i="2"/>
  <c r="E258" i="2"/>
  <c r="F222" i="4"/>
  <c r="C222" i="4"/>
  <c r="D221" i="4"/>
  <c r="G242" i="4"/>
  <c r="B243" i="4"/>
  <c r="B242" i="5"/>
  <c r="C241" i="5"/>
  <c r="D253" i="2"/>
  <c r="F253" i="2" s="1"/>
  <c r="B254" i="2"/>
  <c r="G253" i="2" l="1"/>
  <c r="I253" i="2" s="1"/>
  <c r="C254" i="2"/>
  <c r="H253" i="2"/>
  <c r="E259" i="2"/>
  <c r="F223" i="4"/>
  <c r="C223" i="4"/>
  <c r="D222" i="4"/>
  <c r="G243" i="4"/>
  <c r="B244" i="4"/>
  <c r="B243" i="5"/>
  <c r="C242" i="5"/>
  <c r="D254" i="2"/>
  <c r="B255" i="2"/>
  <c r="F254" i="2" l="1"/>
  <c r="H254" i="2" s="1"/>
  <c r="G254" i="2"/>
  <c r="C255" i="2"/>
  <c r="I254" i="2"/>
  <c r="E260" i="2"/>
  <c r="F224" i="4"/>
  <c r="C224" i="4"/>
  <c r="D223" i="4"/>
  <c r="C243" i="5"/>
  <c r="C244" i="5" s="1"/>
  <c r="D244" i="5" s="1"/>
  <c r="D255" i="2"/>
  <c r="B256" i="2"/>
  <c r="B245" i="4"/>
  <c r="G244" i="4"/>
  <c r="F255" i="2" l="1"/>
  <c r="H255" i="2" s="1"/>
  <c r="G255" i="2"/>
  <c r="I255" i="2" s="1"/>
  <c r="C256" i="2"/>
  <c r="E261" i="2"/>
  <c r="C225" i="4"/>
  <c r="F225" i="4"/>
  <c r="D224" i="4"/>
  <c r="B245" i="5"/>
  <c r="B257" i="2"/>
  <c r="D256" i="2"/>
  <c r="G245" i="4"/>
  <c r="B246" i="4"/>
  <c r="F256" i="2" l="1"/>
  <c r="H256" i="2" s="1"/>
  <c r="G256" i="2"/>
  <c r="I256" i="2" s="1"/>
  <c r="C257" i="2"/>
  <c r="E262" i="2"/>
  <c r="F226" i="4"/>
  <c r="C226" i="4"/>
  <c r="D225" i="4"/>
  <c r="C245" i="5"/>
  <c r="B246" i="5"/>
  <c r="B247" i="4"/>
  <c r="G246" i="4"/>
  <c r="B258" i="2"/>
  <c r="D257" i="2"/>
  <c r="F257" i="2" l="1"/>
  <c r="H257" i="2" s="1"/>
  <c r="G257" i="2"/>
  <c r="I257" i="2" s="1"/>
  <c r="C258" i="2"/>
  <c r="E263" i="2"/>
  <c r="F227" i="4"/>
  <c r="C227" i="4"/>
  <c r="D226" i="4"/>
  <c r="G247" i="4"/>
  <c r="B248" i="4"/>
  <c r="C246" i="5"/>
  <c r="B247" i="5"/>
  <c r="B259" i="2"/>
  <c r="D258" i="2"/>
  <c r="F258" i="2" s="1"/>
  <c r="G258" i="2" l="1"/>
  <c r="I258" i="2" s="1"/>
  <c r="C259" i="2"/>
  <c r="H258" i="2"/>
  <c r="E264" i="2"/>
  <c r="C228" i="4"/>
  <c r="F228" i="4"/>
  <c r="D227" i="4"/>
  <c r="B249" i="4"/>
  <c r="G248" i="4"/>
  <c r="B248" i="5"/>
  <c r="C247" i="5"/>
  <c r="B260" i="2"/>
  <c r="D259" i="2"/>
  <c r="F259" i="2" l="1"/>
  <c r="H259" i="2" s="1"/>
  <c r="G259" i="2"/>
  <c r="I259" i="2" s="1"/>
  <c r="C260" i="2"/>
  <c r="E265" i="2"/>
  <c r="C229" i="4"/>
  <c r="F229" i="4"/>
  <c r="D228" i="4"/>
  <c r="B261" i="2"/>
  <c r="D260" i="2"/>
  <c r="G249" i="4"/>
  <c r="B250" i="4"/>
  <c r="C248" i="5"/>
  <c r="B249" i="5"/>
  <c r="F260" i="2" l="1"/>
  <c r="H260" i="2" s="1"/>
  <c r="G260" i="2"/>
  <c r="I260" i="2" s="1"/>
  <c r="C261" i="2"/>
  <c r="E266" i="2"/>
  <c r="C230" i="4"/>
  <c r="F230" i="4"/>
  <c r="D229" i="4"/>
  <c r="C249" i="5"/>
  <c r="B250" i="5"/>
  <c r="D261" i="2"/>
  <c r="B262" i="2"/>
  <c r="B251" i="4"/>
  <c r="G250" i="4"/>
  <c r="F261" i="2" l="1"/>
  <c r="H261" i="2" s="1"/>
  <c r="G261" i="2"/>
  <c r="I261" i="2" s="1"/>
  <c r="C262" i="2"/>
  <c r="E267" i="2"/>
  <c r="F231" i="4"/>
  <c r="C231" i="4"/>
  <c r="D230" i="4"/>
  <c r="C250" i="5"/>
  <c r="B251" i="5"/>
  <c r="G251" i="4"/>
  <c r="B252" i="4"/>
  <c r="B263" i="2"/>
  <c r="D262" i="2"/>
  <c r="F262" i="2" l="1"/>
  <c r="H262" i="2" s="1"/>
  <c r="G262" i="2"/>
  <c r="C263" i="2"/>
  <c r="I262" i="2"/>
  <c r="E268" i="2"/>
  <c r="F232" i="4"/>
  <c r="C232" i="4"/>
  <c r="D231" i="4"/>
  <c r="C251" i="5"/>
  <c r="B252" i="5"/>
  <c r="D263" i="2"/>
  <c r="B264" i="2"/>
  <c r="B253" i="4"/>
  <c r="G252" i="4"/>
  <c r="F263" i="2" l="1"/>
  <c r="G263" i="2"/>
  <c r="H263" i="2"/>
  <c r="C264" i="2"/>
  <c r="I263" i="2"/>
  <c r="E269" i="2"/>
  <c r="F233" i="4"/>
  <c r="C233" i="4"/>
  <c r="D232" i="4"/>
  <c r="D264" i="2"/>
  <c r="B265" i="2"/>
  <c r="G253" i="4"/>
  <c r="B254" i="4"/>
  <c r="C252" i="5"/>
  <c r="B253" i="5"/>
  <c r="F264" i="2" l="1"/>
  <c r="G264" i="2"/>
  <c r="C265" i="2"/>
  <c r="I264" i="2"/>
  <c r="H264" i="2"/>
  <c r="E270" i="2"/>
  <c r="C234" i="4"/>
  <c r="F234" i="4"/>
  <c r="D233" i="4"/>
  <c r="B255" i="4"/>
  <c r="G254" i="4"/>
  <c r="C253" i="5"/>
  <c r="B254" i="5"/>
  <c r="B266" i="2"/>
  <c r="D265" i="2"/>
  <c r="F265" i="2" l="1"/>
  <c r="H265" i="2" s="1"/>
  <c r="G265" i="2"/>
  <c r="I265" i="2" s="1"/>
  <c r="C266" i="2"/>
  <c r="E271" i="2"/>
  <c r="F235" i="4"/>
  <c r="C235" i="4"/>
  <c r="D234" i="4"/>
  <c r="B267" i="2"/>
  <c r="D266" i="2"/>
  <c r="G255" i="4"/>
  <c r="B256" i="4"/>
  <c r="C254" i="5"/>
  <c r="B255" i="5"/>
  <c r="F266" i="2" l="1"/>
  <c r="H266" i="2" s="1"/>
  <c r="G266" i="2"/>
  <c r="I266" i="2" s="1"/>
  <c r="C267" i="2"/>
  <c r="E272" i="2"/>
  <c r="C236" i="4"/>
  <c r="F236" i="4"/>
  <c r="D235" i="4"/>
  <c r="B257" i="4"/>
  <c r="G256" i="4"/>
  <c r="C255" i="5"/>
  <c r="C256" i="5" s="1"/>
  <c r="D256" i="5" s="1"/>
  <c r="B268" i="2"/>
  <c r="D267" i="2"/>
  <c r="F267" i="2" l="1"/>
  <c r="H267" i="2" s="1"/>
  <c r="G267" i="2"/>
  <c r="C268" i="2"/>
  <c r="I267" i="2"/>
  <c r="E273" i="2"/>
  <c r="C237" i="4"/>
  <c r="F237" i="4"/>
  <c r="D236" i="4"/>
  <c r="B257" i="5"/>
  <c r="G257" i="4"/>
  <c r="B258" i="4"/>
  <c r="B269" i="2"/>
  <c r="D268" i="2"/>
  <c r="F268" i="2" s="1"/>
  <c r="G268" i="2" l="1"/>
  <c r="I268" i="2" s="1"/>
  <c r="C269" i="2"/>
  <c r="H268" i="2"/>
  <c r="E274" i="2"/>
  <c r="F238" i="4"/>
  <c r="C238" i="4"/>
  <c r="D237" i="4"/>
  <c r="D269" i="2"/>
  <c r="B270" i="2"/>
  <c r="B258" i="5"/>
  <c r="C257" i="5"/>
  <c r="G258" i="4"/>
  <c r="B259" i="4"/>
  <c r="F269" i="2" l="1"/>
  <c r="G269" i="2"/>
  <c r="H269" i="2"/>
  <c r="C270" i="2"/>
  <c r="I269" i="2"/>
  <c r="E275" i="2"/>
  <c r="F239" i="4"/>
  <c r="C239" i="4"/>
  <c r="D238" i="4"/>
  <c r="G259" i="4"/>
  <c r="B260" i="4"/>
  <c r="C258" i="5"/>
  <c r="B259" i="5"/>
  <c r="B271" i="2"/>
  <c r="D270" i="2"/>
  <c r="F270" i="2" s="1"/>
  <c r="G270" i="2" l="1"/>
  <c r="I270" i="2" s="1"/>
  <c r="C271" i="2"/>
  <c r="H270" i="2"/>
  <c r="E276" i="2"/>
  <c r="C240" i="4"/>
  <c r="F240" i="4"/>
  <c r="D239" i="4"/>
  <c r="D271" i="2"/>
  <c r="F271" i="2" s="1"/>
  <c r="B272" i="2"/>
  <c r="B260" i="5"/>
  <c r="C259" i="5"/>
  <c r="B261" i="4"/>
  <c r="G260" i="4"/>
  <c r="G271" i="2" l="1"/>
  <c r="C272" i="2"/>
  <c r="H271" i="2"/>
  <c r="I271" i="2"/>
  <c r="E277" i="2"/>
  <c r="C241" i="4"/>
  <c r="F241" i="4"/>
  <c r="D240" i="4"/>
  <c r="G261" i="4"/>
  <c r="B262" i="4"/>
  <c r="B261" i="5"/>
  <c r="C260" i="5"/>
  <c r="B273" i="2"/>
  <c r="D272" i="2"/>
  <c r="F272" i="2" s="1"/>
  <c r="G272" i="2" l="1"/>
  <c r="H272" i="2"/>
  <c r="C273" i="2"/>
  <c r="I272" i="2"/>
  <c r="E278" i="2"/>
  <c r="C242" i="4"/>
  <c r="F242" i="4"/>
  <c r="D241" i="4"/>
  <c r="B262" i="5"/>
  <c r="C261" i="5"/>
  <c r="B274" i="2"/>
  <c r="D273" i="2"/>
  <c r="G262" i="4"/>
  <c r="B263" i="4"/>
  <c r="F273" i="2" l="1"/>
  <c r="G273" i="2"/>
  <c r="I273" i="2" s="1"/>
  <c r="C274" i="2"/>
  <c r="H273" i="2"/>
  <c r="E279" i="2"/>
  <c r="F243" i="4"/>
  <c r="C243" i="4"/>
  <c r="D242" i="4"/>
  <c r="G263" i="4"/>
  <c r="B264" i="4"/>
  <c r="C262" i="5"/>
  <c r="B263" i="5"/>
  <c r="B275" i="2"/>
  <c r="D274" i="2"/>
  <c r="F274" i="2" l="1"/>
  <c r="H274" i="2" s="1"/>
  <c r="G274" i="2"/>
  <c r="I274" i="2" s="1"/>
  <c r="C275" i="2"/>
  <c r="E280" i="2"/>
  <c r="C244" i="4"/>
  <c r="F244" i="4"/>
  <c r="D243" i="4"/>
  <c r="B276" i="2"/>
  <c r="D275" i="2"/>
  <c r="B264" i="5"/>
  <c r="C263" i="5"/>
  <c r="B265" i="4"/>
  <c r="G264" i="4"/>
  <c r="F275" i="2" l="1"/>
  <c r="G275" i="2"/>
  <c r="I275" i="2" s="1"/>
  <c r="C276" i="2"/>
  <c r="H275" i="2"/>
  <c r="E281" i="2"/>
  <c r="C245" i="4"/>
  <c r="F245" i="4"/>
  <c r="D244" i="4"/>
  <c r="B265" i="5"/>
  <c r="C264" i="5"/>
  <c r="D276" i="2"/>
  <c r="B277" i="2"/>
  <c r="G265" i="4"/>
  <c r="B266" i="4"/>
  <c r="F276" i="2" l="1"/>
  <c r="H276" i="2" s="1"/>
  <c r="G276" i="2"/>
  <c r="I276" i="2" s="1"/>
  <c r="C277" i="2"/>
  <c r="E282" i="2"/>
  <c r="F246" i="4"/>
  <c r="C246" i="4"/>
  <c r="D245" i="4"/>
  <c r="G266" i="4"/>
  <c r="B267" i="4"/>
  <c r="B266" i="5"/>
  <c r="C265" i="5"/>
  <c r="D277" i="2"/>
  <c r="F277" i="2" s="1"/>
  <c r="B278" i="2"/>
  <c r="G277" i="2" l="1"/>
  <c r="C278" i="2"/>
  <c r="H277" i="2"/>
  <c r="I277" i="2"/>
  <c r="E283" i="2"/>
  <c r="F247" i="4"/>
  <c r="C247" i="4"/>
  <c r="D246" i="4"/>
  <c r="G267" i="4"/>
  <c r="B268" i="4"/>
  <c r="C266" i="5"/>
  <c r="B267" i="5"/>
  <c r="D278" i="2"/>
  <c r="B279" i="2"/>
  <c r="F278" i="2" l="1"/>
  <c r="H278" i="2" s="1"/>
  <c r="G278" i="2"/>
  <c r="C279" i="2"/>
  <c r="I278" i="2"/>
  <c r="E284" i="2"/>
  <c r="C248" i="4"/>
  <c r="F248" i="4"/>
  <c r="D247" i="4"/>
  <c r="B269" i="4"/>
  <c r="G268" i="4"/>
  <c r="D279" i="2"/>
  <c r="B280" i="2"/>
  <c r="C267" i="5"/>
  <c r="C268" i="5" s="1"/>
  <c r="D268" i="5" s="1"/>
  <c r="F279" i="2" l="1"/>
  <c r="G279" i="2"/>
  <c r="I279" i="2" s="1"/>
  <c r="C280" i="2"/>
  <c r="H279" i="2"/>
  <c r="E285" i="2"/>
  <c r="C249" i="4"/>
  <c r="F249" i="4"/>
  <c r="D248" i="4"/>
  <c r="G269" i="4"/>
  <c r="B270" i="4"/>
  <c r="B269" i="5"/>
  <c r="D280" i="2"/>
  <c r="B281" i="2"/>
  <c r="F280" i="2" l="1"/>
  <c r="G280" i="2"/>
  <c r="C281" i="2"/>
  <c r="H280" i="2"/>
  <c r="I280" i="2"/>
  <c r="E286" i="2"/>
  <c r="C250" i="4"/>
  <c r="F250" i="4"/>
  <c r="D249" i="4"/>
  <c r="B271" i="4"/>
  <c r="G270" i="4"/>
  <c r="C269" i="5"/>
  <c r="B270" i="5"/>
  <c r="B282" i="2"/>
  <c r="D281" i="2"/>
  <c r="F281" i="2" s="1"/>
  <c r="G281" i="2" l="1"/>
  <c r="I281" i="2" s="1"/>
  <c r="C282" i="2"/>
  <c r="H281" i="2"/>
  <c r="E287" i="2"/>
  <c r="F251" i="4"/>
  <c r="C251" i="4"/>
  <c r="D250" i="4"/>
  <c r="G271" i="4"/>
  <c r="B272" i="4"/>
  <c r="B271" i="5"/>
  <c r="C270" i="5"/>
  <c r="D282" i="2"/>
  <c r="B283" i="2"/>
  <c r="F282" i="2" l="1"/>
  <c r="G282" i="2"/>
  <c r="C283" i="2"/>
  <c r="H282" i="2"/>
  <c r="I282" i="2"/>
  <c r="E288" i="2"/>
  <c r="C252" i="4"/>
  <c r="F252" i="4"/>
  <c r="D251" i="4"/>
  <c r="C271" i="5"/>
  <c r="B272" i="5"/>
  <c r="B273" i="4"/>
  <c r="G272" i="4"/>
  <c r="B284" i="2"/>
  <c r="D283" i="2"/>
  <c r="F283" i="2" l="1"/>
  <c r="G283" i="2"/>
  <c r="I283" i="2" s="1"/>
  <c r="C284" i="2"/>
  <c r="H283" i="2"/>
  <c r="E289" i="2"/>
  <c r="C253" i="4"/>
  <c r="F253" i="4"/>
  <c r="D252" i="4"/>
  <c r="G273" i="4"/>
  <c r="B274" i="4"/>
  <c r="C272" i="5"/>
  <c r="B273" i="5"/>
  <c r="D284" i="2"/>
  <c r="B285" i="2"/>
  <c r="F284" i="2" l="1"/>
  <c r="H284" i="2" s="1"/>
  <c r="G284" i="2"/>
  <c r="I284" i="2" s="1"/>
  <c r="C285" i="2"/>
  <c r="E290" i="2"/>
  <c r="F254" i="4"/>
  <c r="C254" i="4"/>
  <c r="D253" i="4"/>
  <c r="C273" i="5"/>
  <c r="B274" i="5"/>
  <c r="D285" i="2"/>
  <c r="B286" i="2"/>
  <c r="G274" i="4"/>
  <c r="B275" i="4"/>
  <c r="F285" i="2" l="1"/>
  <c r="H285" i="2" s="1"/>
  <c r="G285" i="2"/>
  <c r="I285" i="2" s="1"/>
  <c r="C286" i="2"/>
  <c r="E291" i="2"/>
  <c r="F255" i="4"/>
  <c r="C255" i="4"/>
  <c r="D254" i="4"/>
  <c r="G275" i="4"/>
  <c r="B276" i="4"/>
  <c r="D286" i="2"/>
  <c r="B287" i="2"/>
  <c r="C274" i="5"/>
  <c r="B275" i="5"/>
  <c r="F286" i="2" l="1"/>
  <c r="G286" i="2"/>
  <c r="I286" i="2" s="1"/>
  <c r="C287" i="2"/>
  <c r="H286" i="2"/>
  <c r="E292" i="2"/>
  <c r="F256" i="4"/>
  <c r="C256" i="4"/>
  <c r="D255" i="4"/>
  <c r="C275" i="5"/>
  <c r="B276" i="5"/>
  <c r="B277" i="4"/>
  <c r="G276" i="4"/>
  <c r="D287" i="2"/>
  <c r="B288" i="2"/>
  <c r="F287" i="2" l="1"/>
  <c r="H287" i="2" s="1"/>
  <c r="G287" i="2"/>
  <c r="C288" i="2"/>
  <c r="I287" i="2"/>
  <c r="E293" i="2"/>
  <c r="F257" i="4"/>
  <c r="C257" i="4"/>
  <c r="D256" i="4"/>
  <c r="B289" i="2"/>
  <c r="D288" i="2"/>
  <c r="G277" i="4"/>
  <c r="B278" i="4"/>
  <c r="C276" i="5"/>
  <c r="B277" i="5"/>
  <c r="F288" i="2" l="1"/>
  <c r="H288" i="2" s="1"/>
  <c r="G288" i="2"/>
  <c r="I288" i="2" s="1"/>
  <c r="C289" i="2"/>
  <c r="E294" i="2"/>
  <c r="C258" i="4"/>
  <c r="F258" i="4"/>
  <c r="D257" i="4"/>
  <c r="B279" i="4"/>
  <c r="G278" i="4"/>
  <c r="C277" i="5"/>
  <c r="B278" i="5"/>
  <c r="B290" i="2"/>
  <c r="D289" i="2"/>
  <c r="F289" i="2" l="1"/>
  <c r="H289" i="2" s="1"/>
  <c r="G289" i="2"/>
  <c r="I289" i="2" s="1"/>
  <c r="C290" i="2"/>
  <c r="E295" i="2"/>
  <c r="C259" i="4"/>
  <c r="F259" i="4"/>
  <c r="D258" i="4"/>
  <c r="G279" i="4"/>
  <c r="B280" i="4"/>
  <c r="B291" i="2"/>
  <c r="D290" i="2"/>
  <c r="B279" i="5"/>
  <c r="C278" i="5"/>
  <c r="F290" i="2" l="1"/>
  <c r="H290" i="2" s="1"/>
  <c r="G290" i="2"/>
  <c r="I290" i="2" s="1"/>
  <c r="C291" i="2"/>
  <c r="E296" i="2"/>
  <c r="C260" i="4"/>
  <c r="F260" i="4"/>
  <c r="D259" i="4"/>
  <c r="C279" i="5"/>
  <c r="C280" i="5" s="1"/>
  <c r="D280" i="5" s="1"/>
  <c r="B292" i="2"/>
  <c r="D291" i="2"/>
  <c r="B281" i="4"/>
  <c r="G280" i="4"/>
  <c r="F291" i="2" l="1"/>
  <c r="H291" i="2" s="1"/>
  <c r="G291" i="2"/>
  <c r="I291" i="2" s="1"/>
  <c r="C292" i="2"/>
  <c r="E297" i="2"/>
  <c r="C261" i="4"/>
  <c r="F261" i="4"/>
  <c r="D260" i="4"/>
  <c r="B281" i="5"/>
  <c r="B293" i="2"/>
  <c r="D292" i="2"/>
  <c r="G281" i="4"/>
  <c r="B282" i="4"/>
  <c r="F292" i="2" l="1"/>
  <c r="G292" i="2"/>
  <c r="I292" i="2" s="1"/>
  <c r="H292" i="2"/>
  <c r="C293" i="2"/>
  <c r="E298" i="2"/>
  <c r="F262" i="4"/>
  <c r="C262" i="4"/>
  <c r="D261" i="4"/>
  <c r="C281" i="5"/>
  <c r="B282" i="5"/>
  <c r="B283" i="4"/>
  <c r="G282" i="4"/>
  <c r="D293" i="2"/>
  <c r="B294" i="2"/>
  <c r="F293" i="2" l="1"/>
  <c r="G293" i="2"/>
  <c r="H293" i="2"/>
  <c r="C294" i="2"/>
  <c r="I293" i="2"/>
  <c r="E299" i="2"/>
  <c r="F263" i="4"/>
  <c r="C263" i="4"/>
  <c r="D262" i="4"/>
  <c r="G283" i="4"/>
  <c r="B284" i="4"/>
  <c r="B283" i="5"/>
  <c r="C282" i="5"/>
  <c r="B295" i="2"/>
  <c r="D294" i="2"/>
  <c r="F294" i="2" s="1"/>
  <c r="G294" i="2" l="1"/>
  <c r="C295" i="2"/>
  <c r="I294" i="2"/>
  <c r="H294" i="2"/>
  <c r="E300" i="2"/>
  <c r="C264" i="4"/>
  <c r="F264" i="4"/>
  <c r="D263" i="4"/>
  <c r="D295" i="2"/>
  <c r="B296" i="2"/>
  <c r="B284" i="5"/>
  <c r="C283" i="5"/>
  <c r="B285" i="4"/>
  <c r="G284" i="4"/>
  <c r="F295" i="2" l="1"/>
  <c r="H295" i="2" s="1"/>
  <c r="G295" i="2"/>
  <c r="I295" i="2" s="1"/>
  <c r="C296" i="2"/>
  <c r="E301" i="2"/>
  <c r="F265" i="4"/>
  <c r="C265" i="4"/>
  <c r="D264" i="4"/>
  <c r="G285" i="4"/>
  <c r="B286" i="4"/>
  <c r="D296" i="2"/>
  <c r="B297" i="2"/>
  <c r="B285" i="5"/>
  <c r="C284" i="5"/>
  <c r="F296" i="2" l="1"/>
  <c r="H296" i="2" s="1"/>
  <c r="G296" i="2"/>
  <c r="C297" i="2"/>
  <c r="I296" i="2"/>
  <c r="E302" i="2"/>
  <c r="C266" i="4"/>
  <c r="F266" i="4"/>
  <c r="D265" i="4"/>
  <c r="B298" i="2"/>
  <c r="D297" i="2"/>
  <c r="C285" i="5"/>
  <c r="B286" i="5"/>
  <c r="B287" i="4"/>
  <c r="G286" i="4"/>
  <c r="F297" i="2" l="1"/>
  <c r="H297" i="2" s="1"/>
  <c r="G297" i="2"/>
  <c r="I297" i="2" s="1"/>
  <c r="C298" i="2"/>
  <c r="E303" i="2"/>
  <c r="F267" i="4"/>
  <c r="C267" i="4"/>
  <c r="D266" i="4"/>
  <c r="B287" i="5"/>
  <c r="C286" i="5"/>
  <c r="G287" i="4"/>
  <c r="B288" i="4"/>
  <c r="D298" i="2"/>
  <c r="B299" i="2"/>
  <c r="F298" i="2" l="1"/>
  <c r="H298" i="2" s="1"/>
  <c r="G298" i="2"/>
  <c r="C299" i="2"/>
  <c r="I298" i="2"/>
  <c r="E304" i="2"/>
  <c r="C268" i="4"/>
  <c r="F268" i="4"/>
  <c r="D267" i="4"/>
  <c r="B289" i="4"/>
  <c r="G288" i="4"/>
  <c r="B300" i="2"/>
  <c r="D299" i="2"/>
  <c r="B288" i="5"/>
  <c r="C287" i="5"/>
  <c r="F299" i="2" l="1"/>
  <c r="G299" i="2"/>
  <c r="I299" i="2"/>
  <c r="C300" i="2"/>
  <c r="H299" i="2"/>
  <c r="E305" i="2"/>
  <c r="C269" i="4"/>
  <c r="F269" i="4"/>
  <c r="D268" i="4"/>
  <c r="B289" i="5"/>
  <c r="C288" i="5"/>
  <c r="G289" i="4"/>
  <c r="B290" i="4"/>
  <c r="B301" i="2"/>
  <c r="D300" i="2"/>
  <c r="F300" i="2" l="1"/>
  <c r="G300" i="2"/>
  <c r="C301" i="2"/>
  <c r="H300" i="2"/>
  <c r="I300" i="2"/>
  <c r="E306" i="2"/>
  <c r="C270" i="4"/>
  <c r="F270" i="4"/>
  <c r="D269" i="4"/>
  <c r="G290" i="4"/>
  <c r="B291" i="4"/>
  <c r="D301" i="2"/>
  <c r="B302" i="2"/>
  <c r="C289" i="5"/>
  <c r="B290" i="5"/>
  <c r="F301" i="2" l="1"/>
  <c r="H301" i="2" s="1"/>
  <c r="G301" i="2"/>
  <c r="C302" i="2"/>
  <c r="I301" i="2"/>
  <c r="E307" i="2"/>
  <c r="F271" i="4"/>
  <c r="C271" i="4"/>
  <c r="D270" i="4"/>
  <c r="G291" i="4"/>
  <c r="B292" i="4"/>
  <c r="B303" i="2"/>
  <c r="D302" i="2"/>
  <c r="B291" i="5"/>
  <c r="C290" i="5"/>
  <c r="F302" i="2" l="1"/>
  <c r="H302" i="2" s="1"/>
  <c r="G302" i="2"/>
  <c r="I302" i="2" s="1"/>
  <c r="C303" i="2"/>
  <c r="E308" i="2"/>
  <c r="C272" i="4"/>
  <c r="F272" i="4"/>
  <c r="D271" i="4"/>
  <c r="B293" i="4"/>
  <c r="G292" i="4"/>
  <c r="D303" i="2"/>
  <c r="B304" i="2"/>
  <c r="C291" i="5"/>
  <c r="C292" i="5" s="1"/>
  <c r="D292" i="5" s="1"/>
  <c r="F303" i="2" l="1"/>
  <c r="H303" i="2" s="1"/>
  <c r="G303" i="2"/>
  <c r="C304" i="2"/>
  <c r="I303" i="2"/>
  <c r="E309" i="2"/>
  <c r="C273" i="4"/>
  <c r="F273" i="4"/>
  <c r="D272" i="4"/>
  <c r="G293" i="4"/>
  <c r="B294" i="4"/>
  <c r="B293" i="5"/>
  <c r="B305" i="2"/>
  <c r="D304" i="2"/>
  <c r="F304" i="2" l="1"/>
  <c r="H304" i="2" s="1"/>
  <c r="G304" i="2"/>
  <c r="I304" i="2" s="1"/>
  <c r="C305" i="2"/>
  <c r="E310" i="2"/>
  <c r="C274" i="4"/>
  <c r="F274" i="4"/>
  <c r="D273" i="4"/>
  <c r="B306" i="2"/>
  <c r="D305" i="2"/>
  <c r="C293" i="5"/>
  <c r="B294" i="5"/>
  <c r="G294" i="4"/>
  <c r="B295" i="4"/>
  <c r="F305" i="2" l="1"/>
  <c r="H305" i="2" s="1"/>
  <c r="G305" i="2"/>
  <c r="I305" i="2" s="1"/>
  <c r="C306" i="2"/>
  <c r="E311" i="2"/>
  <c r="F275" i="4"/>
  <c r="C275" i="4"/>
  <c r="D274" i="4"/>
  <c r="D306" i="2"/>
  <c r="B307" i="2"/>
  <c r="G295" i="4"/>
  <c r="B296" i="4"/>
  <c r="B295" i="5"/>
  <c r="C294" i="5"/>
  <c r="F306" i="2" l="1"/>
  <c r="H306" i="2" s="1"/>
  <c r="G306" i="2"/>
  <c r="I306" i="2" s="1"/>
  <c r="C307" i="2"/>
  <c r="E312" i="2"/>
  <c r="F276" i="4"/>
  <c r="C276" i="4"/>
  <c r="D275" i="4"/>
  <c r="C295" i="5"/>
  <c r="B296" i="5"/>
  <c r="B297" i="4"/>
  <c r="G296" i="4"/>
  <c r="B308" i="2"/>
  <c r="D307" i="2"/>
  <c r="F307" i="2" l="1"/>
  <c r="H307" i="2" s="1"/>
  <c r="G307" i="2"/>
  <c r="I307" i="2" s="1"/>
  <c r="C308" i="2"/>
  <c r="E313" i="2"/>
  <c r="C277" i="4"/>
  <c r="F277" i="4"/>
  <c r="D276" i="4"/>
  <c r="C296" i="5"/>
  <c r="B297" i="5"/>
  <c r="D308" i="2"/>
  <c r="B309" i="2"/>
  <c r="G297" i="4"/>
  <c r="B298" i="4"/>
  <c r="F308" i="2" l="1"/>
  <c r="G308" i="2"/>
  <c r="C309" i="2"/>
  <c r="H308" i="2"/>
  <c r="I308" i="2"/>
  <c r="E314" i="2"/>
  <c r="C278" i="4"/>
  <c r="F278" i="4"/>
  <c r="D277" i="4"/>
  <c r="G298" i="4"/>
  <c r="B299" i="4"/>
  <c r="D309" i="2"/>
  <c r="B310" i="2"/>
  <c r="B298" i="5"/>
  <c r="C297" i="5"/>
  <c r="F309" i="2" l="1"/>
  <c r="H309" i="2" s="1"/>
  <c r="G309" i="2"/>
  <c r="I309" i="2" s="1"/>
  <c r="C310" i="2"/>
  <c r="E315" i="2"/>
  <c r="C279" i="4"/>
  <c r="F279" i="4"/>
  <c r="D278" i="4"/>
  <c r="G299" i="4"/>
  <c r="B300" i="4"/>
  <c r="B299" i="5"/>
  <c r="C298" i="5"/>
  <c r="B311" i="2"/>
  <c r="D310" i="2"/>
  <c r="F310" i="2" l="1"/>
  <c r="H310" i="2" s="1"/>
  <c r="G310" i="2"/>
  <c r="C311" i="2"/>
  <c r="I310" i="2"/>
  <c r="E316" i="2"/>
  <c r="F280" i="4"/>
  <c r="C280" i="4"/>
  <c r="D279" i="4"/>
  <c r="B301" i="4"/>
  <c r="G300" i="4"/>
  <c r="D311" i="2"/>
  <c r="B312" i="2"/>
  <c r="C299" i="5"/>
  <c r="B300" i="5"/>
  <c r="F311" i="2" l="1"/>
  <c r="H311" i="2" s="1"/>
  <c r="G311" i="2"/>
  <c r="I311" i="2" s="1"/>
  <c r="C312" i="2"/>
  <c r="E317" i="2"/>
  <c r="C281" i="4"/>
  <c r="F281" i="4"/>
  <c r="D280" i="4"/>
  <c r="C300" i="5"/>
  <c r="B301" i="5"/>
  <c r="B313" i="2"/>
  <c r="D312" i="2"/>
  <c r="G301" i="4"/>
  <c r="B302" i="4"/>
  <c r="F312" i="2" l="1"/>
  <c r="H312" i="2" s="1"/>
  <c r="G312" i="2"/>
  <c r="I312" i="2"/>
  <c r="C313" i="2"/>
  <c r="E318" i="2"/>
  <c r="C282" i="4"/>
  <c r="F282" i="4"/>
  <c r="D281" i="4"/>
  <c r="C301" i="5"/>
  <c r="B302" i="5"/>
  <c r="B303" i="4"/>
  <c r="G302" i="4"/>
  <c r="B314" i="2"/>
  <c r="D313" i="2"/>
  <c r="F313" i="2" s="1"/>
  <c r="G313" i="2" l="1"/>
  <c r="I313" i="2" s="1"/>
  <c r="C314" i="2"/>
  <c r="H313" i="2"/>
  <c r="E319" i="2"/>
  <c r="F283" i="4"/>
  <c r="C283" i="4"/>
  <c r="D282" i="4"/>
  <c r="B304" i="4"/>
  <c r="G303" i="4"/>
  <c r="D314" i="2"/>
  <c r="B315" i="2"/>
  <c r="B303" i="5"/>
  <c r="C302" i="5"/>
  <c r="F314" i="2" l="1"/>
  <c r="H314" i="2" s="1"/>
  <c r="G314" i="2"/>
  <c r="I314" i="2" s="1"/>
  <c r="C315" i="2"/>
  <c r="E320" i="2"/>
  <c r="F284" i="4"/>
  <c r="C284" i="4"/>
  <c r="D283" i="4"/>
  <c r="B316" i="2"/>
  <c r="D315" i="2"/>
  <c r="B305" i="4"/>
  <c r="G304" i="4"/>
  <c r="C303" i="5"/>
  <c r="C304" i="5" s="1"/>
  <c r="D304" i="5" s="1"/>
  <c r="F315" i="2" l="1"/>
  <c r="H315" i="2" s="1"/>
  <c r="G315" i="2"/>
  <c r="C316" i="2"/>
  <c r="I315" i="2"/>
  <c r="E321" i="2"/>
  <c r="C285" i="4"/>
  <c r="F285" i="4"/>
  <c r="D284" i="4"/>
  <c r="B305" i="5"/>
  <c r="B306" i="4"/>
  <c r="G305" i="4"/>
  <c r="D316" i="2"/>
  <c r="B317" i="2"/>
  <c r="F316" i="2" l="1"/>
  <c r="G316" i="2"/>
  <c r="C317" i="2"/>
  <c r="I316" i="2"/>
  <c r="H316" i="2"/>
  <c r="E322" i="2"/>
  <c r="C286" i="4"/>
  <c r="F286" i="4"/>
  <c r="D285" i="4"/>
  <c r="B307" i="4"/>
  <c r="G306" i="4"/>
  <c r="B306" i="5"/>
  <c r="C305" i="5"/>
  <c r="D317" i="2"/>
  <c r="B318" i="2"/>
  <c r="F317" i="2" l="1"/>
  <c r="G317" i="2"/>
  <c r="I317" i="2" s="1"/>
  <c r="C318" i="2"/>
  <c r="H317" i="2"/>
  <c r="E323" i="2"/>
  <c r="C287" i="4"/>
  <c r="F287" i="4"/>
  <c r="D286" i="4"/>
  <c r="G307" i="4"/>
  <c r="B308" i="4"/>
  <c r="B319" i="2"/>
  <c r="D318" i="2"/>
  <c r="B307" i="5"/>
  <c r="C306" i="5"/>
  <c r="F318" i="2" l="1"/>
  <c r="H318" i="2" s="1"/>
  <c r="G318" i="2"/>
  <c r="I318" i="2" s="1"/>
  <c r="C319" i="2"/>
  <c r="E324" i="2"/>
  <c r="C288" i="4"/>
  <c r="F288" i="4"/>
  <c r="D287" i="4"/>
  <c r="B309" i="4"/>
  <c r="G308" i="4"/>
  <c r="B308" i="5"/>
  <c r="C307" i="5"/>
  <c r="D319" i="2"/>
  <c r="B320" i="2"/>
  <c r="F319" i="2" l="1"/>
  <c r="H319" i="2" s="1"/>
  <c r="G319" i="2"/>
  <c r="I319" i="2" s="1"/>
  <c r="C320" i="2"/>
  <c r="E325" i="2"/>
  <c r="F289" i="4"/>
  <c r="C289" i="4"/>
  <c r="D288" i="4"/>
  <c r="C308" i="5"/>
  <c r="B309" i="5"/>
  <c r="B310" i="4"/>
  <c r="G309" i="4"/>
  <c r="B321" i="2"/>
  <c r="D320" i="2"/>
  <c r="F320" i="2" s="1"/>
  <c r="G320" i="2" l="1"/>
  <c r="I320" i="2" s="1"/>
  <c r="C321" i="2"/>
  <c r="H320" i="2"/>
  <c r="E326" i="2"/>
  <c r="C290" i="4"/>
  <c r="F290" i="4"/>
  <c r="D289" i="4"/>
  <c r="B322" i="2"/>
  <c r="D321" i="2"/>
  <c r="B310" i="5"/>
  <c r="C309" i="5"/>
  <c r="B311" i="4"/>
  <c r="G310" i="4"/>
  <c r="F321" i="2" l="1"/>
  <c r="H321" i="2" s="1"/>
  <c r="G321" i="2"/>
  <c r="I321" i="2" s="1"/>
  <c r="C322" i="2"/>
  <c r="E327" i="2"/>
  <c r="F291" i="4"/>
  <c r="C291" i="4"/>
  <c r="D290" i="4"/>
  <c r="D322" i="2"/>
  <c r="B323" i="2"/>
  <c r="G311" i="4"/>
  <c r="B312" i="4"/>
  <c r="B311" i="5"/>
  <c r="C310" i="5"/>
  <c r="F322" i="2" l="1"/>
  <c r="G322" i="2"/>
  <c r="I322" i="2" s="1"/>
  <c r="C323" i="2"/>
  <c r="H322" i="2"/>
  <c r="E328" i="2"/>
  <c r="C292" i="4"/>
  <c r="F292" i="4"/>
  <c r="D291" i="4"/>
  <c r="B313" i="4"/>
  <c r="G312" i="4"/>
  <c r="B324" i="2"/>
  <c r="D323" i="2"/>
  <c r="B312" i="5"/>
  <c r="C311" i="5"/>
  <c r="F323" i="2" l="1"/>
  <c r="G323" i="2"/>
  <c r="I323" i="2" s="1"/>
  <c r="H323" i="2"/>
  <c r="C324" i="2"/>
  <c r="E329" i="2"/>
  <c r="C293" i="4"/>
  <c r="F293" i="4"/>
  <c r="D292" i="4"/>
  <c r="C312" i="5"/>
  <c r="B313" i="5"/>
  <c r="D324" i="2"/>
  <c r="B325" i="2"/>
  <c r="B314" i="4"/>
  <c r="G313" i="4"/>
  <c r="F324" i="2" l="1"/>
  <c r="H324" i="2" s="1"/>
  <c r="G324" i="2"/>
  <c r="C325" i="2"/>
  <c r="I324" i="2"/>
  <c r="E330" i="2"/>
  <c r="C294" i="4"/>
  <c r="F294" i="4"/>
  <c r="D293" i="4"/>
  <c r="B314" i="5"/>
  <c r="C313" i="5"/>
  <c r="B315" i="4"/>
  <c r="G314" i="4"/>
  <c r="D325" i="2"/>
  <c r="B326" i="2"/>
  <c r="F325" i="2" l="1"/>
  <c r="G325" i="2"/>
  <c r="H325" i="2"/>
  <c r="C326" i="2"/>
  <c r="I325" i="2"/>
  <c r="E331" i="2"/>
  <c r="C295" i="4"/>
  <c r="F295" i="4"/>
  <c r="D294" i="4"/>
  <c r="B315" i="5"/>
  <c r="C314" i="5"/>
  <c r="B327" i="2"/>
  <c r="D326" i="2"/>
  <c r="G315" i="4"/>
  <c r="B316" i="4"/>
  <c r="F326" i="2" l="1"/>
  <c r="G326" i="2"/>
  <c r="I326" i="2"/>
  <c r="C327" i="2"/>
  <c r="H326" i="2"/>
  <c r="E332" i="2"/>
  <c r="C296" i="4"/>
  <c r="F296" i="4"/>
  <c r="D295" i="4"/>
  <c r="C315" i="5"/>
  <c r="C316" i="5" s="1"/>
  <c r="D316" i="5" s="1"/>
  <c r="B317" i="4"/>
  <c r="G316" i="4"/>
  <c r="D327" i="2"/>
  <c r="B328" i="2"/>
  <c r="F327" i="2" l="1"/>
  <c r="G327" i="2"/>
  <c r="C328" i="2"/>
  <c r="H327" i="2"/>
  <c r="I327" i="2"/>
  <c r="E333" i="2"/>
  <c r="C297" i="4"/>
  <c r="F297" i="4"/>
  <c r="D296" i="4"/>
  <c r="B318" i="4"/>
  <c r="G317" i="4"/>
  <c r="B329" i="2"/>
  <c r="D328" i="2"/>
  <c r="F328" i="2" s="1"/>
  <c r="B317" i="5"/>
  <c r="G328" i="2" l="1"/>
  <c r="I328" i="2" s="1"/>
  <c r="C329" i="2"/>
  <c r="H328" i="2"/>
  <c r="E334" i="2"/>
  <c r="C298" i="4"/>
  <c r="F298" i="4"/>
  <c r="D297" i="4"/>
  <c r="B318" i="5"/>
  <c r="C317" i="5"/>
  <c r="B330" i="2"/>
  <c r="D329" i="2"/>
  <c r="B319" i="4"/>
  <c r="G318" i="4"/>
  <c r="F329" i="2" l="1"/>
  <c r="G329" i="2"/>
  <c r="C330" i="2"/>
  <c r="H329" i="2"/>
  <c r="I329" i="2"/>
  <c r="E335" i="2"/>
  <c r="C299" i="4"/>
  <c r="F299" i="4"/>
  <c r="D298" i="4"/>
  <c r="C318" i="5"/>
  <c r="B319" i="5"/>
  <c r="D330" i="2"/>
  <c r="B331" i="2"/>
  <c r="G319" i="4"/>
  <c r="B320" i="4"/>
  <c r="F330" i="2" l="1"/>
  <c r="G330" i="2"/>
  <c r="I330" i="2" s="1"/>
  <c r="C331" i="2"/>
  <c r="H330" i="2"/>
  <c r="E336" i="2"/>
  <c r="C300" i="4"/>
  <c r="F300" i="4"/>
  <c r="D299" i="4"/>
  <c r="C319" i="5"/>
  <c r="B320" i="5"/>
  <c r="B332" i="2"/>
  <c r="D331" i="2"/>
  <c r="B321" i="4"/>
  <c r="G320" i="4"/>
  <c r="F331" i="2" l="1"/>
  <c r="H331" i="2" s="1"/>
  <c r="G331" i="2"/>
  <c r="I331" i="2" s="1"/>
  <c r="C332" i="2"/>
  <c r="E337" i="2"/>
  <c r="C301" i="4"/>
  <c r="F301" i="4"/>
  <c r="D300" i="4"/>
  <c r="D332" i="2"/>
  <c r="B333" i="2"/>
  <c r="C320" i="5"/>
  <c r="B321" i="5"/>
  <c r="B322" i="4"/>
  <c r="G321" i="4"/>
  <c r="F332" i="2" l="1"/>
  <c r="H332" i="2" s="1"/>
  <c r="G332" i="2"/>
  <c r="I332" i="2" s="1"/>
  <c r="C333" i="2"/>
  <c r="E338" i="2"/>
  <c r="F302" i="4"/>
  <c r="C302" i="4"/>
  <c r="D301" i="4"/>
  <c r="B323" i="4"/>
  <c r="G322" i="4"/>
  <c r="B322" i="5"/>
  <c r="C321" i="5"/>
  <c r="D333" i="2"/>
  <c r="B334" i="2"/>
  <c r="F333" i="2" l="1"/>
  <c r="G333" i="2"/>
  <c r="I333" i="2" s="1"/>
  <c r="C334" i="2"/>
  <c r="H333" i="2"/>
  <c r="E339" i="2"/>
  <c r="F303" i="4"/>
  <c r="C303" i="4"/>
  <c r="D302" i="4"/>
  <c r="B335" i="2"/>
  <c r="D334" i="2"/>
  <c r="C322" i="5"/>
  <c r="B323" i="5"/>
  <c r="G323" i="4"/>
  <c r="B324" i="4"/>
  <c r="F334" i="2" l="1"/>
  <c r="G334" i="2"/>
  <c r="I334" i="2" s="1"/>
  <c r="C335" i="2"/>
  <c r="H334" i="2"/>
  <c r="E340" i="2"/>
  <c r="C304" i="4"/>
  <c r="F304" i="4"/>
  <c r="D303" i="4"/>
  <c r="B325" i="4"/>
  <c r="G324" i="4"/>
  <c r="C323" i="5"/>
  <c r="B324" i="5"/>
  <c r="D335" i="2"/>
  <c r="F335" i="2" s="1"/>
  <c r="B336" i="2"/>
  <c r="G335" i="2" l="1"/>
  <c r="C336" i="2"/>
  <c r="H335" i="2"/>
  <c r="I335" i="2"/>
  <c r="E341" i="2"/>
  <c r="C305" i="4"/>
  <c r="F305" i="4"/>
  <c r="D304" i="4"/>
  <c r="B326" i="4"/>
  <c r="G325" i="4"/>
  <c r="B337" i="2"/>
  <c r="D336" i="2"/>
  <c r="F336" i="2" s="1"/>
  <c r="C324" i="5"/>
  <c r="B325" i="5"/>
  <c r="G336" i="2" l="1"/>
  <c r="I336" i="2" s="1"/>
  <c r="H336" i="2"/>
  <c r="C337" i="2"/>
  <c r="E342" i="2"/>
  <c r="C306" i="4"/>
  <c r="F306" i="4"/>
  <c r="D305" i="4"/>
  <c r="B338" i="2"/>
  <c r="D337" i="2"/>
  <c r="B327" i="4"/>
  <c r="G326" i="4"/>
  <c r="B326" i="5"/>
  <c r="C325" i="5"/>
  <c r="G337" i="2" l="1"/>
  <c r="F337" i="2"/>
  <c r="C338" i="2"/>
  <c r="H337" i="2"/>
  <c r="I337" i="2"/>
  <c r="E343" i="2"/>
  <c r="C307" i="4"/>
  <c r="F307" i="4"/>
  <c r="D306" i="4"/>
  <c r="D338" i="2"/>
  <c r="B339" i="2"/>
  <c r="C326" i="5"/>
  <c r="B327" i="5"/>
  <c r="G327" i="4"/>
  <c r="B328" i="4"/>
  <c r="F338" i="2" l="1"/>
  <c r="H338" i="2" s="1"/>
  <c r="G338" i="2"/>
  <c r="I338" i="2" s="1"/>
  <c r="C339" i="2"/>
  <c r="E344" i="2"/>
  <c r="C308" i="4"/>
  <c r="F308" i="4"/>
  <c r="D307" i="4"/>
  <c r="C327" i="5"/>
  <c r="C328" i="5" s="1"/>
  <c r="D328" i="5" s="1"/>
  <c r="B340" i="2"/>
  <c r="D339" i="2"/>
  <c r="B329" i="4"/>
  <c r="G328" i="4"/>
  <c r="F339" i="2" l="1"/>
  <c r="G339" i="2"/>
  <c r="C340" i="2"/>
  <c r="H339" i="2"/>
  <c r="I339" i="2"/>
  <c r="E345" i="2"/>
  <c r="C309" i="4"/>
  <c r="F309" i="4"/>
  <c r="D308" i="4"/>
  <c r="B341" i="2"/>
  <c r="D340" i="2"/>
  <c r="B329" i="5"/>
  <c r="B330" i="4"/>
  <c r="G329" i="4"/>
  <c r="F340" i="2" l="1"/>
  <c r="G340" i="2"/>
  <c r="I340" i="2" s="1"/>
  <c r="C341" i="2"/>
  <c r="H340" i="2"/>
  <c r="E346" i="2"/>
  <c r="C310" i="4"/>
  <c r="F310" i="4"/>
  <c r="D309" i="4"/>
  <c r="B330" i="5"/>
  <c r="C329" i="5"/>
  <c r="D341" i="2"/>
  <c r="B342" i="2"/>
  <c r="B331" i="4"/>
  <c r="G330" i="4"/>
  <c r="F341" i="2" l="1"/>
  <c r="G341" i="2"/>
  <c r="C342" i="2"/>
  <c r="H341" i="2"/>
  <c r="I341" i="2"/>
  <c r="E347" i="2"/>
  <c r="C311" i="4"/>
  <c r="F311" i="4"/>
  <c r="D310" i="4"/>
  <c r="B343" i="2"/>
  <c r="D342" i="2"/>
  <c r="B331" i="5"/>
  <c r="C330" i="5"/>
  <c r="G331" i="4"/>
  <c r="B332" i="4"/>
  <c r="F342" i="2" l="1"/>
  <c r="G342" i="2"/>
  <c r="C343" i="2"/>
  <c r="I342" i="2"/>
  <c r="H342" i="2"/>
  <c r="E348" i="2"/>
  <c r="C312" i="4"/>
  <c r="F312" i="4"/>
  <c r="D311" i="4"/>
  <c r="C331" i="5"/>
  <c r="B332" i="5"/>
  <c r="D343" i="2"/>
  <c r="B344" i="2"/>
  <c r="B333" i="4"/>
  <c r="G332" i="4"/>
  <c r="F343" i="2" l="1"/>
  <c r="G343" i="2"/>
  <c r="I343" i="2" s="1"/>
  <c r="C344" i="2"/>
  <c r="H343" i="2"/>
  <c r="E349" i="2"/>
  <c r="C313" i="4"/>
  <c r="F313" i="4"/>
  <c r="D312" i="4"/>
  <c r="B345" i="2"/>
  <c r="D344" i="2"/>
  <c r="B334" i="4"/>
  <c r="G333" i="4"/>
  <c r="B333" i="5"/>
  <c r="C332" i="5"/>
  <c r="F344" i="2" l="1"/>
  <c r="H344" i="2" s="1"/>
  <c r="G344" i="2"/>
  <c r="C345" i="2"/>
  <c r="I344" i="2"/>
  <c r="E350" i="2"/>
  <c r="F314" i="4"/>
  <c r="C314" i="4"/>
  <c r="D313" i="4"/>
  <c r="B346" i="2"/>
  <c r="D345" i="2"/>
  <c r="B334" i="5"/>
  <c r="C333" i="5"/>
  <c r="B335" i="4"/>
  <c r="G334" i="4"/>
  <c r="G345" i="2" l="1"/>
  <c r="F345" i="2"/>
  <c r="I345" i="2"/>
  <c r="C346" i="2"/>
  <c r="H345" i="2"/>
  <c r="E351" i="2"/>
  <c r="F315" i="4"/>
  <c r="C315" i="4"/>
  <c r="D314" i="4"/>
  <c r="B335" i="5"/>
  <c r="C334" i="5"/>
  <c r="G335" i="4"/>
  <c r="B336" i="4"/>
  <c r="D346" i="2"/>
  <c r="F346" i="2" s="1"/>
  <c r="B347" i="2"/>
  <c r="G346" i="2" l="1"/>
  <c r="C347" i="2"/>
  <c r="H346" i="2"/>
  <c r="I346" i="2"/>
  <c r="E352" i="2"/>
  <c r="C316" i="4"/>
  <c r="F316" i="4"/>
  <c r="D315" i="4"/>
  <c r="B348" i="2"/>
  <c r="D347" i="2"/>
  <c r="B337" i="4"/>
  <c r="G336" i="4"/>
  <c r="C335" i="5"/>
  <c r="B336" i="5"/>
  <c r="F347" i="2" l="1"/>
  <c r="G347" i="2"/>
  <c r="I347" i="2" s="1"/>
  <c r="C348" i="2"/>
  <c r="H347" i="2"/>
  <c r="E353" i="2"/>
  <c r="C317" i="4"/>
  <c r="F317" i="4"/>
  <c r="D316" i="4"/>
  <c r="B349" i="2"/>
  <c r="D348" i="2"/>
  <c r="B337" i="5"/>
  <c r="C336" i="5"/>
  <c r="B338" i="4"/>
  <c r="G337" i="4"/>
  <c r="G348" i="2" l="1"/>
  <c r="F348" i="2"/>
  <c r="H348" i="2" s="1"/>
  <c r="C349" i="2"/>
  <c r="I348" i="2"/>
  <c r="E354" i="2"/>
  <c r="C318" i="4"/>
  <c r="F318" i="4"/>
  <c r="D317" i="4"/>
  <c r="D349" i="2"/>
  <c r="B350" i="2"/>
  <c r="B338" i="5"/>
  <c r="C337" i="5"/>
  <c r="B339" i="4"/>
  <c r="G338" i="4"/>
  <c r="G349" i="2" l="1"/>
  <c r="F349" i="2"/>
  <c r="I349" i="2"/>
  <c r="C350" i="2"/>
  <c r="H349" i="2"/>
  <c r="E355" i="2"/>
  <c r="C319" i="4"/>
  <c r="F319" i="4"/>
  <c r="D318" i="4"/>
  <c r="G339" i="4"/>
  <c r="B340" i="4"/>
  <c r="B339" i="5"/>
  <c r="C338" i="5"/>
  <c r="B351" i="2"/>
  <c r="D350" i="2"/>
  <c r="F350" i="2" l="1"/>
  <c r="H350" i="2" s="1"/>
  <c r="G350" i="2"/>
  <c r="C351" i="2"/>
  <c r="I350" i="2"/>
  <c r="E356" i="2"/>
  <c r="C320" i="4"/>
  <c r="F320" i="4"/>
  <c r="D319" i="4"/>
  <c r="B341" i="4"/>
  <c r="G340" i="4"/>
  <c r="D351" i="2"/>
  <c r="B352" i="2"/>
  <c r="C339" i="5"/>
  <c r="C340" i="5" s="1"/>
  <c r="D340" i="5" s="1"/>
  <c r="F351" i="2" l="1"/>
  <c r="H351" i="2" s="1"/>
  <c r="G351" i="2"/>
  <c r="I351" i="2" s="1"/>
  <c r="C352" i="2"/>
  <c r="E357" i="2"/>
  <c r="F321" i="4"/>
  <c r="C321" i="4"/>
  <c r="D320" i="4"/>
  <c r="B341" i="5"/>
  <c r="D352" i="2"/>
  <c r="B353" i="2"/>
  <c r="B342" i="4"/>
  <c r="G341" i="4"/>
  <c r="F352" i="2" l="1"/>
  <c r="H352" i="2" s="1"/>
  <c r="G352" i="2"/>
  <c r="C353" i="2"/>
  <c r="I352" i="2"/>
  <c r="E358" i="2"/>
  <c r="C322" i="4"/>
  <c r="F322" i="4"/>
  <c r="D321" i="4"/>
  <c r="B343" i="4"/>
  <c r="G342" i="4"/>
  <c r="C341" i="5"/>
  <c r="B342" i="5"/>
  <c r="B354" i="2"/>
  <c r="D353" i="2"/>
  <c r="F353" i="2" l="1"/>
  <c r="H353" i="2" s="1"/>
  <c r="G353" i="2"/>
  <c r="I353" i="2" s="1"/>
  <c r="C354" i="2"/>
  <c r="E359" i="2"/>
  <c r="F323" i="4"/>
  <c r="C323" i="4"/>
  <c r="D322" i="4"/>
  <c r="G343" i="4"/>
  <c r="B344" i="4"/>
  <c r="C342" i="5"/>
  <c r="B343" i="5"/>
  <c r="D354" i="2"/>
  <c r="B355" i="2"/>
  <c r="F354" i="2" l="1"/>
  <c r="G354" i="2"/>
  <c r="C355" i="2"/>
  <c r="H354" i="2"/>
  <c r="I354" i="2"/>
  <c r="E360" i="2"/>
  <c r="C324" i="4"/>
  <c r="F324" i="4"/>
  <c r="D323" i="4"/>
  <c r="B345" i="4"/>
  <c r="G344" i="4"/>
  <c r="B356" i="2"/>
  <c r="D355" i="2"/>
  <c r="F355" i="2" s="1"/>
  <c r="B344" i="5"/>
  <c r="C343" i="5"/>
  <c r="G355" i="2" l="1"/>
  <c r="I355" i="2" s="1"/>
  <c r="C356" i="2"/>
  <c r="H355" i="2"/>
  <c r="E361" i="2"/>
  <c r="C325" i="4"/>
  <c r="F325" i="4"/>
  <c r="D324" i="4"/>
  <c r="B346" i="4"/>
  <c r="G345" i="4"/>
  <c r="B357" i="2"/>
  <c r="D356" i="2"/>
  <c r="B345" i="5"/>
  <c r="C344" i="5"/>
  <c r="F356" i="2" l="1"/>
  <c r="H356" i="2" s="1"/>
  <c r="G356" i="2"/>
  <c r="I356" i="2" s="1"/>
  <c r="C357" i="2"/>
  <c r="E362" i="2"/>
  <c r="F326" i="4"/>
  <c r="C326" i="4"/>
  <c r="D325" i="4"/>
  <c r="D357" i="2"/>
  <c r="B358" i="2"/>
  <c r="B347" i="4"/>
  <c r="G346" i="4"/>
  <c r="C345" i="5"/>
  <c r="B346" i="5"/>
  <c r="F357" i="2" l="1"/>
  <c r="H357" i="2" s="1"/>
  <c r="G357" i="2"/>
  <c r="C358" i="2"/>
  <c r="I357" i="2"/>
  <c r="E363" i="2"/>
  <c r="C327" i="4"/>
  <c r="F327" i="4"/>
  <c r="D326" i="4"/>
  <c r="C346" i="5"/>
  <c r="B347" i="5"/>
  <c r="G347" i="4"/>
  <c r="B348" i="4"/>
  <c r="B359" i="2"/>
  <c r="D358" i="2"/>
  <c r="F358" i="2" s="1"/>
  <c r="G358" i="2" l="1"/>
  <c r="C359" i="2"/>
  <c r="I358" i="2"/>
  <c r="H358" i="2"/>
  <c r="E364" i="2"/>
  <c r="F328" i="4"/>
  <c r="C328" i="4"/>
  <c r="D327" i="4"/>
  <c r="B349" i="4"/>
  <c r="G348" i="4"/>
  <c r="C347" i="5"/>
  <c r="B348" i="5"/>
  <c r="D359" i="2"/>
  <c r="F359" i="2" s="1"/>
  <c r="B360" i="2"/>
  <c r="G359" i="2" l="1"/>
  <c r="H359" i="2"/>
  <c r="C360" i="2"/>
  <c r="I359" i="2"/>
  <c r="E365" i="2"/>
  <c r="C329" i="4"/>
  <c r="F329" i="4"/>
  <c r="D328" i="4"/>
  <c r="B349" i="5"/>
  <c r="C348" i="5"/>
  <c r="B350" i="4"/>
  <c r="G349" i="4"/>
  <c r="D360" i="2"/>
  <c r="B361" i="2"/>
  <c r="F360" i="2" l="1"/>
  <c r="H360" i="2" s="1"/>
  <c r="G360" i="2"/>
  <c r="C361" i="2"/>
  <c r="I360" i="2"/>
  <c r="E366" i="2"/>
  <c r="C330" i="4"/>
  <c r="F330" i="4"/>
  <c r="D329" i="4"/>
  <c r="G350" i="4"/>
  <c r="B351" i="4"/>
  <c r="C349" i="5"/>
  <c r="B350" i="5"/>
  <c r="B362" i="2"/>
  <c r="D361" i="2"/>
  <c r="F361" i="2" s="1"/>
  <c r="G361" i="2" l="1"/>
  <c r="H361" i="2"/>
  <c r="C362" i="2"/>
  <c r="I361" i="2"/>
  <c r="E367" i="2"/>
  <c r="C331" i="4"/>
  <c r="F331" i="4"/>
  <c r="D330" i="4"/>
  <c r="B352" i="4"/>
  <c r="G351" i="4"/>
  <c r="C350" i="5"/>
  <c r="B351" i="5"/>
  <c r="D362" i="2"/>
  <c r="B363" i="2"/>
  <c r="F362" i="2" l="1"/>
  <c r="G362" i="2"/>
  <c r="I362" i="2" s="1"/>
  <c r="C363" i="2"/>
  <c r="H362" i="2"/>
  <c r="E368" i="2"/>
  <c r="C332" i="4"/>
  <c r="F332" i="4"/>
  <c r="D331" i="4"/>
  <c r="G352" i="4"/>
  <c r="B353" i="4"/>
  <c r="B364" i="2"/>
  <c r="D363" i="2"/>
  <c r="C351" i="5"/>
  <c r="C352" i="5" s="1"/>
  <c r="D352" i="5" s="1"/>
  <c r="F363" i="2" l="1"/>
  <c r="G363" i="2"/>
  <c r="C364" i="2"/>
  <c r="H363" i="2"/>
  <c r="I363" i="2"/>
  <c r="E369" i="2"/>
  <c r="C333" i="4"/>
  <c r="F333" i="4"/>
  <c r="D332" i="4"/>
  <c r="B353" i="5"/>
  <c r="D364" i="2"/>
  <c r="B365" i="2"/>
  <c r="B354" i="4"/>
  <c r="G353" i="4"/>
  <c r="F364" i="2" l="1"/>
  <c r="G364" i="2"/>
  <c r="H364" i="2"/>
  <c r="C365" i="2"/>
  <c r="I364" i="2"/>
  <c r="E370" i="2"/>
  <c r="F334" i="4"/>
  <c r="C334" i="4"/>
  <c r="D333" i="4"/>
  <c r="B354" i="5"/>
  <c r="C353" i="5"/>
  <c r="B366" i="2"/>
  <c r="D365" i="2"/>
  <c r="B355" i="4"/>
  <c r="G354" i="4"/>
  <c r="F365" i="2" l="1"/>
  <c r="G365" i="2"/>
  <c r="C366" i="2"/>
  <c r="I365" i="2"/>
  <c r="H365" i="2"/>
  <c r="E371" i="2"/>
  <c r="F335" i="4"/>
  <c r="C335" i="4"/>
  <c r="D334" i="4"/>
  <c r="C354" i="5"/>
  <c r="B355" i="5"/>
  <c r="B356" i="4"/>
  <c r="G355" i="4"/>
  <c r="D366" i="2"/>
  <c r="F366" i="2" s="1"/>
  <c r="B367" i="2"/>
  <c r="G366" i="2" l="1"/>
  <c r="I366" i="2"/>
  <c r="C367" i="2"/>
  <c r="H366" i="2"/>
  <c r="E372" i="2"/>
  <c r="C336" i="4"/>
  <c r="F336" i="4"/>
  <c r="D335" i="4"/>
  <c r="G356" i="4"/>
  <c r="B357" i="4"/>
  <c r="B356" i="5"/>
  <c r="C355" i="5"/>
  <c r="B368" i="2"/>
  <c r="D367" i="2"/>
  <c r="F367" i="2" l="1"/>
  <c r="H367" i="2" s="1"/>
  <c r="G367" i="2"/>
  <c r="C368" i="2"/>
  <c r="I367" i="2"/>
  <c r="E373" i="2"/>
  <c r="C337" i="4"/>
  <c r="F337" i="4"/>
  <c r="D336" i="4"/>
  <c r="D368" i="2"/>
  <c r="B369" i="2"/>
  <c r="B358" i="4"/>
  <c r="G357" i="4"/>
  <c r="B357" i="5"/>
  <c r="C356" i="5"/>
  <c r="F368" i="2" l="1"/>
  <c r="H368" i="2" s="1"/>
  <c r="G368" i="2"/>
  <c r="I368" i="2" s="1"/>
  <c r="C369" i="2"/>
  <c r="E374" i="2"/>
  <c r="C338" i="4"/>
  <c r="F338" i="4"/>
  <c r="D337" i="4"/>
  <c r="B370" i="2"/>
  <c r="D369" i="2"/>
  <c r="B358" i="5"/>
  <c r="C357" i="5"/>
  <c r="B359" i="4"/>
  <c r="G358" i="4"/>
  <c r="G369" i="2" l="1"/>
  <c r="I369" i="2" s="1"/>
  <c r="F369" i="2"/>
  <c r="H369" i="2" s="1"/>
  <c r="C370" i="2"/>
  <c r="E375" i="2"/>
  <c r="C339" i="4"/>
  <c r="F339" i="4"/>
  <c r="D338" i="4"/>
  <c r="D370" i="2"/>
  <c r="B371" i="2"/>
  <c r="C358" i="5"/>
  <c r="B359" i="5"/>
  <c r="B360" i="4"/>
  <c r="G359" i="4"/>
  <c r="G370" i="2" l="1"/>
  <c r="F370" i="2"/>
  <c r="C371" i="2"/>
  <c r="I370" i="2"/>
  <c r="H370" i="2"/>
  <c r="E376" i="2"/>
  <c r="C340" i="4"/>
  <c r="F340" i="4"/>
  <c r="D339" i="4"/>
  <c r="B372" i="2"/>
  <c r="D371" i="2"/>
  <c r="G360" i="4"/>
  <c r="B361" i="4"/>
  <c r="B360" i="5"/>
  <c r="C359" i="5"/>
  <c r="F371" i="2" l="1"/>
  <c r="H371" i="2" s="1"/>
  <c r="G371" i="2"/>
  <c r="I371" i="2" s="1"/>
  <c r="C372" i="2"/>
  <c r="E377" i="2"/>
  <c r="C341" i="4"/>
  <c r="F341" i="4"/>
  <c r="D340" i="4"/>
  <c r="D372" i="2"/>
  <c r="B373" i="2"/>
  <c r="B361" i="5"/>
  <c r="C360" i="5"/>
  <c r="G361" i="4"/>
  <c r="B362" i="4"/>
  <c r="G372" i="2" l="1"/>
  <c r="F372" i="2"/>
  <c r="H372" i="2" s="1"/>
  <c r="I372" i="2"/>
  <c r="C373" i="2"/>
  <c r="E378" i="2"/>
  <c r="F342" i="4"/>
  <c r="D342" i="4" s="1"/>
  <c r="C342" i="4"/>
  <c r="D341" i="4"/>
  <c r="B362" i="5"/>
  <c r="C361" i="5"/>
  <c r="B374" i="2"/>
  <c r="D373" i="2"/>
  <c r="B363" i="4"/>
  <c r="G362" i="4"/>
  <c r="F373" i="2" l="1"/>
  <c r="H373" i="2" s="1"/>
  <c r="G373" i="2"/>
  <c r="I373" i="2" s="1"/>
  <c r="C374" i="2"/>
  <c r="E379" i="2"/>
  <c r="C343" i="4"/>
  <c r="F343" i="4"/>
  <c r="D374" i="2"/>
  <c r="B375" i="2"/>
  <c r="C362" i="5"/>
  <c r="B363" i="5"/>
  <c r="B364" i="4"/>
  <c r="G363" i="4"/>
  <c r="F374" i="2" l="1"/>
  <c r="H374" i="2" s="1"/>
  <c r="G374" i="2"/>
  <c r="I374" i="2" s="1"/>
  <c r="C375" i="2"/>
  <c r="E380" i="2"/>
  <c r="C344" i="4"/>
  <c r="F344" i="4"/>
  <c r="D343" i="4"/>
  <c r="C363" i="5"/>
  <c r="C364" i="5" s="1"/>
  <c r="D364" i="5" s="1"/>
  <c r="B376" i="2"/>
  <c r="D375" i="2"/>
  <c r="G364" i="4"/>
  <c r="B365" i="4"/>
  <c r="F375" i="2" l="1"/>
  <c r="H375" i="2" s="1"/>
  <c r="G375" i="2"/>
  <c r="C376" i="2"/>
  <c r="I375" i="2"/>
  <c r="E381" i="2"/>
  <c r="C345" i="4"/>
  <c r="F345" i="4"/>
  <c r="D344" i="4"/>
  <c r="B365" i="5"/>
  <c r="D376" i="2"/>
  <c r="B377" i="2"/>
  <c r="B366" i="4"/>
  <c r="G365" i="4"/>
  <c r="F376" i="2" l="1"/>
  <c r="H376" i="2" s="1"/>
  <c r="G376" i="2"/>
  <c r="I376" i="2" s="1"/>
  <c r="C377" i="2"/>
  <c r="E382" i="2"/>
  <c r="C346" i="4"/>
  <c r="F346" i="4"/>
  <c r="D345" i="4"/>
  <c r="C365" i="5"/>
  <c r="B366" i="5"/>
  <c r="B378" i="2"/>
  <c r="D377" i="2"/>
  <c r="B367" i="4"/>
  <c r="G366" i="4"/>
  <c r="F377" i="2" l="1"/>
  <c r="G377" i="2"/>
  <c r="I377" i="2" s="1"/>
  <c r="C378" i="2"/>
  <c r="H377" i="2"/>
  <c r="E383" i="2"/>
  <c r="F347" i="4"/>
  <c r="C347" i="4"/>
  <c r="D346" i="4"/>
  <c r="D378" i="2"/>
  <c r="B379" i="2"/>
  <c r="B367" i="5"/>
  <c r="C366" i="5"/>
  <c r="B368" i="4"/>
  <c r="G367" i="4"/>
  <c r="F378" i="2" l="1"/>
  <c r="H378" i="2" s="1"/>
  <c r="G378" i="2"/>
  <c r="C379" i="2"/>
  <c r="I378" i="2"/>
  <c r="E384" i="2"/>
  <c r="C348" i="4"/>
  <c r="F348" i="4"/>
  <c r="D347" i="4"/>
  <c r="B368" i="5"/>
  <c r="C367" i="5"/>
  <c r="G368" i="4"/>
  <c r="B369" i="4"/>
  <c r="B380" i="2"/>
  <c r="D379" i="2"/>
  <c r="F379" i="2" l="1"/>
  <c r="H379" i="2" s="1"/>
  <c r="G379" i="2"/>
  <c r="I379" i="2" s="1"/>
  <c r="C380" i="2"/>
  <c r="E385" i="2"/>
  <c r="C349" i="4"/>
  <c r="F349" i="4"/>
  <c r="D348" i="4"/>
  <c r="B370" i="4"/>
  <c r="G369" i="4"/>
  <c r="D380" i="2"/>
  <c r="B381" i="2"/>
  <c r="C368" i="5"/>
  <c r="B369" i="5"/>
  <c r="F380" i="2" l="1"/>
  <c r="G380" i="2"/>
  <c r="H380" i="2"/>
  <c r="C381" i="2"/>
  <c r="I380" i="2"/>
  <c r="E386" i="2"/>
  <c r="C350" i="4"/>
  <c r="F350" i="4"/>
  <c r="D349" i="4"/>
  <c r="B382" i="2"/>
  <c r="D381" i="2"/>
  <c r="B371" i="4"/>
  <c r="G370" i="4"/>
  <c r="C369" i="5"/>
  <c r="B370" i="5"/>
  <c r="G381" i="2" l="1"/>
  <c r="I381" i="2" s="1"/>
  <c r="F381" i="2"/>
  <c r="H381" i="2" s="1"/>
  <c r="C382" i="2"/>
  <c r="E387" i="2"/>
  <c r="C351" i="4"/>
  <c r="F351" i="4"/>
  <c r="D350" i="4"/>
  <c r="D382" i="2"/>
  <c r="B383" i="2"/>
  <c r="C370" i="5"/>
  <c r="B371" i="5"/>
  <c r="B372" i="4"/>
  <c r="G371" i="4"/>
  <c r="G382" i="2" l="1"/>
  <c r="F382" i="2"/>
  <c r="H382" i="2"/>
  <c r="C383" i="2"/>
  <c r="I382" i="2"/>
  <c r="C352" i="4"/>
  <c r="F352" i="4"/>
  <c r="D351" i="4"/>
  <c r="B372" i="5"/>
  <c r="C371" i="5"/>
  <c r="B384" i="2"/>
  <c r="D383" i="2"/>
  <c r="G372" i="4"/>
  <c r="B373" i="4"/>
  <c r="F383" i="2" l="1"/>
  <c r="G383" i="2"/>
  <c r="I383" i="2" s="1"/>
  <c r="C384" i="2"/>
  <c r="H383" i="2"/>
  <c r="F353" i="4"/>
  <c r="C353" i="4"/>
  <c r="D352" i="4"/>
  <c r="D384" i="2"/>
  <c r="B385" i="2"/>
  <c r="G373" i="4"/>
  <c r="B374" i="4"/>
  <c r="C372" i="5"/>
  <c r="B373" i="5"/>
  <c r="F384" i="2" l="1"/>
  <c r="G384" i="2"/>
  <c r="H384" i="2"/>
  <c r="C385" i="2"/>
  <c r="I384" i="2"/>
  <c r="C354" i="4"/>
  <c r="F354" i="4"/>
  <c r="D353" i="4"/>
  <c r="B386" i="2"/>
  <c r="D385" i="2"/>
  <c r="B375" i="4"/>
  <c r="G374" i="4"/>
  <c r="C373" i="5"/>
  <c r="B374" i="5"/>
  <c r="F385" i="2" l="1"/>
  <c r="H385" i="2" s="1"/>
  <c r="G385" i="2"/>
  <c r="I385" i="2" s="1"/>
  <c r="C386" i="2"/>
  <c r="C355" i="4"/>
  <c r="F355" i="4"/>
  <c r="D354" i="4"/>
  <c r="D386" i="2"/>
  <c r="B387" i="2"/>
  <c r="B376" i="4"/>
  <c r="G375" i="4"/>
  <c r="B375" i="5"/>
  <c r="C374" i="5"/>
  <c r="F386" i="2" l="1"/>
  <c r="G386" i="2"/>
  <c r="H386" i="2"/>
  <c r="C387" i="2"/>
  <c r="I386" i="2"/>
  <c r="C356" i="4"/>
  <c r="F356" i="4"/>
  <c r="D355" i="4"/>
  <c r="G376" i="4"/>
  <c r="B377" i="4"/>
  <c r="D387" i="2"/>
  <c r="C375" i="5"/>
  <c r="C376" i="5" s="1"/>
  <c r="D376" i="5" s="1"/>
  <c r="F387" i="2" l="1"/>
  <c r="G387" i="2"/>
  <c r="H387" i="2"/>
  <c r="C357" i="4"/>
  <c r="F357" i="4"/>
  <c r="D356" i="4"/>
  <c r="G377" i="4"/>
  <c r="B378" i="4"/>
  <c r="B377" i="5"/>
  <c r="I387" i="2" l="1"/>
  <c r="C358" i="4"/>
  <c r="F358" i="4"/>
  <c r="D357" i="4"/>
  <c r="B379" i="4"/>
  <c r="G378" i="4"/>
  <c r="C377" i="5"/>
  <c r="B378" i="5"/>
  <c r="C359" i="4" l="1"/>
  <c r="F359" i="4"/>
  <c r="D358" i="4"/>
  <c r="B379" i="5"/>
  <c r="C378" i="5"/>
  <c r="B380" i="4"/>
  <c r="G379" i="4"/>
  <c r="F360" i="4" l="1"/>
  <c r="C360" i="4"/>
  <c r="D359" i="4"/>
  <c r="G380" i="4"/>
  <c r="B381" i="4"/>
  <c r="B380" i="5"/>
  <c r="C379" i="5"/>
  <c r="C361" i="4" l="1"/>
  <c r="F361" i="4"/>
  <c r="D360" i="4"/>
  <c r="B381" i="5"/>
  <c r="C380" i="5"/>
  <c r="B382" i="4"/>
  <c r="G381" i="4"/>
  <c r="F362" i="4" l="1"/>
  <c r="C362" i="4"/>
  <c r="D361" i="4"/>
  <c r="B383" i="4"/>
  <c r="G382" i="4"/>
  <c r="C381" i="5"/>
  <c r="B382" i="5"/>
  <c r="F363" i="4" l="1"/>
  <c r="C363" i="4"/>
  <c r="D362" i="4"/>
  <c r="B384" i="4"/>
  <c r="G383" i="4"/>
  <c r="B383" i="5"/>
  <c r="C382" i="5"/>
  <c r="F364" i="4" l="1"/>
  <c r="C364" i="4"/>
  <c r="D363" i="4"/>
  <c r="G384" i="4"/>
  <c r="B385" i="4"/>
  <c r="B384" i="5"/>
  <c r="C383" i="5"/>
  <c r="C365" i="4" l="1"/>
  <c r="F365" i="4"/>
  <c r="D364" i="4"/>
  <c r="B386" i="4"/>
  <c r="G385" i="4"/>
  <c r="B385" i="5"/>
  <c r="C384" i="5"/>
  <c r="C366" i="4" l="1"/>
  <c r="F366" i="4"/>
  <c r="D365" i="4"/>
  <c r="C385" i="5"/>
  <c r="B386" i="5"/>
  <c r="B387" i="4"/>
  <c r="G386" i="4"/>
  <c r="C367" i="4" l="1"/>
  <c r="F367" i="4"/>
  <c r="D366" i="4"/>
  <c r="B388" i="4"/>
  <c r="G387" i="4"/>
  <c r="B387" i="5"/>
  <c r="C386" i="5"/>
  <c r="C368" i="4" l="1"/>
  <c r="F368" i="4"/>
  <c r="D367" i="4"/>
  <c r="G388" i="4"/>
  <c r="B389" i="4"/>
  <c r="C387" i="5"/>
  <c r="C388" i="5" s="1"/>
  <c r="D388" i="5" s="1"/>
  <c r="C369" i="4" l="1"/>
  <c r="F369" i="4"/>
  <c r="D368" i="4"/>
  <c r="B389" i="5"/>
  <c r="B390" i="4"/>
  <c r="G389" i="4"/>
  <c r="F370" i="4" l="1"/>
  <c r="C370" i="4"/>
  <c r="D369" i="4"/>
  <c r="B391" i="4"/>
  <c r="G390" i="4"/>
  <c r="B390" i="5"/>
  <c r="C389" i="5"/>
  <c r="C371" i="4" l="1"/>
  <c r="F371" i="4"/>
  <c r="D370" i="4"/>
  <c r="B392" i="4"/>
  <c r="G391" i="4"/>
  <c r="B391" i="5"/>
  <c r="C390" i="5"/>
  <c r="C372" i="4" l="1"/>
  <c r="F372" i="4"/>
  <c r="D371" i="4"/>
  <c r="C391" i="5"/>
  <c r="B392" i="5"/>
  <c r="G392" i="4"/>
  <c r="B393" i="4"/>
  <c r="F373" i="4" l="1"/>
  <c r="C373" i="4"/>
  <c r="D372" i="4"/>
  <c r="C392" i="5"/>
  <c r="B393" i="5"/>
  <c r="G393" i="4"/>
  <c r="B394" i="4"/>
  <c r="C374" i="4" l="1"/>
  <c r="F374" i="4"/>
  <c r="D373" i="4"/>
  <c r="B395" i="4"/>
  <c r="G394" i="4"/>
  <c r="B394" i="5"/>
  <c r="C393" i="5"/>
  <c r="C375" i="4" l="1"/>
  <c r="F375" i="4"/>
  <c r="D374" i="4"/>
  <c r="B396" i="4"/>
  <c r="G395" i="4"/>
  <c r="B395" i="5"/>
  <c r="C394" i="5"/>
  <c r="F376" i="4" l="1"/>
  <c r="C376" i="4"/>
  <c r="D375" i="4"/>
  <c r="G396" i="4"/>
  <c r="B397" i="4"/>
  <c r="C395" i="5"/>
  <c r="B396" i="5"/>
  <c r="F377" i="4" l="1"/>
  <c r="C377" i="4"/>
  <c r="D376" i="4"/>
  <c r="B398" i="4"/>
  <c r="G397" i="4"/>
  <c r="C396" i="5"/>
  <c r="B397" i="5"/>
  <c r="C378" i="4" l="1"/>
  <c r="F378" i="4"/>
  <c r="D377" i="4"/>
  <c r="B398" i="5"/>
  <c r="C397" i="5"/>
  <c r="G398" i="4"/>
  <c r="B399" i="4"/>
  <c r="F379" i="4" l="1"/>
  <c r="C379" i="4"/>
  <c r="D378" i="4"/>
  <c r="G399" i="4"/>
  <c r="B400" i="4"/>
  <c r="B399" i="5"/>
  <c r="C398" i="5"/>
  <c r="F380" i="4" l="1"/>
  <c r="C380" i="4"/>
  <c r="D379" i="4"/>
  <c r="G400" i="4"/>
  <c r="B401" i="4"/>
  <c r="C399" i="5"/>
  <c r="C400" i="5" s="1"/>
  <c r="D400" i="5" s="1"/>
  <c r="F381" i="4" l="1"/>
  <c r="C381" i="4"/>
  <c r="D380" i="4"/>
  <c r="B401" i="5"/>
  <c r="B402" i="4"/>
  <c r="G401" i="4"/>
  <c r="F382" i="4" l="1"/>
  <c r="C382" i="4"/>
  <c r="D381" i="4"/>
  <c r="G402" i="4"/>
  <c r="B403" i="4"/>
  <c r="B402" i="5"/>
  <c r="C401" i="5"/>
  <c r="F383" i="4" l="1"/>
  <c r="C383" i="4"/>
  <c r="D382" i="4"/>
  <c r="B403" i="5"/>
  <c r="C402" i="5"/>
  <c r="G403" i="4"/>
  <c r="B404" i="4"/>
  <c r="C384" i="4" l="1"/>
  <c r="F384" i="4"/>
  <c r="D383" i="4"/>
  <c r="B405" i="4"/>
  <c r="G404" i="4"/>
  <c r="B404" i="5"/>
  <c r="C403" i="5"/>
  <c r="C385" i="4" l="1"/>
  <c r="F385" i="4"/>
  <c r="D384" i="4"/>
  <c r="C404" i="5"/>
  <c r="B405" i="5"/>
  <c r="B406" i="4"/>
  <c r="G405" i="4"/>
  <c r="C386" i="4" l="1"/>
  <c r="F386" i="4"/>
  <c r="D385" i="4"/>
  <c r="G406" i="4"/>
  <c r="B407" i="4"/>
  <c r="B406" i="5"/>
  <c r="C405" i="5"/>
  <c r="C387" i="4" l="1"/>
  <c r="F387" i="4"/>
  <c r="D386" i="4"/>
  <c r="B408" i="4"/>
  <c r="G407" i="4"/>
  <c r="B407" i="5"/>
  <c r="C406" i="5"/>
  <c r="F388" i="4" l="1"/>
  <c r="D388" i="4" s="1"/>
  <c r="D387" i="4"/>
  <c r="B409" i="4"/>
  <c r="G408" i="4"/>
  <c r="B408" i="5"/>
  <c r="C407" i="5"/>
  <c r="C388" i="4" l="1"/>
  <c r="B410" i="4"/>
  <c r="G409" i="4"/>
  <c r="C408" i="5"/>
  <c r="B409" i="5"/>
  <c r="C389" i="4" l="1"/>
  <c r="F389" i="4"/>
  <c r="B410" i="5"/>
  <c r="C409" i="5"/>
  <c r="B411" i="4"/>
  <c r="G410" i="4"/>
  <c r="F390" i="4" l="1"/>
  <c r="C390" i="4"/>
  <c r="D389" i="4"/>
  <c r="B412" i="4"/>
  <c r="G411" i="4"/>
  <c r="B411" i="5"/>
  <c r="C410" i="5"/>
  <c r="C391" i="4" l="1"/>
  <c r="F391" i="4"/>
  <c r="D390" i="4"/>
  <c r="B413" i="4"/>
  <c r="G412" i="4"/>
  <c r="C411" i="5"/>
  <c r="C412" i="5" s="1"/>
  <c r="D412" i="5" s="1"/>
  <c r="F392" i="4" l="1"/>
  <c r="C392" i="4"/>
  <c r="D391" i="4"/>
  <c r="B414" i="4"/>
  <c r="G413" i="4"/>
  <c r="B413" i="5"/>
  <c r="F393" i="4" l="1"/>
  <c r="C393" i="4"/>
  <c r="D392" i="4"/>
  <c r="B414" i="5"/>
  <c r="C413" i="5"/>
  <c r="B415" i="4"/>
  <c r="G414" i="4"/>
  <c r="F394" i="4" l="1"/>
  <c r="C394" i="4"/>
  <c r="D393" i="4"/>
  <c r="B416" i="4"/>
  <c r="G415" i="4"/>
  <c r="C414" i="5"/>
  <c r="B415" i="5"/>
  <c r="F395" i="4" l="1"/>
  <c r="C395" i="4"/>
  <c r="D394" i="4"/>
  <c r="G416" i="4"/>
  <c r="B417" i="4"/>
  <c r="C415" i="5"/>
  <c r="B416" i="5"/>
  <c r="F396" i="4" l="1"/>
  <c r="C396" i="4"/>
  <c r="D395" i="4"/>
  <c r="C416" i="5"/>
  <c r="B417" i="5"/>
  <c r="B418" i="4"/>
  <c r="G417" i="4"/>
  <c r="C397" i="4" l="1"/>
  <c r="F397" i="4"/>
  <c r="D396" i="4"/>
  <c r="B418" i="5"/>
  <c r="C417" i="5"/>
  <c r="B419" i="4"/>
  <c r="G418" i="4"/>
  <c r="F398" i="4" l="1"/>
  <c r="C398" i="4"/>
  <c r="D397" i="4"/>
  <c r="B420" i="4"/>
  <c r="G419" i="4"/>
  <c r="C418" i="5"/>
  <c r="B419" i="5"/>
  <c r="C399" i="4" l="1"/>
  <c r="F399" i="4"/>
  <c r="D398" i="4"/>
  <c r="B421" i="4"/>
  <c r="G420" i="4"/>
  <c r="C419" i="5"/>
  <c r="B420" i="5"/>
  <c r="C400" i="4" l="1"/>
  <c r="F400" i="4"/>
  <c r="D399" i="4"/>
  <c r="B421" i="5"/>
  <c r="C420" i="5"/>
  <c r="B422" i="4"/>
  <c r="G421" i="4"/>
  <c r="F401" i="4" l="1"/>
  <c r="C401" i="4"/>
  <c r="D400" i="4"/>
  <c r="B423" i="4"/>
  <c r="G422" i="4"/>
  <c r="B422" i="5"/>
  <c r="C421" i="5"/>
  <c r="F402" i="4" l="1"/>
  <c r="C402" i="4"/>
  <c r="D401" i="4"/>
  <c r="B423" i="5"/>
  <c r="C422" i="5"/>
  <c r="G423" i="4"/>
  <c r="B424" i="4"/>
  <c r="F403" i="4" l="1"/>
  <c r="C403" i="4"/>
  <c r="D402" i="4"/>
  <c r="C423" i="5"/>
  <c r="G8" i="5" s="1"/>
  <c r="G424" i="4"/>
  <c r="C404" i="4" l="1"/>
  <c r="F404" i="4"/>
  <c r="D403" i="4"/>
  <c r="C405" i="4" l="1"/>
  <c r="F405" i="4"/>
  <c r="D404" i="4"/>
  <c r="C406" i="4" l="1"/>
  <c r="F406" i="4"/>
  <c r="D405" i="4"/>
  <c r="C407" i="4" l="1"/>
  <c r="F407" i="4"/>
  <c r="D406" i="4"/>
  <c r="C408" i="4" l="1"/>
  <c r="F408" i="4"/>
  <c r="D407" i="4"/>
  <c r="C409" i="4" l="1"/>
  <c r="F409" i="4"/>
  <c r="D408" i="4"/>
  <c r="F410" i="4" l="1"/>
  <c r="D410" i="4" s="1"/>
  <c r="C410" i="4"/>
  <c r="D409" i="4"/>
  <c r="F411" i="4" l="1"/>
  <c r="D411" i="4" s="1"/>
  <c r="C411" i="4"/>
  <c r="F412" i="4" l="1"/>
  <c r="D412" i="4" s="1"/>
  <c r="C412" i="4" l="1"/>
  <c r="F413" i="4" l="1"/>
  <c r="D413" i="4" s="1"/>
  <c r="B20" i="2" l="1"/>
  <c r="C413" i="4"/>
  <c r="E20" i="2"/>
  <c r="C414" i="4" l="1"/>
  <c r="F414" i="4"/>
  <c r="H23" i="2"/>
  <c r="E23" i="2"/>
  <c r="E17" i="2"/>
  <c r="H17" i="2"/>
  <c r="H20" i="2"/>
  <c r="F415" i="4" l="1"/>
  <c r="C415" i="4"/>
  <c r="D414" i="4"/>
  <c r="G10" i="2"/>
  <c r="C416" i="4" l="1"/>
  <c r="F416" i="4"/>
  <c r="D415" i="4"/>
  <c r="C417" i="4" l="1"/>
  <c r="F417" i="4"/>
  <c r="D416" i="4"/>
  <c r="C418" i="4" l="1"/>
  <c r="F418" i="4"/>
  <c r="D417" i="4"/>
  <c r="C419" i="4" l="1"/>
  <c r="F419" i="4"/>
  <c r="D418" i="4"/>
  <c r="F420" i="4" l="1"/>
  <c r="C420" i="4"/>
  <c r="D419" i="4"/>
  <c r="C421" i="4" l="1"/>
  <c r="F421" i="4"/>
  <c r="D420" i="4"/>
  <c r="C422" i="4" l="1"/>
  <c r="F422" i="4"/>
  <c r="D421" i="4"/>
  <c r="C423" i="4" l="1"/>
  <c r="F423" i="4"/>
  <c r="D422" i="4"/>
  <c r="C424" i="4" l="1"/>
  <c r="F424" i="4"/>
  <c r="J12" i="4" s="1"/>
  <c r="D423" i="4"/>
  <c r="D424" i="4" l="1"/>
  <c r="J13" i="4" s="1"/>
  <c r="D17" i="3" l="1"/>
  <c r="E17" i="3" l="1"/>
  <c r="C17" i="3" s="1"/>
  <c r="D18" i="3" l="1"/>
  <c r="F18" i="3"/>
  <c r="E18" i="3" l="1"/>
  <c r="C18" i="3" s="1"/>
  <c r="F19" i="3" l="1"/>
  <c r="D19" i="3"/>
  <c r="E19" i="3" l="1"/>
  <c r="C19" i="3" s="1"/>
  <c r="D20" i="3" l="1"/>
  <c r="F20" i="3"/>
  <c r="E20" i="3" l="1"/>
  <c r="C20" i="3" s="1"/>
  <c r="D21" i="3" l="1"/>
  <c r="F21" i="3"/>
  <c r="E21" i="3" l="1"/>
  <c r="C21" i="3" s="1"/>
  <c r="D22" i="3" l="1"/>
  <c r="F22" i="3"/>
  <c r="E22" i="3" l="1"/>
  <c r="C22" i="3" s="1"/>
  <c r="F23" i="3" l="1"/>
  <c r="D23" i="3"/>
  <c r="E23" i="3" s="1"/>
  <c r="C23" i="3" s="1"/>
  <c r="F24" i="3" l="1"/>
  <c r="D24" i="3"/>
  <c r="E24" i="3" l="1"/>
  <c r="C24" i="3" s="1"/>
  <c r="F25" i="3" l="1"/>
  <c r="D25" i="3"/>
  <c r="E25" i="3" l="1"/>
  <c r="C25" i="3" s="1"/>
  <c r="F26" i="3"/>
  <c r="D26" i="3"/>
  <c r="E26" i="3" l="1"/>
  <c r="C26" i="3" s="1"/>
  <c r="F27" i="3" s="1"/>
  <c r="D27" i="3" l="1"/>
  <c r="E27" i="3" s="1"/>
  <c r="C27" i="3" s="1"/>
  <c r="D28" i="3" s="1"/>
  <c r="F28" i="3" l="1"/>
  <c r="E28" i="3" s="1"/>
  <c r="C28" i="3" s="1"/>
  <c r="F29" i="3" l="1"/>
  <c r="D29" i="3"/>
  <c r="E29" i="3" l="1"/>
  <c r="C29" i="3" s="1"/>
  <c r="F30" i="3" s="1"/>
  <c r="D30" i="3" l="1"/>
  <c r="E30" i="3" s="1"/>
  <c r="C30" i="3" s="1"/>
  <c r="F31" i="3" s="1"/>
  <c r="D31" i="3" l="1"/>
  <c r="E31" i="3" s="1"/>
  <c r="C31" i="3" s="1"/>
  <c r="D32" i="3" s="1"/>
  <c r="F32" i="3" l="1"/>
  <c r="E32" i="3"/>
  <c r="C32" i="3" s="1"/>
  <c r="F33" i="3" l="1"/>
  <c r="D33" i="3"/>
  <c r="E33" i="3" l="1"/>
  <c r="C33" i="3" s="1"/>
  <c r="F34" i="3" s="1"/>
  <c r="D34" i="3"/>
  <c r="E34" i="3" l="1"/>
  <c r="C34" i="3" s="1"/>
  <c r="D35" i="3" s="1"/>
  <c r="F35" i="3" l="1"/>
  <c r="E35" i="3"/>
  <c r="C35" i="3" s="1"/>
  <c r="D36" i="3" l="1"/>
  <c r="F36" i="3"/>
  <c r="E36" i="3" l="1"/>
  <c r="C36" i="3" s="1"/>
  <c r="D37" i="3" l="1"/>
  <c r="F37" i="3"/>
  <c r="E37" i="3" l="1"/>
  <c r="C37" i="3" s="1"/>
  <c r="D38" i="3" l="1"/>
  <c r="F38" i="3"/>
  <c r="E38" i="3" l="1"/>
  <c r="C38" i="3" s="1"/>
  <c r="D39" i="3" l="1"/>
  <c r="F39" i="3"/>
  <c r="E39" i="3" l="1"/>
  <c r="C39" i="3" s="1"/>
  <c r="F40" i="3" l="1"/>
  <c r="D40" i="3"/>
  <c r="E40" i="3" l="1"/>
  <c r="C40" i="3" s="1"/>
  <c r="F41" i="3" s="1"/>
  <c r="D41" i="3" l="1"/>
  <c r="E41" i="3" s="1"/>
  <c r="C41" i="3" s="1"/>
  <c r="F42" i="3" l="1"/>
  <c r="D42" i="3"/>
  <c r="E42" i="3" l="1"/>
  <c r="C42" i="3" s="1"/>
  <c r="F43" i="3" s="1"/>
  <c r="D43" i="3" l="1"/>
  <c r="E43" i="3" s="1"/>
  <c r="C43" i="3" s="1"/>
  <c r="F44" i="3" s="1"/>
  <c r="D44" i="3" l="1"/>
  <c r="E44" i="3" s="1"/>
  <c r="C44" i="3" s="1"/>
  <c r="D45" i="3" s="1"/>
  <c r="F45" i="3" l="1"/>
  <c r="E45" i="3" s="1"/>
  <c r="C45" i="3" s="1"/>
  <c r="D46" i="3" l="1"/>
  <c r="E46" i="3" s="1"/>
  <c r="C46" i="3" s="1"/>
  <c r="D47" i="3" s="1"/>
  <c r="F46" i="3"/>
  <c r="F47" i="3" l="1"/>
  <c r="E47" i="3"/>
  <c r="C47" i="3" s="1"/>
  <c r="F48" i="3" s="1"/>
  <c r="D48" i="3" l="1"/>
  <c r="E48" i="3" s="1"/>
  <c r="C48" i="3" s="1"/>
  <c r="F49" i="3" l="1"/>
  <c r="D49" i="3"/>
  <c r="E49" i="3" s="1"/>
  <c r="C49" i="3" s="1"/>
  <c r="D50" i="3" l="1"/>
  <c r="F50" i="3"/>
  <c r="E50" i="3" l="1"/>
  <c r="C50" i="3" s="1"/>
  <c r="D51" i="3" s="1"/>
  <c r="F51" i="3" l="1"/>
  <c r="E51" i="3"/>
  <c r="C51" i="3" s="1"/>
  <c r="F52" i="3" s="1"/>
  <c r="D52" i="3" l="1"/>
  <c r="E52" i="3" s="1"/>
  <c r="C52" i="3" s="1"/>
  <c r="D53" i="3" s="1"/>
  <c r="F53" i="3" l="1"/>
  <c r="E53" i="3"/>
  <c r="C53" i="3" s="1"/>
  <c r="D54" i="3" s="1"/>
  <c r="F54" i="3" l="1"/>
  <c r="E54" i="3"/>
  <c r="C54" i="3" s="1"/>
  <c r="F55" i="3" s="1"/>
  <c r="D55" i="3"/>
  <c r="E55" i="3" l="1"/>
  <c r="C55" i="3" s="1"/>
  <c r="F56" i="3"/>
  <c r="D56" i="3"/>
  <c r="E56" i="3" s="1"/>
  <c r="C56" i="3" s="1"/>
  <c r="D57" i="3" s="1"/>
  <c r="F57" i="3" l="1"/>
  <c r="E57" i="3" s="1"/>
  <c r="C57" i="3" s="1"/>
  <c r="D58" i="3" s="1"/>
  <c r="F58" i="3" l="1"/>
  <c r="E58" i="3" s="1"/>
  <c r="C58" i="3" s="1"/>
  <c r="F59" i="3" l="1"/>
  <c r="D59" i="3"/>
  <c r="E59" i="3" s="1"/>
  <c r="C59" i="3" s="1"/>
  <c r="F60" i="3" s="1"/>
  <c r="D60" i="3" l="1"/>
  <c r="E60" i="3" s="1"/>
  <c r="C60" i="3" s="1"/>
  <c r="D61" i="3" l="1"/>
  <c r="F61" i="3"/>
  <c r="E61" i="3" l="1"/>
  <c r="C61" i="3" s="1"/>
  <c r="F62" i="3" s="1"/>
  <c r="D62" i="3" l="1"/>
  <c r="E62" i="3" s="1"/>
  <c r="C62" i="3" s="1"/>
  <c r="F63" i="3" l="1"/>
  <c r="D63" i="3"/>
  <c r="E63" i="3" l="1"/>
  <c r="C63" i="3" s="1"/>
  <c r="F64" i="3" s="1"/>
  <c r="D64" i="3" l="1"/>
  <c r="E64" i="3" s="1"/>
  <c r="C64" i="3" s="1"/>
  <c r="F65" i="3" s="1"/>
  <c r="D65" i="3" l="1"/>
  <c r="E65" i="3" s="1"/>
  <c r="C65" i="3" s="1"/>
  <c r="F66" i="3" s="1"/>
  <c r="D66" i="3" l="1"/>
  <c r="E66" i="3" s="1"/>
  <c r="C66" i="3" s="1"/>
  <c r="F67" i="3" l="1"/>
  <c r="D67" i="3"/>
  <c r="E67" i="3" l="1"/>
  <c r="C67" i="3" s="1"/>
  <c r="F68" i="3" l="1"/>
  <c r="D68" i="3"/>
  <c r="E68" i="3" l="1"/>
  <c r="C68" i="3" s="1"/>
  <c r="D69" i="3" s="1"/>
  <c r="F69" i="3" l="1"/>
  <c r="E69" i="3"/>
  <c r="C69" i="3" s="1"/>
  <c r="D70" i="3" l="1"/>
  <c r="F70" i="3"/>
  <c r="E70" i="3" l="1"/>
  <c r="C70" i="3" s="1"/>
  <c r="F71" i="3" s="1"/>
  <c r="D71" i="3" l="1"/>
  <c r="E71" i="3" s="1"/>
  <c r="C71" i="3" s="1"/>
  <c r="D72" i="3" l="1"/>
  <c r="F72" i="3"/>
  <c r="E72" i="3" l="1"/>
  <c r="C72" i="3" s="1"/>
  <c r="F73" i="3" s="1"/>
  <c r="D73" i="3" l="1"/>
  <c r="E73" i="3" s="1"/>
  <c r="C73" i="3" s="1"/>
  <c r="F74" i="3" s="1"/>
  <c r="D74" i="3" l="1"/>
  <c r="E74" i="3" s="1"/>
  <c r="C74" i="3" s="1"/>
  <c r="D75" i="3" l="1"/>
  <c r="F75" i="3"/>
  <c r="E75" i="3" l="1"/>
  <c r="C75" i="3" s="1"/>
  <c r="F76" i="3" s="1"/>
  <c r="D76" i="3" l="1"/>
  <c r="E76" i="3" s="1"/>
  <c r="C76" i="3" s="1"/>
  <c r="F77" i="3" s="1"/>
  <c r="D77" i="3" l="1"/>
  <c r="E77" i="3" s="1"/>
  <c r="C77" i="3" s="1"/>
  <c r="F78" i="3" s="1"/>
  <c r="D78" i="3" l="1"/>
  <c r="E78" i="3" s="1"/>
  <c r="C78" i="3" s="1"/>
  <c r="F79" i="3" s="1"/>
  <c r="D79" i="3" l="1"/>
  <c r="E79" i="3" s="1"/>
  <c r="C79" i="3" s="1"/>
  <c r="D80" i="3" l="1"/>
  <c r="F80" i="3"/>
  <c r="E80" i="3" l="1"/>
  <c r="C80" i="3" s="1"/>
  <c r="D81" i="3" s="1"/>
  <c r="F81" i="3" l="1"/>
  <c r="E81" i="3" s="1"/>
  <c r="C81" i="3" s="1"/>
  <c r="F82" i="3" s="1"/>
  <c r="D82" i="3" l="1"/>
  <c r="E82" i="3" s="1"/>
  <c r="C82" i="3" s="1"/>
  <c r="D83" i="3" l="1"/>
  <c r="F83" i="3"/>
  <c r="E83" i="3" l="1"/>
  <c r="C83" i="3" s="1"/>
  <c r="F84" i="3" s="1"/>
  <c r="D84" i="3" l="1"/>
  <c r="E84" i="3" s="1"/>
  <c r="C84" i="3" s="1"/>
  <c r="F85" i="3" l="1"/>
  <c r="D85" i="3"/>
  <c r="E85" i="3" s="1"/>
  <c r="C85" i="3" s="1"/>
  <c r="F86" i="3" l="1"/>
  <c r="D86" i="3"/>
  <c r="E86" i="3" l="1"/>
  <c r="C86" i="3" s="1"/>
  <c r="D87" i="3" l="1"/>
  <c r="F87" i="3"/>
  <c r="E87" i="3" l="1"/>
  <c r="C87" i="3" s="1"/>
  <c r="F88" i="3" s="1"/>
  <c r="D88" i="3" l="1"/>
  <c r="E88" i="3" s="1"/>
  <c r="C88" i="3" s="1"/>
  <c r="F89" i="3" l="1"/>
  <c r="D89" i="3"/>
  <c r="E89" i="3" s="1"/>
  <c r="C89" i="3" s="1"/>
  <c r="D90" i="3" l="1"/>
  <c r="F90" i="3"/>
  <c r="E90" i="3" l="1"/>
  <c r="C90" i="3" s="1"/>
  <c r="F91" i="3" s="1"/>
  <c r="D91" i="3" l="1"/>
  <c r="E91" i="3" s="1"/>
  <c r="C91" i="3" s="1"/>
  <c r="F92" i="3" l="1"/>
  <c r="D92" i="3"/>
  <c r="E92" i="3" l="1"/>
  <c r="C92" i="3" s="1"/>
  <c r="F93" i="3" l="1"/>
  <c r="D93" i="3"/>
  <c r="E93" i="3" l="1"/>
  <c r="C93" i="3" s="1"/>
  <c r="D94" i="3" l="1"/>
  <c r="F94" i="3"/>
  <c r="E94" i="3" l="1"/>
  <c r="C94" i="3" s="1"/>
  <c r="F95" i="3" s="1"/>
  <c r="D95" i="3" l="1"/>
  <c r="E95" i="3" s="1"/>
  <c r="C95" i="3" s="1"/>
  <c r="F96" i="3" s="1"/>
  <c r="D96" i="3" l="1"/>
  <c r="E96" i="3" s="1"/>
  <c r="C96" i="3" s="1"/>
  <c r="F97" i="3" s="1"/>
  <c r="D97" i="3" l="1"/>
  <c r="E97" i="3" s="1"/>
  <c r="C97" i="3" s="1"/>
  <c r="D98" i="3" s="1"/>
  <c r="F98" i="3" l="1"/>
  <c r="E98" i="3" s="1"/>
  <c r="C98" i="3" s="1"/>
  <c r="D99" i="3" l="1"/>
  <c r="F99" i="3"/>
  <c r="E99" i="3" l="1"/>
  <c r="C99" i="3" s="1"/>
  <c r="D100" i="3" s="1"/>
  <c r="F100" i="3" l="1"/>
  <c r="E100" i="3" s="1"/>
  <c r="C100" i="3" s="1"/>
  <c r="F101" i="3" l="1"/>
  <c r="D101" i="3"/>
  <c r="E101" i="3" s="1"/>
  <c r="C101" i="3" s="1"/>
  <c r="D102" i="3" s="1"/>
  <c r="F102" i="3" l="1"/>
  <c r="E102" i="3" s="1"/>
  <c r="C102" i="3" s="1"/>
  <c r="F103" i="3" s="1"/>
  <c r="D103" i="3" l="1"/>
  <c r="E103" i="3" s="1"/>
  <c r="C103" i="3" s="1"/>
  <c r="D104" i="3" s="1"/>
  <c r="F104" i="3" l="1"/>
  <c r="E104" i="3" s="1"/>
  <c r="C104" i="3" s="1"/>
  <c r="F105" i="3" l="1"/>
  <c r="D105" i="3"/>
  <c r="E105" i="3" l="1"/>
  <c r="C105" i="3" s="1"/>
  <c r="D106" i="3" s="1"/>
  <c r="F106" i="3" l="1"/>
  <c r="E106" i="3" s="1"/>
  <c r="C106" i="3" s="1"/>
  <c r="F107" i="3" l="1"/>
  <c r="D107" i="3"/>
  <c r="E107" i="3" s="1"/>
  <c r="C107" i="3" s="1"/>
  <c r="F108" i="3" l="1"/>
  <c r="D108" i="3"/>
  <c r="E108" i="3" l="1"/>
  <c r="C108" i="3" s="1"/>
  <c r="F109" i="3" s="1"/>
  <c r="D109" i="3" l="1"/>
  <c r="E109" i="3" s="1"/>
  <c r="C109" i="3" s="1"/>
  <c r="D110" i="3" s="1"/>
  <c r="F110" i="3" l="1"/>
  <c r="E110" i="3"/>
  <c r="C110" i="3" s="1"/>
  <c r="F111" i="3" s="1"/>
  <c r="D111" i="3" l="1"/>
  <c r="E111" i="3" s="1"/>
  <c r="C111" i="3" s="1"/>
  <c r="F112" i="3" s="1"/>
  <c r="D112" i="3" l="1"/>
  <c r="E112" i="3" s="1"/>
  <c r="C112" i="3" s="1"/>
  <c r="F113" i="3" s="1"/>
  <c r="D113" i="3" l="1"/>
  <c r="E113" i="3" s="1"/>
  <c r="C113" i="3" s="1"/>
  <c r="F114" i="3" l="1"/>
  <c r="D114" i="3"/>
  <c r="E114" i="3" l="1"/>
  <c r="C114" i="3" s="1"/>
  <c r="F115" i="3" s="1"/>
  <c r="D115" i="3" l="1"/>
  <c r="E115" i="3" s="1"/>
  <c r="C115" i="3" s="1"/>
  <c r="F116" i="3" s="1"/>
  <c r="D116" i="3" l="1"/>
  <c r="E116" i="3" s="1"/>
  <c r="C116" i="3" s="1"/>
  <c r="F117" i="3" s="1"/>
  <c r="D117" i="3" l="1"/>
  <c r="E117" i="3" s="1"/>
  <c r="C117" i="3" s="1"/>
  <c r="F118" i="3" l="1"/>
  <c r="D118" i="3"/>
  <c r="E118" i="3" l="1"/>
  <c r="C118" i="3" s="1"/>
  <c r="F119" i="3" l="1"/>
  <c r="D119" i="3"/>
  <c r="E119" i="3" l="1"/>
  <c r="C119" i="3" s="1"/>
  <c r="F120" i="3" l="1"/>
  <c r="D120" i="3"/>
  <c r="E120" i="3" s="1"/>
  <c r="C120" i="3" s="1"/>
  <c r="D121" i="3" l="1"/>
  <c r="F121" i="3"/>
  <c r="E121" i="3" l="1"/>
  <c r="C121" i="3" s="1"/>
  <c r="F122" i="3" s="1"/>
  <c r="D122" i="3" l="1"/>
  <c r="E122" i="3" s="1"/>
  <c r="C122" i="3" s="1"/>
  <c r="D123" i="3" l="1"/>
  <c r="F123" i="3"/>
  <c r="E123" i="3" l="1"/>
  <c r="C123" i="3" s="1"/>
  <c r="F124" i="3" s="1"/>
  <c r="D124" i="3" l="1"/>
  <c r="E124" i="3" s="1"/>
  <c r="C124" i="3" s="1"/>
  <c r="D125" i="3" s="1"/>
  <c r="F125" i="3" l="1"/>
  <c r="E125" i="3" s="1"/>
  <c r="C125" i="3" s="1"/>
  <c r="F126" i="3" s="1"/>
  <c r="D126" i="3" l="1"/>
  <c r="E126" i="3" s="1"/>
  <c r="C126" i="3" s="1"/>
  <c r="F127" i="3" s="1"/>
  <c r="D127" i="3" l="1"/>
  <c r="E127" i="3" s="1"/>
  <c r="C127" i="3" s="1"/>
  <c r="F128" i="3" l="1"/>
  <c r="D128" i="3"/>
  <c r="E128" i="3" l="1"/>
  <c r="C128" i="3" s="1"/>
  <c r="F129" i="3" l="1"/>
  <c r="D129" i="3"/>
  <c r="E129" i="3" l="1"/>
  <c r="C129" i="3" s="1"/>
  <c r="F130" i="3" l="1"/>
  <c r="D130" i="3"/>
  <c r="E130" i="3" l="1"/>
  <c r="C130" i="3" s="1"/>
  <c r="F131" i="3" s="1"/>
  <c r="D131" i="3" l="1"/>
  <c r="E131" i="3" s="1"/>
  <c r="C131" i="3" s="1"/>
  <c r="D132" i="3" s="1"/>
  <c r="F132" i="3" l="1"/>
  <c r="E132" i="3"/>
  <c r="C132" i="3" s="1"/>
  <c r="F133" i="3" s="1"/>
  <c r="D133" i="3" l="1"/>
  <c r="E133" i="3" s="1"/>
  <c r="C133" i="3" s="1"/>
  <c r="D134" i="3" l="1"/>
  <c r="F134" i="3"/>
  <c r="E134" i="3" l="1"/>
  <c r="C134" i="3" s="1"/>
  <c r="F135" i="3"/>
  <c r="D135" i="3"/>
  <c r="E135" i="3" s="1"/>
  <c r="C135" i="3" s="1"/>
  <c r="F136" i="3" l="1"/>
  <c r="D136" i="3"/>
  <c r="E136" i="3" s="1"/>
  <c r="C136" i="3" s="1"/>
  <c r="F137" i="3" l="1"/>
  <c r="D137" i="3"/>
  <c r="E137" i="3" l="1"/>
  <c r="C137" i="3" s="1"/>
  <c r="F138" i="3" l="1"/>
  <c r="D138" i="3"/>
  <c r="E138" i="3" l="1"/>
  <c r="C138" i="3" s="1"/>
  <c r="F139" i="3" l="1"/>
  <c r="D139" i="3"/>
  <c r="E139" i="3" l="1"/>
  <c r="C139" i="3" s="1"/>
  <c r="D140" i="3" l="1"/>
  <c r="F140" i="3"/>
  <c r="E140" i="3" l="1"/>
  <c r="C140" i="3" s="1"/>
  <c r="F141" i="3" s="1"/>
  <c r="D141" i="3" l="1"/>
  <c r="E141" i="3" s="1"/>
  <c r="C141" i="3" s="1"/>
  <c r="F142" i="3" s="1"/>
  <c r="D142" i="3" l="1"/>
  <c r="E142" i="3" s="1"/>
  <c r="C142" i="3" s="1"/>
  <c r="F143" i="3" s="1"/>
  <c r="D143" i="3" l="1"/>
  <c r="E143" i="3" s="1"/>
  <c r="C143" i="3" s="1"/>
  <c r="F144" i="3" l="1"/>
  <c r="D144" i="3"/>
  <c r="E144" i="3" l="1"/>
  <c r="C144" i="3" s="1"/>
  <c r="F145" i="3" l="1"/>
  <c r="D145" i="3"/>
  <c r="E145" i="3" s="1"/>
  <c r="C145" i="3" s="1"/>
  <c r="D146" i="3" s="1"/>
  <c r="F146" i="3" l="1"/>
  <c r="E146" i="3" s="1"/>
  <c r="C146" i="3" s="1"/>
  <c r="D147" i="3" l="1"/>
  <c r="F147" i="3"/>
  <c r="E147" i="3" l="1"/>
  <c r="C147" i="3" s="1"/>
  <c r="D148" i="3" l="1"/>
  <c r="F148" i="3"/>
  <c r="E148" i="3" l="1"/>
  <c r="C148" i="3" s="1"/>
  <c r="F149" i="3" l="1"/>
  <c r="D149" i="3"/>
  <c r="E149" i="3" l="1"/>
  <c r="C149" i="3" s="1"/>
  <c r="F150" i="3" l="1"/>
  <c r="D150" i="3"/>
  <c r="E150" i="3" l="1"/>
  <c r="C150" i="3" s="1"/>
  <c r="F151" i="3" l="1"/>
  <c r="D151" i="3"/>
  <c r="E151" i="3" s="1"/>
  <c r="C151" i="3" s="1"/>
  <c r="F152" i="3" l="1"/>
  <c r="D152" i="3"/>
  <c r="E152" i="3" l="1"/>
  <c r="C152" i="3" s="1"/>
  <c r="D153" i="3" l="1"/>
  <c r="F153" i="3"/>
  <c r="E153" i="3" l="1"/>
  <c r="C153" i="3" s="1"/>
  <c r="D154" i="3" s="1"/>
  <c r="F154" i="3" l="1"/>
  <c r="E154" i="3"/>
  <c r="C154" i="3" s="1"/>
  <c r="D155" i="3" l="1"/>
  <c r="F155" i="3"/>
  <c r="E155" i="3" l="1"/>
  <c r="C155" i="3" s="1"/>
  <c r="F156" i="3" l="1"/>
  <c r="D156" i="3"/>
  <c r="E156" i="3" s="1"/>
  <c r="C156" i="3" s="1"/>
  <c r="F157" i="3" l="1"/>
  <c r="D157" i="3"/>
  <c r="E157" i="3" l="1"/>
  <c r="C157" i="3" s="1"/>
  <c r="F158" i="3" s="1"/>
  <c r="D158" i="3" l="1"/>
  <c r="E158" i="3" s="1"/>
  <c r="C158" i="3" s="1"/>
  <c r="F159" i="3" l="1"/>
  <c r="D159" i="3"/>
  <c r="E159" i="3" s="1"/>
  <c r="C159" i="3" s="1"/>
  <c r="F160" i="3" s="1"/>
  <c r="D160" i="3" l="1"/>
  <c r="E160" i="3" s="1"/>
  <c r="C160" i="3" s="1"/>
  <c r="F161" i="3" s="1"/>
  <c r="D161" i="3" l="1"/>
  <c r="E161" i="3" s="1"/>
  <c r="C161" i="3" s="1"/>
  <c r="F162" i="3" s="1"/>
  <c r="D162" i="3" l="1"/>
  <c r="E162" i="3" s="1"/>
  <c r="C162" i="3" s="1"/>
  <c r="D163" i="3" s="1"/>
  <c r="F163" i="3" l="1"/>
  <c r="E163" i="3"/>
  <c r="C163" i="3" s="1"/>
  <c r="F164" i="3" l="1"/>
  <c r="D164" i="3"/>
  <c r="E164" i="3" s="1"/>
  <c r="C164" i="3" s="1"/>
  <c r="D165" i="3" l="1"/>
  <c r="F165" i="3"/>
  <c r="E165" i="3" l="1"/>
  <c r="C165" i="3" s="1"/>
  <c r="D166" i="3" l="1"/>
  <c r="F166" i="3"/>
  <c r="E166" i="3" l="1"/>
  <c r="C166" i="3" s="1"/>
  <c r="D167" i="3" l="1"/>
  <c r="F167" i="3"/>
  <c r="E167" i="3" l="1"/>
  <c r="C167" i="3" s="1"/>
  <c r="F168" i="3" l="1"/>
  <c r="D168" i="3"/>
  <c r="E168" i="3" s="1"/>
  <c r="C168" i="3" s="1"/>
  <c r="F169" i="3" l="1"/>
  <c r="D169" i="3"/>
  <c r="E169" i="3" s="1"/>
  <c r="C169" i="3" s="1"/>
  <c r="F170" i="3" l="1"/>
  <c r="D170" i="3"/>
  <c r="E170" i="3" l="1"/>
  <c r="C170" i="3" s="1"/>
  <c r="D171" i="3" s="1"/>
  <c r="F171" i="3"/>
  <c r="E171" i="3" l="1"/>
  <c r="C171" i="3" s="1"/>
  <c r="F172" i="3" l="1"/>
  <c r="D172" i="3"/>
  <c r="E172" i="3" s="1"/>
  <c r="C172" i="3" s="1"/>
  <c r="F173" i="3" l="1"/>
  <c r="D173" i="3"/>
  <c r="E173" i="3" s="1"/>
  <c r="C173" i="3" s="1"/>
  <c r="D174" i="3" l="1"/>
  <c r="F174" i="3"/>
  <c r="E174" i="3" l="1"/>
  <c r="C174" i="3" s="1"/>
  <c r="F175" i="3" l="1"/>
  <c r="D175" i="3"/>
  <c r="E175" i="3" l="1"/>
  <c r="C175" i="3" s="1"/>
  <c r="F176" i="3" s="1"/>
  <c r="D176" i="3" l="1"/>
  <c r="E176" i="3" s="1"/>
  <c r="C176" i="3" s="1"/>
  <c r="F177" i="3" s="1"/>
  <c r="D177" i="3" l="1"/>
  <c r="E177" i="3" s="1"/>
  <c r="C177" i="3" s="1"/>
  <c r="F178" i="3" s="1"/>
  <c r="D178" i="3" l="1"/>
  <c r="E178" i="3" s="1"/>
  <c r="C178" i="3" s="1"/>
  <c r="F179" i="3" s="1"/>
  <c r="D179" i="3" l="1"/>
  <c r="E179" i="3" s="1"/>
  <c r="C179" i="3" s="1"/>
  <c r="F180" i="3" s="1"/>
  <c r="D180" i="3" l="1"/>
  <c r="E180" i="3" s="1"/>
  <c r="C180" i="3" s="1"/>
  <c r="D181" i="3" s="1"/>
  <c r="F181" i="3" l="1"/>
  <c r="E181" i="3" s="1"/>
  <c r="C181" i="3" s="1"/>
  <c r="D182" i="3" l="1"/>
  <c r="F182" i="3"/>
  <c r="E182" i="3" l="1"/>
  <c r="C182" i="3" s="1"/>
  <c r="D183" i="3" l="1"/>
  <c r="F183" i="3"/>
  <c r="E183" i="3" l="1"/>
  <c r="C183" i="3" s="1"/>
  <c r="F184" i="3" l="1"/>
  <c r="D184" i="3"/>
  <c r="E184" i="3" s="1"/>
  <c r="C184" i="3" s="1"/>
  <c r="F185" i="3" l="1"/>
  <c r="D185" i="3"/>
  <c r="E185" i="3" l="1"/>
  <c r="C185" i="3" s="1"/>
  <c r="F186" i="3" s="1"/>
  <c r="D186" i="3" l="1"/>
  <c r="E186" i="3" s="1"/>
  <c r="C186" i="3" s="1"/>
  <c r="F187" i="3" s="1"/>
  <c r="D187" i="3" l="1"/>
  <c r="E187" i="3" s="1"/>
  <c r="C187" i="3" s="1"/>
  <c r="D188" i="3" s="1"/>
  <c r="F188" i="3" l="1"/>
  <c r="E188" i="3" s="1"/>
  <c r="C188" i="3" s="1"/>
  <c r="F189" i="3" l="1"/>
  <c r="D189" i="3"/>
  <c r="E189" i="3" s="1"/>
  <c r="C189" i="3" s="1"/>
  <c r="F190" i="3" l="1"/>
  <c r="D190" i="3"/>
  <c r="E190" i="3" s="1"/>
  <c r="C190" i="3" s="1"/>
  <c r="F191" i="3" l="1"/>
  <c r="D191" i="3"/>
  <c r="E191" i="3" l="1"/>
  <c r="C191" i="3" s="1"/>
  <c r="F192" i="3" s="1"/>
  <c r="D192" i="3" l="1"/>
  <c r="E192" i="3" s="1"/>
  <c r="C192" i="3" s="1"/>
  <c r="D193" i="3" s="1"/>
  <c r="F193" i="3" l="1"/>
  <c r="E193" i="3"/>
  <c r="C193" i="3" s="1"/>
  <c r="F194" i="3" l="1"/>
  <c r="D194" i="3"/>
  <c r="E194" i="3" s="1"/>
  <c r="C194" i="3" s="1"/>
  <c r="F195" i="3" l="1"/>
  <c r="D195" i="3"/>
  <c r="E195" i="3" s="1"/>
  <c r="C195" i="3" s="1"/>
  <c r="D196" i="3" l="1"/>
  <c r="F196" i="3"/>
  <c r="E196" i="3" l="1"/>
  <c r="C196" i="3" s="1"/>
  <c r="F197" i="3" l="1"/>
  <c r="D197" i="3"/>
  <c r="E197" i="3" l="1"/>
  <c r="C197" i="3" s="1"/>
  <c r="F198" i="3" s="1"/>
  <c r="D198" i="3" l="1"/>
  <c r="E198" i="3" s="1"/>
  <c r="C198" i="3" s="1"/>
  <c r="D199" i="3" s="1"/>
  <c r="F199" i="3" l="1"/>
  <c r="E199" i="3" s="1"/>
  <c r="C199" i="3" s="1"/>
  <c r="F200" i="3" l="1"/>
  <c r="D200" i="3"/>
  <c r="E200" i="3" l="1"/>
  <c r="C200" i="3" s="1"/>
  <c r="F201" i="3" s="1"/>
  <c r="D201" i="3" l="1"/>
  <c r="E201" i="3" s="1"/>
  <c r="C201" i="3" s="1"/>
  <c r="D202" i="3" s="1"/>
  <c r="F202" i="3" l="1"/>
  <c r="E202" i="3" s="1"/>
  <c r="C202" i="3" s="1"/>
  <c r="D203" i="3" l="1"/>
  <c r="F203" i="3"/>
  <c r="E203" i="3" l="1"/>
  <c r="C203" i="3" s="1"/>
  <c r="F204" i="3" s="1"/>
  <c r="D204" i="3"/>
  <c r="E204" i="3" l="1"/>
  <c r="C204" i="3" s="1"/>
  <c r="F205" i="3" s="1"/>
  <c r="D205" i="3"/>
  <c r="E205" i="3" l="1"/>
  <c r="C205" i="3" s="1"/>
  <c r="D206" i="3" s="1"/>
  <c r="F206" i="3" l="1"/>
  <c r="E206" i="3"/>
  <c r="C206" i="3" s="1"/>
  <c r="D207" i="3" l="1"/>
  <c r="F207" i="3"/>
  <c r="E207" i="3" l="1"/>
  <c r="C207" i="3" s="1"/>
  <c r="F208" i="3" l="1"/>
  <c r="D208" i="3"/>
  <c r="E208" i="3" s="1"/>
  <c r="C208" i="3" s="1"/>
  <c r="F209" i="3" l="1"/>
  <c r="D209" i="3"/>
  <c r="E209" i="3" s="1"/>
  <c r="C209" i="3" s="1"/>
  <c r="D210" i="3" l="1"/>
  <c r="F210" i="3"/>
  <c r="E210" i="3" l="1"/>
  <c r="C210" i="3" s="1"/>
  <c r="F211" i="3" l="1"/>
  <c r="D211" i="3"/>
  <c r="E211" i="3" s="1"/>
  <c r="C211" i="3" s="1"/>
  <c r="D212" i="3" l="1"/>
  <c r="F212" i="3"/>
  <c r="E212" i="3" l="1"/>
  <c r="C212" i="3" s="1"/>
  <c r="F213" i="3" l="1"/>
  <c r="D213" i="3"/>
  <c r="E213" i="3" s="1"/>
  <c r="C213" i="3" s="1"/>
  <c r="F214" i="3" l="1"/>
  <c r="D214" i="3"/>
  <c r="E214" i="3" s="1"/>
  <c r="C214" i="3" s="1"/>
  <c r="F215" i="3" l="1"/>
  <c r="D215" i="3"/>
  <c r="E215" i="3" s="1"/>
  <c r="C215" i="3" s="1"/>
  <c r="F216" i="3" l="1"/>
  <c r="D216" i="3"/>
  <c r="E216" i="3" s="1"/>
  <c r="C216" i="3" s="1"/>
  <c r="F217" i="3" l="1"/>
  <c r="D217" i="3"/>
  <c r="E217" i="3" s="1"/>
  <c r="C217" i="3" s="1"/>
  <c r="D218" i="3" l="1"/>
  <c r="F218" i="3"/>
  <c r="E218" i="3" l="1"/>
  <c r="C218" i="3" s="1"/>
  <c r="F219" i="3" s="1"/>
  <c r="D219" i="3" l="1"/>
  <c r="E219" i="3" s="1"/>
  <c r="C219" i="3" s="1"/>
  <c r="F220" i="3" s="1"/>
  <c r="D220" i="3" l="1"/>
  <c r="E220" i="3" s="1"/>
  <c r="C220" i="3" s="1"/>
  <c r="F221" i="3" s="1"/>
  <c r="D221" i="3" l="1"/>
  <c r="E221" i="3" s="1"/>
  <c r="C221" i="3" s="1"/>
  <c r="D222" i="3" l="1"/>
  <c r="F222" i="3"/>
  <c r="E222" i="3" l="1"/>
  <c r="C222" i="3" s="1"/>
  <c r="F223" i="3"/>
  <c r="D223" i="3"/>
  <c r="E223" i="3" s="1"/>
  <c r="C223" i="3" s="1"/>
  <c r="F224" i="3" l="1"/>
  <c r="D224" i="3"/>
  <c r="E224" i="3" s="1"/>
  <c r="C224" i="3" s="1"/>
  <c r="D225" i="3" l="1"/>
  <c r="F225" i="3"/>
  <c r="E225" i="3" l="1"/>
  <c r="C225" i="3" s="1"/>
  <c r="F226" i="3" l="1"/>
  <c r="D226" i="3"/>
  <c r="E226" i="3" s="1"/>
  <c r="C226" i="3" s="1"/>
  <c r="F227" i="3" l="1"/>
  <c r="D227" i="3"/>
  <c r="E227" i="3" s="1"/>
  <c r="C227" i="3" s="1"/>
  <c r="F228" i="3" l="1"/>
  <c r="D228" i="3"/>
  <c r="E228" i="3" s="1"/>
  <c r="C228" i="3" s="1"/>
  <c r="F229" i="3" l="1"/>
  <c r="D229" i="3"/>
  <c r="E229" i="3" s="1"/>
  <c r="C229" i="3" s="1"/>
  <c r="F230" i="3" l="1"/>
  <c r="D230" i="3"/>
  <c r="E230" i="3" s="1"/>
  <c r="C230" i="3" s="1"/>
  <c r="F231" i="3" l="1"/>
  <c r="D231" i="3"/>
  <c r="E231" i="3" s="1"/>
  <c r="C231" i="3" s="1"/>
  <c r="F232" i="3" l="1"/>
  <c r="D232" i="3"/>
  <c r="E232" i="3" s="1"/>
  <c r="C232" i="3" s="1"/>
  <c r="F233" i="3" l="1"/>
  <c r="D233" i="3"/>
  <c r="E233" i="3" l="1"/>
  <c r="C233" i="3" s="1"/>
  <c r="F234" i="3" s="1"/>
  <c r="D234" i="3" l="1"/>
  <c r="E234" i="3" s="1"/>
  <c r="C234" i="3" s="1"/>
  <c r="D235" i="3" l="1"/>
  <c r="F235" i="3"/>
  <c r="E235" i="3" l="1"/>
  <c r="C235" i="3" s="1"/>
  <c r="F236" i="3" s="1"/>
  <c r="D236" i="3"/>
  <c r="E236" i="3" s="1"/>
  <c r="C236" i="3" s="1"/>
  <c r="F237" i="3" s="1"/>
  <c r="D237" i="3" l="1"/>
  <c r="E237" i="3" s="1"/>
  <c r="C237" i="3" s="1"/>
  <c r="F238" i="3" s="1"/>
  <c r="D238" i="3" l="1"/>
  <c r="E238" i="3" s="1"/>
  <c r="C238" i="3" s="1"/>
  <c r="F239" i="3" s="1"/>
  <c r="D239" i="3" l="1"/>
  <c r="E239" i="3" s="1"/>
  <c r="C239" i="3" s="1"/>
  <c r="F240" i="3" s="1"/>
  <c r="D240" i="3" l="1"/>
  <c r="E240" i="3" s="1"/>
  <c r="C240" i="3" s="1"/>
  <c r="F241" i="3" l="1"/>
  <c r="D241" i="3"/>
  <c r="E241" i="3" l="1"/>
  <c r="C241" i="3" s="1"/>
  <c r="D242" i="3"/>
  <c r="F242" i="3"/>
  <c r="E242" i="3" l="1"/>
  <c r="C242" i="3" s="1"/>
  <c r="F243" i="3" l="1"/>
  <c r="D243" i="3"/>
  <c r="E243" i="3" s="1"/>
  <c r="C243" i="3" s="1"/>
  <c r="F244" i="3" l="1"/>
  <c r="D244" i="3"/>
  <c r="E244" i="3" s="1"/>
  <c r="C244" i="3" s="1"/>
  <c r="F245" i="3" l="1"/>
  <c r="D245" i="3"/>
  <c r="E245" i="3" s="1"/>
  <c r="C245" i="3" s="1"/>
  <c r="D246" i="3" l="1"/>
  <c r="F246" i="3"/>
  <c r="E246" i="3" l="1"/>
  <c r="C246" i="3" s="1"/>
  <c r="F247" i="3" l="1"/>
  <c r="D247" i="3"/>
  <c r="E247" i="3" s="1"/>
  <c r="C247" i="3" s="1"/>
  <c r="D248" i="3" l="1"/>
  <c r="F248" i="3"/>
  <c r="E248" i="3" l="1"/>
  <c r="C248" i="3" s="1"/>
  <c r="D249" i="3" l="1"/>
  <c r="F249" i="3"/>
  <c r="E249" i="3" l="1"/>
  <c r="C249" i="3" s="1"/>
  <c r="F250" i="3" l="1"/>
  <c r="D250" i="3"/>
  <c r="E250" i="3" s="1"/>
  <c r="C250" i="3" s="1"/>
  <c r="F251" i="3" l="1"/>
  <c r="D251" i="3"/>
  <c r="E251" i="3" s="1"/>
  <c r="C251" i="3" s="1"/>
  <c r="F252" i="3" l="1"/>
  <c r="D252" i="3"/>
  <c r="E252" i="3" s="1"/>
  <c r="C252" i="3" s="1"/>
  <c r="F253" i="3" l="1"/>
  <c r="D253" i="3"/>
  <c r="E253" i="3" s="1"/>
  <c r="C253" i="3" s="1"/>
  <c r="D254" i="3" l="1"/>
  <c r="F254" i="3"/>
  <c r="E254" i="3" l="1"/>
  <c r="C254" i="3" s="1"/>
  <c r="F255" i="3" s="1"/>
  <c r="D255" i="3" l="1"/>
  <c r="E255" i="3" s="1"/>
  <c r="C255" i="3" s="1"/>
  <c r="F256" i="3" s="1"/>
  <c r="D256" i="3" l="1"/>
  <c r="E256" i="3" s="1"/>
  <c r="C256" i="3" s="1"/>
  <c r="F257" i="3" l="1"/>
  <c r="D257" i="3"/>
  <c r="E257" i="3" s="1"/>
  <c r="C257" i="3" s="1"/>
  <c r="F258" i="3" s="1"/>
  <c r="D258" i="3" l="1"/>
  <c r="E258" i="3" s="1"/>
  <c r="C258" i="3" s="1"/>
  <c r="F259" i="3" s="1"/>
  <c r="D259" i="3" l="1"/>
  <c r="E259" i="3" s="1"/>
  <c r="C259" i="3" s="1"/>
  <c r="F260" i="3" s="1"/>
  <c r="D260" i="3" l="1"/>
  <c r="E260" i="3" s="1"/>
  <c r="C260" i="3" s="1"/>
  <c r="F261" i="3" s="1"/>
  <c r="D261" i="3" l="1"/>
  <c r="E261" i="3" s="1"/>
  <c r="C261" i="3" s="1"/>
  <c r="D262" i="3" l="1"/>
  <c r="F262" i="3"/>
  <c r="E262" i="3" l="1"/>
  <c r="C262" i="3" s="1"/>
  <c r="D263" i="3"/>
  <c r="F263" i="3"/>
  <c r="E263" i="3" l="1"/>
  <c r="C263" i="3" s="1"/>
  <c r="F264" i="3" s="1"/>
  <c r="D264" i="3" l="1"/>
  <c r="E264" i="3" s="1"/>
  <c r="C264" i="3" s="1"/>
  <c r="F265" i="3" s="1"/>
  <c r="D265" i="3" l="1"/>
  <c r="E265" i="3" s="1"/>
  <c r="C265" i="3" s="1"/>
  <c r="F266" i="3" s="1"/>
  <c r="D266" i="3" l="1"/>
  <c r="E266" i="3" s="1"/>
  <c r="C266" i="3" s="1"/>
  <c r="F267" i="3" s="1"/>
  <c r="D267" i="3" l="1"/>
  <c r="E267" i="3" s="1"/>
  <c r="C267" i="3" s="1"/>
  <c r="F268" i="3" s="1"/>
  <c r="D268" i="3" l="1"/>
  <c r="E268" i="3" s="1"/>
  <c r="C268" i="3" s="1"/>
  <c r="D269" i="3" s="1"/>
  <c r="F269" i="3" l="1"/>
  <c r="E269" i="3" s="1"/>
  <c r="C269" i="3" s="1"/>
  <c r="F270" i="3" l="1"/>
  <c r="D270" i="3"/>
  <c r="E270" i="3" s="1"/>
  <c r="C270" i="3" s="1"/>
  <c r="F271" i="3" s="1"/>
  <c r="D271" i="3" l="1"/>
  <c r="E271" i="3" s="1"/>
  <c r="C271" i="3" s="1"/>
  <c r="F272" i="3" s="1"/>
  <c r="D272" i="3" l="1"/>
  <c r="E272" i="3" s="1"/>
  <c r="C272" i="3" s="1"/>
  <c r="F273" i="3" s="1"/>
  <c r="D273" i="3" l="1"/>
  <c r="E273" i="3" s="1"/>
  <c r="C273" i="3" s="1"/>
  <c r="F274" i="3" s="1"/>
  <c r="D274" i="3" l="1"/>
  <c r="E274" i="3" s="1"/>
  <c r="C274" i="3" s="1"/>
  <c r="F275" i="3" s="1"/>
  <c r="D275" i="3" l="1"/>
  <c r="E275" i="3" s="1"/>
  <c r="C275" i="3" s="1"/>
  <c r="F276" i="3" s="1"/>
  <c r="D276" i="3" l="1"/>
  <c r="E276" i="3" s="1"/>
  <c r="C276" i="3" s="1"/>
  <c r="F277" i="3" s="1"/>
  <c r="D277" i="3" l="1"/>
  <c r="E277" i="3" s="1"/>
  <c r="C277" i="3" s="1"/>
  <c r="F278" i="3" s="1"/>
  <c r="D278" i="3" l="1"/>
  <c r="E278" i="3" s="1"/>
  <c r="C278" i="3" s="1"/>
  <c r="F279" i="3" l="1"/>
  <c r="D279" i="3"/>
  <c r="E279" i="3" s="1"/>
  <c r="C279" i="3" s="1"/>
  <c r="F280" i="3" l="1"/>
  <c r="D280" i="3"/>
  <c r="E280" i="3" s="1"/>
  <c r="C280" i="3" s="1"/>
  <c r="D281" i="3" s="1"/>
  <c r="F281" i="3" l="1"/>
  <c r="E281" i="3"/>
  <c r="C281" i="3" s="1"/>
  <c r="F282" i="3" l="1"/>
  <c r="D282" i="3"/>
  <c r="E282" i="3" s="1"/>
  <c r="C282" i="3" s="1"/>
  <c r="F283" i="3" l="1"/>
  <c r="D283" i="3"/>
  <c r="E283" i="3" s="1"/>
  <c r="C283" i="3" s="1"/>
  <c r="F284" i="3" l="1"/>
  <c r="D284" i="3"/>
  <c r="E284" i="3" s="1"/>
  <c r="C284" i="3" s="1"/>
  <c r="F285" i="3" l="1"/>
  <c r="D285" i="3"/>
  <c r="E285" i="3" s="1"/>
  <c r="C285" i="3" s="1"/>
  <c r="F286" i="3" l="1"/>
  <c r="D286" i="3"/>
  <c r="E286" i="3" s="1"/>
  <c r="C286" i="3" s="1"/>
  <c r="D287" i="3" l="1"/>
  <c r="F287" i="3"/>
  <c r="E287" i="3" l="1"/>
  <c r="C287" i="3" s="1"/>
  <c r="F288" i="3" l="1"/>
  <c r="D288" i="3"/>
  <c r="E288" i="3" l="1"/>
  <c r="C288" i="3" s="1"/>
  <c r="F289" i="3"/>
  <c r="D289" i="3"/>
  <c r="E289" i="3" s="1"/>
  <c r="C289" i="3" s="1"/>
  <c r="F290" i="3" l="1"/>
  <c r="D290" i="3"/>
  <c r="E290" i="3" l="1"/>
  <c r="C290" i="3" s="1"/>
  <c r="F291" i="3" s="1"/>
  <c r="D291" i="3" l="1"/>
  <c r="E291" i="3" s="1"/>
  <c r="C291" i="3" s="1"/>
  <c r="D292" i="3" s="1"/>
  <c r="F292" i="3" l="1"/>
  <c r="E292" i="3" s="1"/>
  <c r="C292" i="3" s="1"/>
  <c r="F293" i="3" l="1"/>
  <c r="D293" i="3"/>
  <c r="E293" i="3" s="1"/>
  <c r="C293" i="3" s="1"/>
  <c r="F294" i="3" l="1"/>
  <c r="D294" i="3"/>
  <c r="E294" i="3" s="1"/>
  <c r="C294" i="3" s="1"/>
  <c r="D295" i="3" l="1"/>
  <c r="F295" i="3"/>
  <c r="E295" i="3" l="1"/>
  <c r="C295" i="3" s="1"/>
  <c r="D296" i="3" l="1"/>
  <c r="F296" i="3"/>
  <c r="E296" i="3" l="1"/>
  <c r="C296" i="3" s="1"/>
  <c r="F297" i="3" l="1"/>
  <c r="D297" i="3"/>
  <c r="E297" i="3" s="1"/>
  <c r="C297" i="3" s="1"/>
  <c r="F298" i="3" l="1"/>
  <c r="D298" i="3"/>
  <c r="E298" i="3" s="1"/>
  <c r="C298" i="3" s="1"/>
  <c r="F299" i="3" l="1"/>
  <c r="D299" i="3"/>
  <c r="E299" i="3" s="1"/>
  <c r="C299" i="3" s="1"/>
  <c r="F300" i="3" l="1"/>
  <c r="D300" i="3"/>
  <c r="E300" i="3" s="1"/>
  <c r="C300" i="3" s="1"/>
  <c r="F301" i="3" l="1"/>
  <c r="D301" i="3"/>
  <c r="E301" i="3" s="1"/>
  <c r="C301" i="3" s="1"/>
  <c r="F302" i="3" s="1"/>
  <c r="D302" i="3" l="1"/>
  <c r="E302" i="3" s="1"/>
  <c r="C302" i="3" s="1"/>
  <c r="F303" i="3" s="1"/>
  <c r="D303" i="3" l="1"/>
  <c r="E303" i="3" s="1"/>
  <c r="C303" i="3" s="1"/>
  <c r="F304" i="3" s="1"/>
  <c r="D304" i="3" l="1"/>
  <c r="E304" i="3" s="1"/>
  <c r="C304" i="3" s="1"/>
  <c r="F305" i="3" s="1"/>
  <c r="D305" i="3" l="1"/>
  <c r="E305" i="3" s="1"/>
  <c r="C305" i="3" s="1"/>
  <c r="F306" i="3" s="1"/>
  <c r="D306" i="3" l="1"/>
  <c r="E306" i="3" s="1"/>
  <c r="C306" i="3" s="1"/>
  <c r="F307" i="3" s="1"/>
  <c r="D307" i="3" l="1"/>
  <c r="E307" i="3" s="1"/>
  <c r="C307" i="3" s="1"/>
  <c r="D308" i="3" s="1"/>
  <c r="F308" i="3" l="1"/>
  <c r="E308" i="3" s="1"/>
  <c r="C308" i="3" s="1"/>
  <c r="D309" i="3" l="1"/>
  <c r="F309" i="3"/>
  <c r="E309" i="3" l="1"/>
  <c r="C309" i="3" s="1"/>
  <c r="D310" i="3" s="1"/>
  <c r="F310" i="3"/>
  <c r="E310" i="3" l="1"/>
  <c r="C310" i="3" s="1"/>
  <c r="D311" i="3" s="1"/>
  <c r="F311" i="3" l="1"/>
  <c r="E311" i="3"/>
  <c r="C311" i="3" s="1"/>
  <c r="F312" i="3" s="1"/>
  <c r="D312" i="3" l="1"/>
  <c r="E312" i="3" s="1"/>
  <c r="C312" i="3" s="1"/>
  <c r="F313" i="3" l="1"/>
  <c r="D313" i="3"/>
  <c r="E313" i="3" s="1"/>
  <c r="C313" i="3" s="1"/>
  <c r="F314" i="3" s="1"/>
  <c r="D314" i="3" l="1"/>
  <c r="E314" i="3" s="1"/>
  <c r="C314" i="3" s="1"/>
  <c r="F315" i="3" s="1"/>
  <c r="D315" i="3" l="1"/>
  <c r="E315" i="3" s="1"/>
  <c r="C315" i="3" s="1"/>
  <c r="F316" i="3" s="1"/>
  <c r="D316" i="3" l="1"/>
  <c r="E316" i="3" s="1"/>
  <c r="C316" i="3" s="1"/>
  <c r="F317" i="3" s="1"/>
  <c r="D317" i="3" l="1"/>
  <c r="E317" i="3" s="1"/>
  <c r="C317" i="3" s="1"/>
  <c r="D318" i="3" s="1"/>
  <c r="F318" i="3" l="1"/>
  <c r="E318" i="3"/>
  <c r="C318" i="3" s="1"/>
  <c r="F319" i="3" s="1"/>
  <c r="D319" i="3" l="1"/>
  <c r="E319" i="3" s="1"/>
  <c r="C319" i="3" s="1"/>
  <c r="F320" i="3" s="1"/>
  <c r="D320" i="3" l="1"/>
  <c r="E320" i="3" s="1"/>
  <c r="C320" i="3" s="1"/>
  <c r="F321" i="3" s="1"/>
  <c r="D321" i="3" l="1"/>
  <c r="E321" i="3" s="1"/>
  <c r="C321" i="3" s="1"/>
  <c r="F322" i="3" s="1"/>
  <c r="D322" i="3" l="1"/>
  <c r="E322" i="3" s="1"/>
  <c r="C322" i="3" s="1"/>
  <c r="F323" i="3" s="1"/>
  <c r="D323" i="3" l="1"/>
  <c r="E323" i="3" s="1"/>
  <c r="C323" i="3" s="1"/>
  <c r="F324" i="3" s="1"/>
  <c r="D324" i="3" l="1"/>
  <c r="E324" i="3" s="1"/>
  <c r="C324" i="3" s="1"/>
  <c r="F325" i="3" s="1"/>
  <c r="D325" i="3" l="1"/>
  <c r="E325" i="3" s="1"/>
  <c r="C325" i="3" s="1"/>
  <c r="D326" i="3" s="1"/>
  <c r="F326" i="3" l="1"/>
  <c r="E326" i="3" s="1"/>
  <c r="C326" i="3" s="1"/>
  <c r="D327" i="3" l="1"/>
  <c r="F327" i="3"/>
  <c r="E327" i="3" l="1"/>
  <c r="C327" i="3" s="1"/>
  <c r="F328" i="3" s="1"/>
  <c r="D328" i="3"/>
  <c r="E328" i="3" s="1"/>
  <c r="C328" i="3" s="1"/>
  <c r="D329" i="3" s="1"/>
  <c r="F329" i="3" l="1"/>
  <c r="E329" i="3"/>
  <c r="C329" i="3" s="1"/>
  <c r="F330" i="3" s="1"/>
  <c r="D330" i="3" l="1"/>
  <c r="E330" i="3" s="1"/>
  <c r="C330" i="3" s="1"/>
  <c r="D331" i="3" s="1"/>
  <c r="F331" i="3" l="1"/>
  <c r="E331" i="3"/>
  <c r="C331" i="3" s="1"/>
  <c r="F332" i="3" s="1"/>
  <c r="D332" i="3" l="1"/>
  <c r="E332" i="3" s="1"/>
  <c r="C332" i="3" s="1"/>
  <c r="D333" i="3" s="1"/>
  <c r="F333" i="3" l="1"/>
  <c r="E333" i="3" s="1"/>
  <c r="C333" i="3" s="1"/>
  <c r="F334" i="3" l="1"/>
  <c r="D334" i="3"/>
  <c r="E334" i="3" l="1"/>
  <c r="C334" i="3" s="1"/>
  <c r="F335" i="3" s="1"/>
  <c r="D335" i="3"/>
  <c r="E335" i="3" l="1"/>
  <c r="C335" i="3" s="1"/>
  <c r="F336" i="3" l="1"/>
  <c r="D336" i="3"/>
  <c r="E336" i="3" l="1"/>
  <c r="C336" i="3" s="1"/>
  <c r="F337" i="3" l="1"/>
  <c r="D337" i="3"/>
  <c r="E337" i="3" l="1"/>
  <c r="C337" i="3" s="1"/>
  <c r="F338" i="3"/>
  <c r="D338" i="3"/>
  <c r="E338" i="3" s="1"/>
  <c r="C338" i="3" s="1"/>
  <c r="F339" i="3" l="1"/>
  <c r="D339" i="3"/>
  <c r="E339" i="3" l="1"/>
  <c r="C339" i="3" s="1"/>
  <c r="F340" i="3"/>
  <c r="D340" i="3"/>
  <c r="E340" i="3" l="1"/>
  <c r="C340" i="3" s="1"/>
  <c r="D341" i="3" s="1"/>
  <c r="F341" i="3" l="1"/>
  <c r="E341" i="3" s="1"/>
  <c r="C341" i="3" s="1"/>
  <c r="D342" i="3" l="1"/>
  <c r="F342" i="3"/>
  <c r="E342" i="3" l="1"/>
  <c r="C342" i="3" s="1"/>
  <c r="F343" i="3"/>
  <c r="D343" i="3"/>
  <c r="E343" i="3" s="1"/>
  <c r="C343" i="3" s="1"/>
  <c r="F344" i="3" s="1"/>
  <c r="D344" i="3" l="1"/>
  <c r="E344" i="3" s="1"/>
  <c r="C344" i="3" s="1"/>
  <c r="F345" i="3" s="1"/>
  <c r="D345" i="3" l="1"/>
  <c r="E345" i="3" s="1"/>
  <c r="C345" i="3" s="1"/>
  <c r="D346" i="3" s="1"/>
  <c r="F346" i="3" l="1"/>
  <c r="E346" i="3" s="1"/>
  <c r="C346" i="3" s="1"/>
  <c r="D347" i="3" l="1"/>
  <c r="F347" i="3"/>
  <c r="E347" i="3" l="1"/>
  <c r="C347" i="3" s="1"/>
  <c r="D348" i="3" s="1"/>
  <c r="F348" i="3"/>
  <c r="E348" i="3" l="1"/>
  <c r="C348" i="3" s="1"/>
  <c r="F349" i="3" s="1"/>
  <c r="D349" i="3" l="1"/>
  <c r="E349" i="3" s="1"/>
  <c r="C349" i="3" s="1"/>
  <c r="F350" i="3" s="1"/>
  <c r="D350" i="3" l="1"/>
  <c r="E350" i="3" s="1"/>
  <c r="C350" i="3" s="1"/>
  <c r="D351" i="3" s="1"/>
  <c r="F351" i="3" l="1"/>
  <c r="E351" i="3" s="1"/>
  <c r="C351" i="3" s="1"/>
  <c r="F352" i="3" s="1"/>
  <c r="D352" i="3" l="1"/>
  <c r="E352" i="3" s="1"/>
  <c r="C352" i="3" s="1"/>
  <c r="F353" i="3" s="1"/>
  <c r="D353" i="3" l="1"/>
  <c r="E353" i="3" s="1"/>
  <c r="C353" i="3" s="1"/>
  <c r="D354" i="3" s="1"/>
  <c r="F354" i="3" l="1"/>
  <c r="E354" i="3" s="1"/>
  <c r="C354" i="3" s="1"/>
  <c r="D355" i="3" s="1"/>
  <c r="F355" i="3" l="1"/>
  <c r="E355" i="3" s="1"/>
  <c r="C355" i="3" s="1"/>
  <c r="F356" i="3" s="1"/>
  <c r="D356" i="3" l="1"/>
  <c r="E356" i="3"/>
  <c r="C356" i="3" s="1"/>
  <c r="F357" i="3" s="1"/>
  <c r="D357" i="3"/>
  <c r="E357" i="3" l="1"/>
  <c r="C357" i="3" s="1"/>
  <c r="D358" i="3" l="1"/>
  <c r="F358" i="3"/>
  <c r="E358" i="3" l="1"/>
  <c r="C358" i="3" s="1"/>
  <c r="F359" i="3" s="1"/>
  <c r="D359" i="3" l="1"/>
  <c r="E359" i="3" s="1"/>
  <c r="C359" i="3" s="1"/>
  <c r="F360" i="3" l="1"/>
  <c r="D360" i="3"/>
  <c r="E360" i="3" s="1"/>
  <c r="C360" i="3" s="1"/>
  <c r="F361" i="3" s="1"/>
  <c r="D361" i="3" l="1"/>
  <c r="E361" i="3" s="1"/>
  <c r="C361" i="3" s="1"/>
  <c r="F362" i="3" s="1"/>
  <c r="D362" i="3" l="1"/>
  <c r="E362" i="3" s="1"/>
  <c r="C362" i="3" s="1"/>
  <c r="F363" i="3" s="1"/>
  <c r="D363" i="3" l="1"/>
  <c r="E363" i="3" s="1"/>
  <c r="C363" i="3" s="1"/>
  <c r="F364" i="3" s="1"/>
  <c r="D364" i="3" l="1"/>
  <c r="E364" i="3" s="1"/>
  <c r="C364" i="3" s="1"/>
  <c r="D365" i="3" s="1"/>
  <c r="F365" i="3"/>
  <c r="E365" i="3" l="1"/>
  <c r="C365" i="3" s="1"/>
  <c r="F366" i="3" s="1"/>
  <c r="D366" i="3" l="1"/>
  <c r="E366" i="3" s="1"/>
  <c r="C366" i="3" s="1"/>
  <c r="D367" i="3" l="1"/>
  <c r="F367" i="3"/>
  <c r="E367" i="3" l="1"/>
  <c r="C367" i="3" s="1"/>
  <c r="F368" i="3"/>
  <c r="D368" i="3"/>
  <c r="E368" i="3" s="1"/>
  <c r="C368" i="3" s="1"/>
  <c r="D369" i="3" l="1"/>
  <c r="F369" i="3"/>
  <c r="E369" i="3" l="1"/>
  <c r="C369" i="3" s="1"/>
  <c r="F370" i="3" l="1"/>
  <c r="D370" i="3"/>
  <c r="E370" i="3" s="1"/>
  <c r="C370" i="3" s="1"/>
  <c r="D371" i="3" l="1"/>
  <c r="F371" i="3"/>
  <c r="E371" i="3" l="1"/>
  <c r="C371" i="3" s="1"/>
  <c r="F372" i="3" l="1"/>
  <c r="D372" i="3"/>
  <c r="E372" i="3" l="1"/>
  <c r="C372" i="3" s="1"/>
  <c r="F373" i="3" s="1"/>
  <c r="D373" i="3" l="1"/>
  <c r="E373" i="3" s="1"/>
  <c r="C373" i="3" s="1"/>
  <c r="F374" i="3" s="1"/>
  <c r="D374" i="3" l="1"/>
  <c r="E374" i="3" s="1"/>
  <c r="C374" i="3" s="1"/>
  <c r="F375" i="3" s="1"/>
  <c r="D375" i="3" l="1"/>
  <c r="E375" i="3" s="1"/>
  <c r="C375" i="3" s="1"/>
  <c r="D376" i="3" s="1"/>
  <c r="F376" i="3"/>
  <c r="E376" i="3" l="1"/>
  <c r="C376" i="3" s="1"/>
  <c r="F377" i="3" l="1"/>
  <c r="D377" i="3"/>
  <c r="E377" i="3" s="1"/>
  <c r="C377" i="3" s="1"/>
  <c r="D378" i="3" l="1"/>
  <c r="F378" i="3"/>
  <c r="E378" i="3" l="1"/>
  <c r="C378" i="3" s="1"/>
  <c r="F379" i="3" s="1"/>
  <c r="D379" i="3" l="1"/>
  <c r="E379" i="3" s="1"/>
  <c r="C379" i="3" s="1"/>
  <c r="D380" i="3" l="1"/>
  <c r="F380" i="3"/>
  <c r="E380" i="3"/>
  <c r="C380" i="3" s="1"/>
  <c r="F381" i="3" s="1"/>
  <c r="D381" i="3" l="1"/>
  <c r="E381" i="3" s="1"/>
  <c r="C381" i="3" s="1"/>
  <c r="F382" i="3" s="1"/>
  <c r="D382" i="3" l="1"/>
  <c r="E382" i="3" s="1"/>
  <c r="C382" i="3" s="1"/>
  <c r="F383" i="3" s="1"/>
  <c r="D383" i="3" l="1"/>
  <c r="E383" i="3" s="1"/>
  <c r="C383" i="3" s="1"/>
  <c r="F384" i="3" s="1"/>
  <c r="D384" i="3" l="1"/>
  <c r="E384" i="3" s="1"/>
  <c r="C384" i="3" s="1"/>
  <c r="F385" i="3" s="1"/>
  <c r="D385" i="3" l="1"/>
  <c r="E385" i="3" s="1"/>
  <c r="C385" i="3" s="1"/>
  <c r="F386" i="3" s="1"/>
  <c r="D386" i="3" l="1"/>
  <c r="E386" i="3" s="1"/>
  <c r="C386" i="3" s="1"/>
  <c r="F387" i="3" s="1"/>
  <c r="D387" i="3" l="1"/>
  <c r="E387" i="3" s="1"/>
  <c r="C387" i="3" s="1"/>
  <c r="F388" i="3" s="1"/>
  <c r="D388" i="3" l="1"/>
  <c r="E388" i="3" s="1"/>
  <c r="C388" i="3" s="1"/>
  <c r="F389" i="3" s="1"/>
  <c r="D389" i="3" l="1"/>
  <c r="E389" i="3" s="1"/>
  <c r="C389" i="3" s="1"/>
  <c r="D390" i="3" l="1"/>
  <c r="F390" i="3"/>
  <c r="E390" i="3" l="1"/>
  <c r="C390" i="3" s="1"/>
  <c r="F391" i="3" s="1"/>
  <c r="D391" i="3" l="1"/>
  <c r="E391" i="3" s="1"/>
  <c r="C391" i="3" s="1"/>
  <c r="D392" i="3" s="1"/>
  <c r="F392" i="3" l="1"/>
  <c r="E392" i="3"/>
  <c r="C392" i="3" s="1"/>
  <c r="F393" i="3" s="1"/>
  <c r="D393" i="3" l="1"/>
  <c r="E393" i="3" s="1"/>
  <c r="C393" i="3" s="1"/>
  <c r="F394" i="3" l="1"/>
  <c r="D394" i="3"/>
  <c r="E394" i="3" l="1"/>
  <c r="C394" i="3" s="1"/>
  <c r="F395" i="3" l="1"/>
  <c r="D395" i="3"/>
  <c r="E395" i="3" s="1"/>
  <c r="C395" i="3" s="1"/>
  <c r="F396" i="3" l="1"/>
  <c r="D396" i="3"/>
  <c r="E396" i="3" s="1"/>
  <c r="C396" i="3" s="1"/>
  <c r="D397" i="3" l="1"/>
  <c r="F397" i="3"/>
  <c r="E397" i="3" l="1"/>
  <c r="C397" i="3" s="1"/>
  <c r="D398" i="3" s="1"/>
  <c r="F398" i="3" l="1"/>
  <c r="E398" i="3"/>
  <c r="C398" i="3" s="1"/>
  <c r="F399" i="3" s="1"/>
  <c r="D399" i="3"/>
  <c r="E399" i="3" l="1"/>
  <c r="C399" i="3" s="1"/>
  <c r="D400" i="3" l="1"/>
  <c r="F400" i="3"/>
  <c r="E400" i="3" l="1"/>
  <c r="C400" i="3" s="1"/>
  <c r="D401" i="3" l="1"/>
  <c r="F401" i="3"/>
  <c r="E401" i="3" l="1"/>
  <c r="C401" i="3" s="1"/>
  <c r="F402" i="3"/>
  <c r="D402" i="3"/>
  <c r="E402" i="3" s="1"/>
  <c r="C402" i="3" s="1"/>
  <c r="F403" i="3" l="1"/>
  <c r="D403" i="3"/>
  <c r="E403" i="3" s="1"/>
  <c r="C403" i="3" s="1"/>
  <c r="F404" i="3" l="1"/>
  <c r="D404" i="3"/>
  <c r="E404" i="3" s="1"/>
  <c r="C404" i="3" s="1"/>
  <c r="F405" i="3" l="1"/>
  <c r="D405" i="3"/>
  <c r="E405" i="3" s="1"/>
  <c r="C405" i="3" s="1"/>
  <c r="F406" i="3" l="1"/>
  <c r="D406" i="3"/>
  <c r="E406" i="3" s="1"/>
  <c r="C406" i="3" s="1"/>
  <c r="F407" i="3" l="1"/>
  <c r="D407" i="3"/>
  <c r="E407" i="3" s="1"/>
  <c r="C407" i="3" s="1"/>
  <c r="F408" i="3" l="1"/>
  <c r="D408" i="3"/>
  <c r="E408" i="3" s="1"/>
  <c r="C408" i="3" s="1"/>
  <c r="F409" i="3" l="1"/>
  <c r="D409" i="3"/>
  <c r="E409" i="3" s="1"/>
  <c r="C409" i="3" s="1"/>
  <c r="F410" i="3" l="1"/>
  <c r="D410" i="3"/>
  <c r="E410" i="3" s="1"/>
  <c r="C410" i="3" s="1"/>
  <c r="F411" i="3" l="1"/>
  <c r="D411" i="3"/>
  <c r="E411" i="3" l="1"/>
  <c r="C411" i="3" s="1"/>
  <c r="D412" i="3" s="1"/>
  <c r="F412" i="3" l="1"/>
  <c r="E412" i="3" s="1"/>
  <c r="C412" i="3" s="1"/>
  <c r="F413" i="3" s="1"/>
  <c r="D413" i="3" l="1"/>
  <c r="E413" i="3" s="1"/>
  <c r="C413" i="3" s="1"/>
  <c r="D414" i="3" s="1"/>
  <c r="F414" i="3" l="1"/>
  <c r="E414" i="3" s="1"/>
  <c r="C414" i="3" s="1"/>
  <c r="D415" i="3" s="1"/>
  <c r="F415" i="3" l="1"/>
  <c r="E415" i="3" s="1"/>
  <c r="C415" i="3" s="1"/>
  <c r="F416" i="3" s="1"/>
  <c r="D416" i="3" l="1"/>
  <c r="E416" i="3" s="1"/>
  <c r="C416" i="3" s="1"/>
  <c r="F417" i="3" l="1"/>
  <c r="D417" i="3"/>
  <c r="E417" i="3" l="1"/>
  <c r="C417" i="3" s="1"/>
  <c r="F418" i="3" s="1"/>
  <c r="D418" i="3" l="1"/>
  <c r="E418" i="3" s="1"/>
  <c r="C418" i="3" s="1"/>
  <c r="F419" i="3" s="1"/>
  <c r="D419" i="3" l="1"/>
  <c r="E419" i="3" s="1"/>
  <c r="C419" i="3" s="1"/>
  <c r="F420" i="3" s="1"/>
  <c r="D420" i="3" l="1"/>
  <c r="E420" i="3" s="1"/>
  <c r="C420" i="3" s="1"/>
  <c r="F421" i="3" s="1"/>
  <c r="D421" i="3" l="1"/>
  <c r="E421" i="3" s="1"/>
  <c r="C421" i="3" s="1"/>
  <c r="F422" i="3" s="1"/>
  <c r="D422" i="3" l="1"/>
  <c r="E422" i="3" s="1"/>
  <c r="C422" i="3" s="1"/>
  <c r="D423" i="3" s="1"/>
  <c r="F423" i="3" l="1"/>
  <c r="E423" i="3"/>
  <c r="C423" i="3" s="1"/>
  <c r="F424" i="3" s="1"/>
  <c r="J12" i="3" s="1"/>
  <c r="D424" i="3" l="1"/>
  <c r="E424" i="3" l="1"/>
  <c r="C424" i="3" s="1"/>
  <c r="J13" i="3"/>
</calcChain>
</file>

<file path=xl/sharedStrings.xml><?xml version="1.0" encoding="utf-8"?>
<sst xmlns="http://schemas.openxmlformats.org/spreadsheetml/2006/main" count="93" uniqueCount="61">
  <si>
    <t>Tabela do Financiamento</t>
  </si>
  <si>
    <t>Valor de compra</t>
  </si>
  <si>
    <t>Valor do subsídio</t>
  </si>
  <si>
    <t>Valor da entrada</t>
  </si>
  <si>
    <t>Financiamento</t>
  </si>
  <si>
    <t>Outros custos</t>
  </si>
  <si>
    <t>Juros ao mês</t>
  </si>
  <si>
    <t>Juros ao ano</t>
  </si>
  <si>
    <t>Meses</t>
  </si>
  <si>
    <t>Tabela do Aluguel</t>
  </si>
  <si>
    <t>Reajuste anual (IGPM)</t>
  </si>
  <si>
    <t>Valor inicial</t>
  </si>
  <si>
    <t>Outros Custos</t>
  </si>
  <si>
    <t>Outras Informações</t>
  </si>
  <si>
    <t>Rentabilidade anual Esperada</t>
  </si>
  <si>
    <t>Valorização do Imóvel</t>
  </si>
  <si>
    <t>Sobre o Imóvel</t>
  </si>
  <si>
    <t>Valores</t>
  </si>
  <si>
    <t>Sobre o financiamento</t>
  </si>
  <si>
    <t>Valor de Compra:</t>
  </si>
  <si>
    <t>Entrada:</t>
  </si>
  <si>
    <t>Valor do Aluguel:</t>
  </si>
  <si>
    <t>Custos extras:</t>
  </si>
  <si>
    <t>Retorno do investimento</t>
  </si>
  <si>
    <t>Valorização Anual (%):</t>
  </si>
  <si>
    <t>Prazo (meses):</t>
  </si>
  <si>
    <t>Retorno ao ano (ex.: CDI)</t>
  </si>
  <si>
    <t>Valor do IGPM</t>
  </si>
  <si>
    <t>Taxa ao ano (%):</t>
  </si>
  <si>
    <t>Só Financiando</t>
  </si>
  <si>
    <t>Alugando e Investindo</t>
  </si>
  <si>
    <t>Financiando e Investindo</t>
  </si>
  <si>
    <t>PL - Valor do Imóvel</t>
  </si>
  <si>
    <t>PL</t>
  </si>
  <si>
    <t>PL - Imovel + Investimento</t>
  </si>
  <si>
    <t>Total do financiamento</t>
  </si>
  <si>
    <t>Total pago de aluguel</t>
  </si>
  <si>
    <t>Total aportado</t>
  </si>
  <si>
    <t>Mês</t>
  </si>
  <si>
    <t>Prestação</t>
  </si>
  <si>
    <t>Aluguel</t>
  </si>
  <si>
    <t>Saldo Devedor</t>
  </si>
  <si>
    <t>Aportes Financiando</t>
  </si>
  <si>
    <t>Aportes Alugando</t>
  </si>
  <si>
    <t>R p/ fin. + inv.</t>
  </si>
  <si>
    <t>R p/ alug. + inv.</t>
  </si>
  <si>
    <t>Quanto eu devo?</t>
  </si>
  <si>
    <t>Parcela</t>
  </si>
  <si>
    <t>Amortização</t>
  </si>
  <si>
    <t>Juros</t>
  </si>
  <si>
    <t>Valor do imóvel</t>
  </si>
  <si>
    <t>Valor a ser financiado</t>
  </si>
  <si>
    <t>Total juros pagos</t>
  </si>
  <si>
    <t>Total geral pago</t>
  </si>
  <si>
    <t>Pagamentos mensais</t>
  </si>
  <si>
    <t>Reajuste anual</t>
  </si>
  <si>
    <t>Total pago</t>
  </si>
  <si>
    <t>TABELA PRICE</t>
  </si>
  <si>
    <t>TABELA SAC</t>
  </si>
  <si>
    <t>De acordo com as nossas contas, vale mais a pena:</t>
  </si>
  <si>
    <t>Revisão: JUN/2024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</si>
</sst>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R$ -416]#,##0.00"/>
    <numFmt numFmtId="165" formatCode="&quot;R$&quot;\ #,##0"/>
    <numFmt numFmtId="166" formatCode="0.0000%"/>
    <numFmt numFmtId="167" formatCode="&quot;R$&quot;\ #,##0.00"/>
  </numFmts>
  <fonts count="20" x14ac:knownFonts="1">
    <font>
      <sz val="10"/>
      <color rgb="FF000000"/>
      <name val="Arial"/>
      <scheme val="minor"/>
    </font>
    <font>
      <sz val="10"/>
      <color theme="1"/>
      <name val="Verdana"/>
      <family val="2"/>
    </font>
    <font>
      <b/>
      <sz val="13"/>
      <color theme="1"/>
      <name val="Verdana"/>
      <family val="2"/>
    </font>
    <font>
      <sz val="10"/>
      <name val="Arial"/>
      <family val="2"/>
    </font>
    <font>
      <b/>
      <sz val="10"/>
      <color theme="1"/>
      <name val="Verdana"/>
      <family val="2"/>
    </font>
    <font>
      <b/>
      <sz val="10"/>
      <color rgb="FF000000"/>
      <name val="Verdana"/>
      <family val="2"/>
    </font>
    <font>
      <sz val="10"/>
      <color rgb="FF000000"/>
      <name val="Verdana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7"/>
      <color theme="1"/>
      <name val="Calibri"/>
      <family val="2"/>
    </font>
    <font>
      <b/>
      <sz val="29"/>
      <color rgb="FF000000"/>
      <name val="Calibri"/>
      <family val="2"/>
    </font>
    <font>
      <b/>
      <sz val="10"/>
      <color theme="1"/>
      <name val="Arial"/>
      <family val="2"/>
      <scheme val="minor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Arial"/>
      <family val="2"/>
      <scheme val="minor"/>
    </font>
    <font>
      <b/>
      <sz val="10"/>
      <color rgb="FFFF0000"/>
      <name val="Verdana"/>
      <family val="2"/>
    </font>
    <font>
      <sz val="11"/>
      <name val="Calibri"/>
      <family val="2"/>
    </font>
    <font>
      <b/>
      <sz val="9"/>
      <color theme="1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A1E7"/>
        <bgColor rgb="FF00A1E7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399FF"/>
        <bgColor rgb="FF3399FF"/>
      </patternFill>
    </fill>
    <fill>
      <patternFill patternType="solid">
        <fgColor rgb="FFFF0000"/>
        <bgColor rgb="FFFF0000"/>
      </patternFill>
    </fill>
    <fill>
      <patternFill patternType="solid">
        <fgColor rgb="FFFF0000"/>
        <bgColor rgb="FFFFFFFF"/>
      </patternFill>
    </fill>
  </fills>
  <borders count="3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4285F4"/>
      </right>
      <top style="thin">
        <color rgb="FF000000"/>
      </top>
      <bottom style="thin">
        <color rgb="FF000000"/>
      </bottom>
      <diagonal/>
    </border>
    <border>
      <left style="thin">
        <color rgb="FF4285F4"/>
      </left>
      <right style="thin">
        <color rgb="FF4285F4"/>
      </right>
      <top style="thin">
        <color rgb="FF000000"/>
      </top>
      <bottom style="thin">
        <color rgb="FF000000"/>
      </bottom>
      <diagonal/>
    </border>
    <border>
      <left style="thin">
        <color rgb="FF4285F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4285F4"/>
      </left>
      <right style="thin">
        <color rgb="FF4285F4"/>
      </right>
      <top/>
      <bottom style="thin">
        <color rgb="FF4285F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164" fontId="1" fillId="3" borderId="7" xfId="0" applyNumberFormat="1" applyFont="1" applyFill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9" fontId="1" fillId="3" borderId="7" xfId="0" applyNumberFormat="1" applyFont="1" applyFill="1" applyBorder="1" applyAlignment="1">
      <alignment horizontal="center" vertical="center"/>
    </xf>
    <xf numFmtId="10" fontId="1" fillId="0" borderId="8" xfId="0" applyNumberFormat="1" applyFon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10" fontId="6" fillId="3" borderId="7" xfId="0" applyNumberFormat="1" applyFont="1" applyFill="1" applyBorder="1" applyAlignment="1">
      <alignment horizontal="center" vertical="center"/>
    </xf>
    <xf numFmtId="165" fontId="6" fillId="3" borderId="7" xfId="0" applyNumberFormat="1" applyFont="1" applyFill="1" applyBorder="1" applyAlignment="1">
      <alignment horizontal="center" vertical="center"/>
    </xf>
    <xf numFmtId="10" fontId="6" fillId="4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5" fillId="2" borderId="17" xfId="0" applyFont="1" applyFill="1" applyBorder="1" applyAlignment="1">
      <alignment horizontal="center" vertical="center"/>
    </xf>
    <xf numFmtId="0" fontId="15" fillId="2" borderId="18" xfId="0" applyFont="1" applyFill="1" applyBorder="1" applyAlignment="1">
      <alignment horizontal="center" vertical="center"/>
    </xf>
    <xf numFmtId="0" fontId="15" fillId="2" borderId="19" xfId="0" applyFont="1" applyFill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0" fillId="0" borderId="0" xfId="0" applyAlignment="1">
      <alignment vertical="center"/>
    </xf>
    <xf numFmtId="0" fontId="14" fillId="0" borderId="20" xfId="0" applyFont="1" applyBorder="1" applyAlignment="1">
      <alignment horizontal="center" vertical="center"/>
    </xf>
    <xf numFmtId="164" fontId="17" fillId="0" borderId="20" xfId="0" applyNumberFormat="1" applyFont="1" applyBorder="1" applyAlignment="1">
      <alignment horizontal="center" vertical="center"/>
    </xf>
    <xf numFmtId="164" fontId="14" fillId="3" borderId="20" xfId="0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vertical="center"/>
    </xf>
    <xf numFmtId="0" fontId="14" fillId="0" borderId="7" xfId="0" applyFont="1" applyBorder="1" applyAlignment="1">
      <alignment horizontal="center" vertical="center"/>
    </xf>
    <xf numFmtId="164" fontId="14" fillId="0" borderId="7" xfId="0" applyNumberFormat="1" applyFont="1" applyBorder="1" applyAlignment="1">
      <alignment horizontal="center" vertical="center"/>
    </xf>
    <xf numFmtId="0" fontId="15" fillId="2" borderId="7" xfId="0" applyFont="1" applyFill="1" applyBorder="1" applyAlignment="1">
      <alignment vertical="center"/>
    </xf>
    <xf numFmtId="164" fontId="14" fillId="4" borderId="7" xfId="0" applyNumberFormat="1" applyFont="1" applyFill="1" applyBorder="1" applyAlignment="1">
      <alignment horizontal="center" vertical="center"/>
    </xf>
    <xf numFmtId="0" fontId="14" fillId="4" borderId="7" xfId="0" applyFont="1" applyFill="1" applyBorder="1" applyAlignment="1">
      <alignment horizontal="center" vertical="center"/>
    </xf>
    <xf numFmtId="0" fontId="14" fillId="0" borderId="0" xfId="0" applyFont="1" applyAlignment="1">
      <alignment vertical="center"/>
    </xf>
    <xf numFmtId="167" fontId="14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4" fillId="2" borderId="7" xfId="0" applyFont="1" applyFill="1" applyBorder="1" applyAlignment="1">
      <alignment vertical="center"/>
    </xf>
    <xf numFmtId="0" fontId="4" fillId="2" borderId="8" xfId="0" applyFont="1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0" fontId="5" fillId="4" borderId="0" xfId="0" applyFont="1" applyFill="1" applyAlignment="1">
      <alignment vertical="center"/>
    </xf>
    <xf numFmtId="167" fontId="5" fillId="4" borderId="7" xfId="0" applyNumberFormat="1" applyFont="1" applyFill="1" applyBorder="1" applyAlignment="1">
      <alignment horizontal="center" vertical="center"/>
    </xf>
    <xf numFmtId="10" fontId="5" fillId="4" borderId="7" xfId="0" applyNumberFormat="1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164" fontId="17" fillId="4" borderId="7" xfId="0" applyNumberFormat="1" applyFont="1" applyFill="1" applyBorder="1" applyAlignment="1">
      <alignment horizontal="center" vertical="center"/>
    </xf>
    <xf numFmtId="167" fontId="6" fillId="4" borderId="7" xfId="0" applyNumberFormat="1" applyFont="1" applyFill="1" applyBorder="1" applyAlignment="1">
      <alignment horizontal="center" vertical="center"/>
    </xf>
    <xf numFmtId="165" fontId="5" fillId="4" borderId="7" xfId="0" applyNumberFormat="1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167" fontId="5" fillId="6" borderId="7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167" fontId="5" fillId="7" borderId="7" xfId="0" applyNumberFormat="1" applyFont="1" applyFill="1" applyBorder="1" applyAlignment="1">
      <alignment horizontal="center" vertical="center"/>
    </xf>
    <xf numFmtId="0" fontId="7" fillId="2" borderId="8" xfId="0" applyFont="1" applyFill="1" applyBorder="1" applyAlignment="1">
      <alignment vertical="center"/>
    </xf>
    <xf numFmtId="0" fontId="7" fillId="2" borderId="8" xfId="0" applyFont="1" applyFill="1" applyBorder="1" applyAlignment="1">
      <alignment horizontal="center" vertical="center"/>
    </xf>
    <xf numFmtId="0" fontId="8" fillId="0" borderId="8" xfId="0" applyFont="1" applyBorder="1" applyAlignment="1">
      <alignment vertical="center"/>
    </xf>
    <xf numFmtId="164" fontId="8" fillId="0" borderId="8" xfId="0" applyNumberFormat="1" applyFont="1" applyBorder="1" applyAlignment="1">
      <alignment horizontal="center" vertical="center"/>
    </xf>
    <xf numFmtId="10" fontId="8" fillId="0" borderId="8" xfId="0" applyNumberFormat="1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10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9" xfId="0" applyFont="1" applyBorder="1" applyAlignment="1">
      <alignment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2" fillId="0" borderId="11" xfId="0" applyFont="1" applyBorder="1" applyAlignment="1">
      <alignment horizontal="center" vertical="center"/>
    </xf>
    <xf numFmtId="4" fontId="8" fillId="0" borderId="12" xfId="0" applyNumberFormat="1" applyFont="1" applyBorder="1" applyAlignment="1">
      <alignment horizontal="center" vertical="center"/>
    </xf>
    <xf numFmtId="4" fontId="8" fillId="0" borderId="0" xfId="0" applyNumberFormat="1" applyFont="1" applyAlignment="1">
      <alignment vertical="center"/>
    </xf>
    <xf numFmtId="0" fontId="8" fillId="0" borderId="13" xfId="0" applyFont="1" applyBorder="1" applyAlignment="1">
      <alignment vertical="center"/>
    </xf>
    <xf numFmtId="4" fontId="8" fillId="0" borderId="15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4" fontId="13" fillId="0" borderId="14" xfId="0" applyNumberFormat="1" applyFont="1" applyBorder="1" applyAlignment="1">
      <alignment horizontal="center" vertical="center"/>
    </xf>
    <xf numFmtId="4" fontId="13" fillId="0" borderId="16" xfId="0" applyNumberFormat="1" applyFont="1" applyBorder="1" applyAlignment="1">
      <alignment horizontal="center" vertical="center"/>
    </xf>
    <xf numFmtId="0" fontId="7" fillId="5" borderId="24" xfId="0" applyFont="1" applyFill="1" applyBorder="1" applyAlignment="1">
      <alignment horizontal="center" vertical="center"/>
    </xf>
    <xf numFmtId="0" fontId="7" fillId="5" borderId="25" xfId="0" applyFont="1" applyFill="1" applyBorder="1" applyAlignment="1">
      <alignment horizontal="center" vertical="center"/>
    </xf>
    <xf numFmtId="0" fontId="7" fillId="5" borderId="25" xfId="0" applyFont="1" applyFill="1" applyBorder="1" applyAlignment="1">
      <alignment vertical="center"/>
    </xf>
    <xf numFmtId="0" fontId="8" fillId="0" borderId="28" xfId="0" applyFont="1" applyBorder="1" applyAlignment="1">
      <alignment horizontal="center" vertical="center"/>
    </xf>
    <xf numFmtId="4" fontId="13" fillId="0" borderId="29" xfId="0" applyNumberFormat="1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4" fontId="8" fillId="0" borderId="10" xfId="0" applyNumberFormat="1" applyFont="1" applyBorder="1" applyAlignment="1">
      <alignment horizontal="center" vertical="center"/>
    </xf>
    <xf numFmtId="4" fontId="13" fillId="0" borderId="31" xfId="0" applyNumberFormat="1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4" fontId="8" fillId="0" borderId="33" xfId="0" applyNumberFormat="1" applyFont="1" applyBorder="1" applyAlignment="1">
      <alignment horizontal="center" vertical="center"/>
    </xf>
    <xf numFmtId="4" fontId="13" fillId="0" borderId="34" xfId="0" applyNumberFormat="1" applyFont="1" applyBorder="1" applyAlignment="1">
      <alignment horizontal="center" vertical="center"/>
    </xf>
    <xf numFmtId="4" fontId="13" fillId="0" borderId="35" xfId="0" applyNumberFormat="1" applyFont="1" applyBorder="1" applyAlignment="1">
      <alignment horizontal="center" vertical="center"/>
    </xf>
    <xf numFmtId="4" fontId="18" fillId="0" borderId="12" xfId="0" applyNumberFormat="1" applyFont="1" applyBorder="1" applyAlignment="1">
      <alignment horizontal="center" vertical="center"/>
    </xf>
    <xf numFmtId="4" fontId="0" fillId="0" borderId="0" xfId="0" applyNumberFormat="1" applyFill="1" applyAlignment="1">
      <alignment vertical="center"/>
    </xf>
    <xf numFmtId="0" fontId="13" fillId="5" borderId="26" xfId="0" applyFont="1" applyFill="1" applyBorder="1" applyAlignment="1">
      <alignment horizontal="center" vertical="center"/>
    </xf>
    <xf numFmtId="0" fontId="13" fillId="5" borderId="27" xfId="0" applyFont="1" applyFill="1" applyBorder="1" applyAlignment="1">
      <alignment horizontal="center" vertical="center"/>
    </xf>
    <xf numFmtId="10" fontId="6" fillId="4" borderId="7" xfId="0" applyNumberFormat="1" applyFont="1" applyFill="1" applyBorder="1" applyAlignment="1">
      <alignment horizontal="center" vertical="center"/>
    </xf>
    <xf numFmtId="9" fontId="14" fillId="4" borderId="7" xfId="0" applyNumberFormat="1" applyFont="1" applyFill="1" applyBorder="1" applyAlignment="1">
      <alignment horizontal="center" vertical="center"/>
    </xf>
    <xf numFmtId="166" fontId="14" fillId="4" borderId="7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0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5" fillId="2" borderId="21" xfId="0" applyFont="1" applyFill="1" applyBorder="1" applyAlignment="1">
      <alignment horizontal="center" vertical="center"/>
    </xf>
    <xf numFmtId="0" fontId="15" fillId="2" borderId="22" xfId="0" applyFont="1" applyFill="1" applyBorder="1" applyAlignment="1">
      <alignment horizontal="center" vertical="center"/>
    </xf>
    <xf numFmtId="0" fontId="15" fillId="2" borderId="23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A1E7"/>
    <outlinePr summaryBelow="0" summaryRight="0"/>
  </sheetPr>
  <dimension ref="A1:D25"/>
  <sheetViews>
    <sheetView showGridLines="0" tabSelected="1" workbookViewId="0">
      <selection activeCell="A2" sqref="A2"/>
    </sheetView>
  </sheetViews>
  <sheetFormatPr defaultColWidth="12.5546875" defaultRowHeight="16.8" customHeight="1" x14ac:dyDescent="0.25"/>
  <cols>
    <col min="1" max="1" width="3.5546875" style="15" customWidth="1"/>
    <col min="2" max="2" width="31.44140625" style="15" customWidth="1"/>
    <col min="3" max="3" width="17.21875" style="15" customWidth="1"/>
    <col min="4" max="4" width="15" style="15" bestFit="1" customWidth="1"/>
    <col min="5" max="5" width="3.44140625" style="15" customWidth="1"/>
    <col min="6" max="16384" width="12.5546875" style="15"/>
  </cols>
  <sheetData>
    <row r="1" spans="1:4" ht="16.8" customHeight="1" x14ac:dyDescent="0.25">
      <c r="A1" s="82" t="s">
        <v>60</v>
      </c>
    </row>
    <row r="2" spans="1:4" ht="16.8" customHeight="1" x14ac:dyDescent="0.25">
      <c r="B2" s="83" t="s">
        <v>0</v>
      </c>
      <c r="C2" s="84"/>
      <c r="D2" s="85"/>
    </row>
    <row r="3" spans="1:4" ht="16.8" customHeight="1" x14ac:dyDescent="0.25">
      <c r="B3" s="86"/>
      <c r="C3" s="87"/>
      <c r="D3" s="88"/>
    </row>
    <row r="4" spans="1:4" ht="16.8" customHeight="1" x14ac:dyDescent="0.25">
      <c r="B4" s="27"/>
      <c r="C4" s="27"/>
      <c r="D4" s="27"/>
    </row>
    <row r="5" spans="1:4" ht="16.8" customHeight="1" x14ac:dyDescent="0.25">
      <c r="B5" s="28" t="s">
        <v>1</v>
      </c>
      <c r="C5" s="1">
        <v>500000</v>
      </c>
    </row>
    <row r="6" spans="1:4" ht="16.8" customHeight="1" x14ac:dyDescent="0.25">
      <c r="B6" s="28" t="s">
        <v>2</v>
      </c>
      <c r="C6" s="1">
        <v>0</v>
      </c>
    </row>
    <row r="7" spans="1:4" ht="16.8" customHeight="1" x14ac:dyDescent="0.25">
      <c r="B7" s="28" t="s">
        <v>3</v>
      </c>
      <c r="C7" s="1">
        <v>50000</v>
      </c>
    </row>
    <row r="8" spans="1:4" ht="16.8" customHeight="1" x14ac:dyDescent="0.25">
      <c r="B8" s="28" t="s">
        <v>4</v>
      </c>
      <c r="C8" s="2">
        <f>C5-C7</f>
        <v>450000</v>
      </c>
    </row>
    <row r="9" spans="1:4" ht="16.8" customHeight="1" x14ac:dyDescent="0.25">
      <c r="B9" s="28" t="s">
        <v>5</v>
      </c>
      <c r="C9" s="1">
        <v>10000</v>
      </c>
      <c r="D9" s="29" t="s">
        <v>6</v>
      </c>
    </row>
    <row r="10" spans="1:4" ht="16.8" customHeight="1" x14ac:dyDescent="0.25">
      <c r="B10" s="28" t="s">
        <v>7</v>
      </c>
      <c r="C10" s="3">
        <v>0.12</v>
      </c>
      <c r="D10" s="4">
        <f>(1+C$10)^(1/12)-1</f>
        <v>9.4887929345830457E-3</v>
      </c>
    </row>
    <row r="11" spans="1:4" ht="16.8" customHeight="1" x14ac:dyDescent="0.25">
      <c r="B11" s="28" t="s">
        <v>8</v>
      </c>
      <c r="C11" s="5">
        <v>360</v>
      </c>
    </row>
    <row r="12" spans="1:4" ht="16.8" customHeight="1" x14ac:dyDescent="0.25">
      <c r="B12" s="27"/>
      <c r="C12" s="27"/>
      <c r="D12" s="27"/>
    </row>
    <row r="13" spans="1:4" ht="16.8" customHeight="1" x14ac:dyDescent="0.25">
      <c r="B13" s="83" t="s">
        <v>9</v>
      </c>
      <c r="C13" s="84"/>
      <c r="D13" s="85"/>
    </row>
    <row r="14" spans="1:4" ht="16.8" customHeight="1" x14ac:dyDescent="0.25">
      <c r="B14" s="86"/>
      <c r="C14" s="87"/>
      <c r="D14" s="88"/>
    </row>
    <row r="15" spans="1:4" ht="16.8" customHeight="1" x14ac:dyDescent="0.25">
      <c r="B15" s="27"/>
      <c r="C15" s="27"/>
      <c r="D15" s="27"/>
    </row>
    <row r="16" spans="1:4" ht="16.8" customHeight="1" x14ac:dyDescent="0.25">
      <c r="B16" s="30" t="s">
        <v>10</v>
      </c>
      <c r="C16" s="6">
        <v>9.2700000000000005E-2</v>
      </c>
      <c r="D16" s="27"/>
    </row>
    <row r="17" spans="2:4" ht="16.8" customHeight="1" x14ac:dyDescent="0.25">
      <c r="B17" s="30" t="s">
        <v>11</v>
      </c>
      <c r="C17" s="7">
        <v>2500</v>
      </c>
      <c r="D17" s="27"/>
    </row>
    <row r="18" spans="2:4" ht="16.8" customHeight="1" x14ac:dyDescent="0.25">
      <c r="B18" s="28" t="s">
        <v>12</v>
      </c>
      <c r="C18" s="1">
        <v>0</v>
      </c>
      <c r="D18" s="27"/>
    </row>
    <row r="19" spans="2:4" ht="16.8" customHeight="1" x14ac:dyDescent="0.25">
      <c r="D19" s="27"/>
    </row>
    <row r="20" spans="2:4" ht="16.8" customHeight="1" x14ac:dyDescent="0.25">
      <c r="B20" s="83" t="s">
        <v>13</v>
      </c>
      <c r="C20" s="84"/>
      <c r="D20" s="85"/>
    </row>
    <row r="21" spans="2:4" ht="16.8" customHeight="1" x14ac:dyDescent="0.25">
      <c r="B21" s="86"/>
      <c r="C21" s="87"/>
      <c r="D21" s="88"/>
    </row>
    <row r="22" spans="2:4" ht="16.8" customHeight="1" x14ac:dyDescent="0.25">
      <c r="B22" s="27"/>
      <c r="C22" s="27"/>
      <c r="D22" s="27"/>
    </row>
    <row r="23" spans="2:4" ht="16.8" customHeight="1" x14ac:dyDescent="0.25">
      <c r="B23" s="31"/>
      <c r="C23" s="8"/>
      <c r="D23" s="29" t="s">
        <v>6</v>
      </c>
    </row>
    <row r="24" spans="2:4" ht="16.8" customHeight="1" x14ac:dyDescent="0.25">
      <c r="B24" s="30" t="s">
        <v>14</v>
      </c>
      <c r="C24" s="6">
        <v>0.12</v>
      </c>
      <c r="D24" s="4">
        <f>(1+C$24)^(1/12)-1</f>
        <v>9.4887929345830457E-3</v>
      </c>
    </row>
    <row r="25" spans="2:4" ht="16.8" customHeight="1" x14ac:dyDescent="0.25">
      <c r="B25" s="30" t="s">
        <v>15</v>
      </c>
      <c r="C25" s="6">
        <v>0.05</v>
      </c>
      <c r="D25" s="27"/>
    </row>
  </sheetData>
  <mergeCells count="3">
    <mergeCell ref="B2:D3"/>
    <mergeCell ref="B13:D14"/>
    <mergeCell ref="B20:D2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47"/>
  <sheetViews>
    <sheetView showGridLines="0" zoomScaleNormal="100" workbookViewId="0">
      <selection activeCell="K19" sqref="K19"/>
    </sheetView>
  </sheetViews>
  <sheetFormatPr defaultColWidth="12.5546875" defaultRowHeight="15" customHeight="1" x14ac:dyDescent="0.25"/>
  <cols>
    <col min="1" max="1" width="0.77734375" style="15" customWidth="1"/>
    <col min="2" max="2" width="20.44140625" style="15" bestFit="1" customWidth="1"/>
    <col min="3" max="4" width="13.5546875" style="15" customWidth="1"/>
    <col min="5" max="5" width="20.44140625" style="15" bestFit="1" customWidth="1"/>
    <col min="6" max="6" width="18.88671875" style="15" bestFit="1" customWidth="1"/>
    <col min="7" max="7" width="16.5546875" style="15" bestFit="1" customWidth="1"/>
    <col min="8" max="8" width="22.88671875" style="15" bestFit="1" customWidth="1"/>
    <col min="9" max="9" width="18.88671875" style="15" customWidth="1"/>
    <col min="10" max="10" width="6.21875" style="15" customWidth="1"/>
    <col min="11" max="26" width="7.5546875" style="15" customWidth="1"/>
    <col min="27" max="16384" width="12.5546875" style="15"/>
  </cols>
  <sheetData>
    <row r="2" spans="2:9" ht="15" customHeight="1" x14ac:dyDescent="0.25">
      <c r="B2" s="43" t="s">
        <v>16</v>
      </c>
      <c r="C2" s="44" t="s">
        <v>17</v>
      </c>
      <c r="E2" s="43" t="s">
        <v>18</v>
      </c>
      <c r="F2" s="44" t="s">
        <v>17</v>
      </c>
    </row>
    <row r="3" spans="2:9" ht="15" customHeight="1" x14ac:dyDescent="0.25">
      <c r="B3" s="45" t="s">
        <v>19</v>
      </c>
      <c r="C3" s="46">
        <f>'Preencha Aqui'!C5</f>
        <v>500000</v>
      </c>
      <c r="E3" s="45" t="s">
        <v>20</v>
      </c>
      <c r="F3" s="46">
        <f>'Preencha Aqui'!C7</f>
        <v>50000</v>
      </c>
    </row>
    <row r="4" spans="2:9" ht="15" customHeight="1" x14ac:dyDescent="0.25">
      <c r="B4" s="45" t="s">
        <v>21</v>
      </c>
      <c r="C4" s="46">
        <f>'Preencha Aqui'!C17</f>
        <v>2500</v>
      </c>
      <c r="E4" s="45" t="s">
        <v>22</v>
      </c>
      <c r="F4" s="46">
        <f>'Preencha Aqui'!C9</f>
        <v>10000</v>
      </c>
      <c r="H4" s="43" t="s">
        <v>23</v>
      </c>
      <c r="I4" s="44" t="s">
        <v>17</v>
      </c>
    </row>
    <row r="5" spans="2:9" ht="15" customHeight="1" x14ac:dyDescent="0.25">
      <c r="B5" s="45" t="s">
        <v>24</v>
      </c>
      <c r="C5" s="47">
        <f>'Preencha Aqui'!C25</f>
        <v>0.05</v>
      </c>
      <c r="E5" s="45" t="s">
        <v>25</v>
      </c>
      <c r="F5" s="48">
        <f>'Preencha Aqui'!C11</f>
        <v>360</v>
      </c>
      <c r="H5" s="45" t="s">
        <v>26</v>
      </c>
      <c r="I5" s="47">
        <f>'Preencha Aqui'!C24</f>
        <v>0.12</v>
      </c>
    </row>
    <row r="6" spans="2:9" ht="15" customHeight="1" x14ac:dyDescent="0.25">
      <c r="B6" s="45" t="s">
        <v>27</v>
      </c>
      <c r="C6" s="47">
        <f>'Preencha Aqui'!C16</f>
        <v>9.2700000000000005E-2</v>
      </c>
      <c r="E6" s="45" t="s">
        <v>28</v>
      </c>
      <c r="F6" s="47">
        <f>'Preencha Aqui'!C10</f>
        <v>0.12</v>
      </c>
    </row>
    <row r="7" spans="2:9" ht="15" customHeight="1" x14ac:dyDescent="0.25">
      <c r="C7" s="49"/>
      <c r="F7" s="49"/>
    </row>
    <row r="8" spans="2:9" ht="15" customHeight="1" x14ac:dyDescent="0.25">
      <c r="B8" s="50"/>
      <c r="C8" s="50"/>
      <c r="D8" s="50"/>
      <c r="E8" s="50"/>
      <c r="F8" s="50"/>
      <c r="G8" s="50"/>
      <c r="H8" s="50"/>
      <c r="I8" s="50"/>
    </row>
    <row r="9" spans="2:9" ht="15" customHeight="1" x14ac:dyDescent="0.25">
      <c r="B9" s="51"/>
      <c r="C9" s="51"/>
      <c r="D9" s="51"/>
      <c r="E9" s="51"/>
      <c r="F9" s="51"/>
      <c r="G9" s="51"/>
      <c r="H9" s="51"/>
      <c r="I9" s="51"/>
    </row>
    <row r="10" spans="2:9" ht="15" customHeight="1" x14ac:dyDescent="0.25">
      <c r="B10" s="89" t="s">
        <v>59</v>
      </c>
      <c r="C10" s="90"/>
      <c r="D10" s="90"/>
      <c r="E10" s="90"/>
      <c r="F10" s="50"/>
      <c r="G10" s="91" t="str">
        <f>IF(AND(B17&gt;E17,B17&gt;H17),"Só financiar",IF(AND(E17&gt;B17,E17&gt;H17),"Alugar e Investir",IF(AND(H17&gt;B17, H17&gt;E17),"Financiar e Investir","A")))</f>
        <v>Financiar e Investir</v>
      </c>
      <c r="H10" s="92"/>
      <c r="I10" s="92"/>
    </row>
    <row r="11" spans="2:9" ht="15" customHeight="1" x14ac:dyDescent="0.25">
      <c r="B11" s="90"/>
      <c r="C11" s="90"/>
      <c r="D11" s="90"/>
      <c r="E11" s="90"/>
      <c r="G11" s="92"/>
      <c r="H11" s="92"/>
      <c r="I11" s="92"/>
    </row>
    <row r="12" spans="2:9" ht="15" customHeight="1" x14ac:dyDescent="0.25">
      <c r="B12" s="90"/>
      <c r="C12" s="90"/>
      <c r="D12" s="90"/>
      <c r="E12" s="90"/>
      <c r="G12" s="92"/>
      <c r="H12" s="92"/>
      <c r="I12" s="92"/>
    </row>
    <row r="14" spans="2:9" ht="15" customHeight="1" x14ac:dyDescent="0.25">
      <c r="B14" s="52" t="s">
        <v>29</v>
      </c>
      <c r="E14" s="52" t="s">
        <v>30</v>
      </c>
      <c r="H14" s="53" t="s">
        <v>31</v>
      </c>
    </row>
    <row r="15" spans="2:9" ht="15" customHeight="1" x14ac:dyDescent="0.25">
      <c r="F15" s="54"/>
    </row>
    <row r="16" spans="2:9" ht="15" customHeight="1" x14ac:dyDescent="0.25">
      <c r="B16" s="55" t="s">
        <v>32</v>
      </c>
      <c r="E16" s="55" t="s">
        <v>33</v>
      </c>
      <c r="H16" s="55" t="s">
        <v>34</v>
      </c>
    </row>
    <row r="17" spans="2:9" ht="15" customHeight="1" x14ac:dyDescent="0.25">
      <c r="B17" s="56">
        <f>C3*(((C5+1)^(F5/12)))</f>
        <v>2160971.1875753314</v>
      </c>
      <c r="E17" s="56">
        <f>MAX(I27:I447)</f>
        <v>5060822.0728213917</v>
      </c>
      <c r="H17" s="56">
        <f>MAX(H27:H447)+B17</f>
        <v>10222808.908895772</v>
      </c>
    </row>
    <row r="19" spans="2:9" ht="15" customHeight="1" x14ac:dyDescent="0.25">
      <c r="B19" s="55" t="s">
        <v>35</v>
      </c>
      <c r="E19" s="55" t="s">
        <v>36</v>
      </c>
      <c r="H19" s="55" t="s">
        <v>35</v>
      </c>
    </row>
    <row r="20" spans="2:9" ht="15" customHeight="1" x14ac:dyDescent="0.25">
      <c r="B20" s="75">
        <f>SUM(C27:C447)</f>
        <v>1280727.2061115073</v>
      </c>
      <c r="E20" s="56">
        <f>SUM(D27:D447)</f>
        <v>4336653.6323442645</v>
      </c>
      <c r="H20" s="75">
        <f>SUM(C27:C447)</f>
        <v>1280727.2061115073</v>
      </c>
    </row>
    <row r="21" spans="2:9" ht="15" customHeight="1" x14ac:dyDescent="0.25">
      <c r="F21" s="57"/>
    </row>
    <row r="22" spans="2:9" ht="15" customHeight="1" x14ac:dyDescent="0.25">
      <c r="B22" s="55" t="s">
        <v>37</v>
      </c>
      <c r="E22" s="55" t="s">
        <v>37</v>
      </c>
      <c r="H22" s="55" t="s">
        <v>37</v>
      </c>
    </row>
    <row r="23" spans="2:9" ht="15" customHeight="1" x14ac:dyDescent="0.25">
      <c r="B23" s="56">
        <v>0</v>
      </c>
      <c r="E23" s="75">
        <f>SUM(G27:G447)</f>
        <v>201985.10208971775</v>
      </c>
      <c r="H23" s="75">
        <f>SUM(F27:F447)</f>
        <v>3255411.5283224694</v>
      </c>
    </row>
    <row r="24" spans="2:9" ht="15" customHeight="1" x14ac:dyDescent="0.25">
      <c r="B24" s="58"/>
      <c r="C24" s="58"/>
      <c r="D24" s="58"/>
      <c r="E24" s="58"/>
      <c r="F24" s="58"/>
      <c r="G24" s="58"/>
      <c r="H24" s="58"/>
      <c r="I24" s="58"/>
    </row>
    <row r="25" spans="2:9" ht="15" customHeight="1" thickBot="1" x14ac:dyDescent="0.3">
      <c r="C25" s="76"/>
      <c r="D25" s="76"/>
      <c r="E25" s="76"/>
      <c r="F25" s="76"/>
      <c r="G25" s="76"/>
      <c r="H25" s="76"/>
      <c r="I25" s="76"/>
    </row>
    <row r="26" spans="2:9" ht="15" customHeight="1" x14ac:dyDescent="0.25">
      <c r="B26" s="63" t="s">
        <v>38</v>
      </c>
      <c r="C26" s="64" t="s">
        <v>39</v>
      </c>
      <c r="D26" s="64" t="s">
        <v>40</v>
      </c>
      <c r="E26" s="64" t="s">
        <v>41</v>
      </c>
      <c r="F26" s="65" t="s">
        <v>42</v>
      </c>
      <c r="G26" s="65" t="s">
        <v>43</v>
      </c>
      <c r="H26" s="77" t="s">
        <v>44</v>
      </c>
      <c r="I26" s="78" t="s">
        <v>45</v>
      </c>
    </row>
    <row r="27" spans="2:9" ht="15" customHeight="1" x14ac:dyDescent="0.25">
      <c r="B27" s="66">
        <v>0</v>
      </c>
      <c r="C27" s="59">
        <f>F3+F4</f>
        <v>60000</v>
      </c>
      <c r="D27" s="59">
        <f>C4</f>
        <v>2500</v>
      </c>
      <c r="E27" s="59">
        <f>C3-F3</f>
        <v>450000</v>
      </c>
      <c r="F27" s="60">
        <v>0</v>
      </c>
      <c r="G27" s="59">
        <f>F3+F4</f>
        <v>60000</v>
      </c>
      <c r="H27" s="61">
        <f t="shared" ref="H27:I27" si="0">F27</f>
        <v>0</v>
      </c>
      <c r="I27" s="67">
        <f t="shared" si="0"/>
        <v>60000</v>
      </c>
    </row>
    <row r="28" spans="2:9" ht="15" customHeight="1" x14ac:dyDescent="0.25">
      <c r="B28" s="68">
        <f t="shared" ref="B28:B282" si="1">IFERROR(IF((B27+1)&gt;$F$5,"",B27+1),"")</f>
        <v>1</v>
      </c>
      <c r="C28" s="69">
        <f t="shared" ref="C28" si="2">IF(B28="","",(($C$3-$F$3)/$F$5)+(((E27*($F$6+1)^(1/12))-E27)))</f>
        <v>5519.9568205623655</v>
      </c>
      <c r="D28" s="69">
        <f t="shared" ref="D28:D38" si="3">D27</f>
        <v>2500</v>
      </c>
      <c r="E28" s="69">
        <f t="shared" ref="E28" si="4">IF(OR(E27=0,E27=""),"",E27-(($C$3-$F$3)/$F$5))</f>
        <v>448750</v>
      </c>
      <c r="F28" s="69">
        <f t="shared" ref="F28" si="5">IF(B28="","",IF(D28&gt;C28,D28-C28,0))</f>
        <v>0</v>
      </c>
      <c r="G28" s="69">
        <f t="shared" ref="G28" si="6">IF(B28="","",IF(C28&gt;D28,C28-D28,0))</f>
        <v>3019.9568205623655</v>
      </c>
      <c r="H28" s="62">
        <f t="shared" ref="H28" si="7">IF(B28="","",(H27*(($I$5+1)^(1/12)))+F28)</f>
        <v>0</v>
      </c>
      <c r="I28" s="70">
        <f t="shared" ref="I28" si="8">IF(B28="","",((I27*(($I$5+1)^(1/12)))+G28))</f>
        <v>63589.284396637348</v>
      </c>
    </row>
    <row r="29" spans="2:9" ht="15" customHeight="1" x14ac:dyDescent="0.25">
      <c r="B29" s="68">
        <f t="shared" si="1"/>
        <v>2</v>
      </c>
      <c r="C29" s="69">
        <f t="shared" ref="C29:C92" si="9">IF(B29="","",(($C$3-$F$3)/$F$5)+(((E28*($F$6+1)^(1/12))-E28)))</f>
        <v>5508.0958293941221</v>
      </c>
      <c r="D29" s="69">
        <f t="shared" si="3"/>
        <v>2500</v>
      </c>
      <c r="E29" s="69">
        <f t="shared" ref="E29:E92" si="10">IF(OR(E28=0,E28=""),"",E28-(($C$3-$F$3)/$F$5))</f>
        <v>447500</v>
      </c>
      <c r="F29" s="69">
        <f t="shared" ref="F29:F92" si="11">IF(B29="","",IF(D29&gt;C29,D29-C29,0))</f>
        <v>0</v>
      </c>
      <c r="G29" s="69">
        <f t="shared" ref="G29:G92" si="12">IF(B29="","",IF(C29&gt;D29,C29-D29,0))</f>
        <v>3008.0958293941221</v>
      </c>
      <c r="H29" s="62">
        <f t="shared" ref="H29:H92" si="13">IF(B29="","",(H28*(($I$5+1)^(1/12)))+F29)</f>
        <v>0</v>
      </c>
      <c r="I29" s="70">
        <f t="shared" ref="I29:I92" si="14">IF(B29="","",((I28*(($I$5+1)^(1/12)))+G29))</f>
        <v>67200.765778529472</v>
      </c>
    </row>
    <row r="30" spans="2:9" ht="15" customHeight="1" x14ac:dyDescent="0.25">
      <c r="B30" s="68">
        <f t="shared" si="1"/>
        <v>3</v>
      </c>
      <c r="C30" s="69">
        <f t="shared" si="9"/>
        <v>5496.234838225937</v>
      </c>
      <c r="D30" s="69">
        <f t="shared" si="3"/>
        <v>2500</v>
      </c>
      <c r="E30" s="69">
        <f t="shared" si="10"/>
        <v>446250</v>
      </c>
      <c r="F30" s="69">
        <f t="shared" si="11"/>
        <v>0</v>
      </c>
      <c r="G30" s="69">
        <f t="shared" si="12"/>
        <v>2996.234838225937</v>
      </c>
      <c r="H30" s="62">
        <f t="shared" si="13"/>
        <v>0</v>
      </c>
      <c r="I30" s="70">
        <f t="shared" si="14"/>
        <v>70834.654768273293</v>
      </c>
    </row>
    <row r="31" spans="2:9" ht="15" customHeight="1" x14ac:dyDescent="0.25">
      <c r="B31" s="68">
        <f t="shared" si="1"/>
        <v>4</v>
      </c>
      <c r="C31" s="69">
        <f t="shared" si="9"/>
        <v>5484.3738470576936</v>
      </c>
      <c r="D31" s="69">
        <f t="shared" si="3"/>
        <v>2500</v>
      </c>
      <c r="E31" s="69">
        <f t="shared" si="10"/>
        <v>445000</v>
      </c>
      <c r="F31" s="69">
        <f t="shared" si="11"/>
        <v>0</v>
      </c>
      <c r="G31" s="69">
        <f t="shared" si="12"/>
        <v>2984.3738470576936</v>
      </c>
      <c r="H31" s="62">
        <f t="shared" si="13"/>
        <v>0</v>
      </c>
      <c r="I31" s="70">
        <f t="shared" si="14"/>
        <v>74491.163987019812</v>
      </c>
    </row>
    <row r="32" spans="2:9" ht="15" customHeight="1" x14ac:dyDescent="0.25">
      <c r="B32" s="68">
        <f t="shared" si="1"/>
        <v>5</v>
      </c>
      <c r="C32" s="69">
        <f t="shared" si="9"/>
        <v>5472.5128558894503</v>
      </c>
      <c r="D32" s="69">
        <f t="shared" si="3"/>
        <v>2500</v>
      </c>
      <c r="E32" s="69">
        <f t="shared" si="10"/>
        <v>443750</v>
      </c>
      <c r="F32" s="69">
        <f t="shared" si="11"/>
        <v>0</v>
      </c>
      <c r="G32" s="69">
        <f t="shared" si="12"/>
        <v>2972.5128558894503</v>
      </c>
      <c r="H32" s="62">
        <f t="shared" si="13"/>
        <v>0</v>
      </c>
      <c r="I32" s="70">
        <f t="shared" si="14"/>
        <v>78170.508073438163</v>
      </c>
    </row>
    <row r="33" spans="2:9" ht="15" customHeight="1" x14ac:dyDescent="0.25">
      <c r="B33" s="68">
        <f t="shared" si="1"/>
        <v>6</v>
      </c>
      <c r="C33" s="69">
        <f t="shared" si="9"/>
        <v>5460.6518647212069</v>
      </c>
      <c r="D33" s="69">
        <f t="shared" si="3"/>
        <v>2500</v>
      </c>
      <c r="E33" s="69">
        <f t="shared" si="10"/>
        <v>442500</v>
      </c>
      <c r="F33" s="69">
        <f t="shared" si="11"/>
        <v>0</v>
      </c>
      <c r="G33" s="69">
        <f t="shared" si="12"/>
        <v>2960.6518647212069</v>
      </c>
      <c r="H33" s="62">
        <f t="shared" si="13"/>
        <v>0</v>
      </c>
      <c r="I33" s="70">
        <f t="shared" si="14"/>
        <v>81872.903702859374</v>
      </c>
    </row>
    <row r="34" spans="2:9" ht="15" customHeight="1" x14ac:dyDescent="0.25">
      <c r="B34" s="68">
        <f t="shared" si="1"/>
        <v>7</v>
      </c>
      <c r="C34" s="69">
        <f t="shared" si="9"/>
        <v>5448.7908735530218</v>
      </c>
      <c r="D34" s="69">
        <f t="shared" si="3"/>
        <v>2500</v>
      </c>
      <c r="E34" s="69">
        <f t="shared" si="10"/>
        <v>441250</v>
      </c>
      <c r="F34" s="69">
        <f t="shared" si="11"/>
        <v>0</v>
      </c>
      <c r="G34" s="69">
        <f t="shared" si="12"/>
        <v>2948.7908735530218</v>
      </c>
      <c r="H34" s="62">
        <f t="shared" si="13"/>
        <v>0</v>
      </c>
      <c r="I34" s="70">
        <f t="shared" si="14"/>
        <v>85598.569606601886</v>
      </c>
    </row>
    <row r="35" spans="2:9" ht="15" customHeight="1" x14ac:dyDescent="0.25">
      <c r="B35" s="68">
        <f t="shared" si="1"/>
        <v>8</v>
      </c>
      <c r="C35" s="69">
        <f t="shared" si="9"/>
        <v>5436.9298823847785</v>
      </c>
      <c r="D35" s="69">
        <f t="shared" si="3"/>
        <v>2500</v>
      </c>
      <c r="E35" s="69">
        <f t="shared" si="10"/>
        <v>440000</v>
      </c>
      <c r="F35" s="69">
        <f t="shared" si="11"/>
        <v>0</v>
      </c>
      <c r="G35" s="69">
        <f t="shared" si="12"/>
        <v>2936.9298823847785</v>
      </c>
      <c r="H35" s="62">
        <f t="shared" si="13"/>
        <v>0</v>
      </c>
      <c r="I35" s="70">
        <f t="shared" si="14"/>
        <v>89347.726591480197</v>
      </c>
    </row>
    <row r="36" spans="2:9" ht="15" customHeight="1" x14ac:dyDescent="0.25">
      <c r="B36" s="68">
        <f t="shared" si="1"/>
        <v>9</v>
      </c>
      <c r="C36" s="69">
        <f t="shared" si="9"/>
        <v>5425.0688912165351</v>
      </c>
      <c r="D36" s="69">
        <f t="shared" si="3"/>
        <v>2500</v>
      </c>
      <c r="E36" s="69">
        <f t="shared" si="10"/>
        <v>438750</v>
      </c>
      <c r="F36" s="69">
        <f t="shared" si="11"/>
        <v>0</v>
      </c>
      <c r="G36" s="69">
        <f t="shared" si="12"/>
        <v>2925.0688912165351</v>
      </c>
      <c r="H36" s="62">
        <f t="shared" si="13"/>
        <v>0</v>
      </c>
      <c r="I36" s="70">
        <f t="shared" si="14"/>
        <v>93120.59755949903</v>
      </c>
    </row>
    <row r="37" spans="2:9" ht="15" customHeight="1" x14ac:dyDescent="0.25">
      <c r="B37" s="68">
        <f t="shared" si="1"/>
        <v>10</v>
      </c>
      <c r="C37" s="69">
        <f t="shared" si="9"/>
        <v>5413.2079000482918</v>
      </c>
      <c r="D37" s="69">
        <f t="shared" si="3"/>
        <v>2500</v>
      </c>
      <c r="E37" s="69">
        <f t="shared" si="10"/>
        <v>437500</v>
      </c>
      <c r="F37" s="69">
        <f t="shared" si="11"/>
        <v>0</v>
      </c>
      <c r="G37" s="69">
        <f t="shared" si="12"/>
        <v>2913.2079000482918</v>
      </c>
      <c r="H37" s="62">
        <f t="shared" si="13"/>
        <v>0</v>
      </c>
      <c r="I37" s="70">
        <f t="shared" si="14"/>
        <v>96917.407527734045</v>
      </c>
    </row>
    <row r="38" spans="2:9" ht="15" customHeight="1" x14ac:dyDescent="0.25">
      <c r="B38" s="68">
        <f t="shared" si="1"/>
        <v>11</v>
      </c>
      <c r="C38" s="69">
        <f t="shared" si="9"/>
        <v>5401.3469088801066</v>
      </c>
      <c r="D38" s="69">
        <f t="shared" si="3"/>
        <v>2500</v>
      </c>
      <c r="E38" s="69">
        <f t="shared" si="10"/>
        <v>436250</v>
      </c>
      <c r="F38" s="69">
        <f t="shared" si="11"/>
        <v>0</v>
      </c>
      <c r="G38" s="69">
        <f t="shared" si="12"/>
        <v>2901.3469088801066</v>
      </c>
      <c r="H38" s="62">
        <f t="shared" si="13"/>
        <v>0</v>
      </c>
      <c r="I38" s="70">
        <f t="shared" si="14"/>
        <v>100738.38364840142</v>
      </c>
    </row>
    <row r="39" spans="2:9" ht="15" customHeight="1" x14ac:dyDescent="0.25">
      <c r="B39" s="68">
        <f t="shared" si="1"/>
        <v>12</v>
      </c>
      <c r="C39" s="69">
        <f t="shared" si="9"/>
        <v>5389.4859177118633</v>
      </c>
      <c r="D39" s="69">
        <f t="shared" ref="D39:D293" si="15">IF(B39="","",IF(COUNTIFS(D27:D38,D38)=12,D38*($C$6+1),D38))</f>
        <v>2731.75</v>
      </c>
      <c r="E39" s="69">
        <f t="shared" si="10"/>
        <v>435000</v>
      </c>
      <c r="F39" s="69">
        <f t="shared" si="11"/>
        <v>0</v>
      </c>
      <c r="G39" s="69">
        <f t="shared" si="12"/>
        <v>2657.7359177118633</v>
      </c>
      <c r="H39" s="62">
        <f t="shared" si="13"/>
        <v>0</v>
      </c>
      <c r="I39" s="70">
        <f t="shared" si="14"/>
        <v>104352.00522911755</v>
      </c>
    </row>
    <row r="40" spans="2:9" ht="15" customHeight="1" x14ac:dyDescent="0.25">
      <c r="B40" s="68">
        <f t="shared" si="1"/>
        <v>13</v>
      </c>
      <c r="C40" s="69">
        <f t="shared" si="9"/>
        <v>5377.6249265436199</v>
      </c>
      <c r="D40" s="69">
        <f t="shared" si="15"/>
        <v>2731.75</v>
      </c>
      <c r="E40" s="69">
        <f t="shared" si="10"/>
        <v>433750</v>
      </c>
      <c r="F40" s="69">
        <f t="shared" si="11"/>
        <v>0</v>
      </c>
      <c r="G40" s="69">
        <f t="shared" si="12"/>
        <v>2645.8749265436199</v>
      </c>
      <c r="H40" s="62">
        <f t="shared" si="13"/>
        <v>0</v>
      </c>
      <c r="I40" s="70">
        <f t="shared" si="14"/>
        <v>107988.05472558879</v>
      </c>
    </row>
    <row r="41" spans="2:9" ht="15" customHeight="1" x14ac:dyDescent="0.25">
      <c r="B41" s="68">
        <f t="shared" si="1"/>
        <v>14</v>
      </c>
      <c r="C41" s="69">
        <f t="shared" si="9"/>
        <v>5365.7639353753766</v>
      </c>
      <c r="D41" s="69">
        <f t="shared" si="15"/>
        <v>2731.75</v>
      </c>
      <c r="E41" s="69">
        <f t="shared" si="10"/>
        <v>432500</v>
      </c>
      <c r="F41" s="69">
        <f t="shared" si="11"/>
        <v>0</v>
      </c>
      <c r="G41" s="69">
        <f t="shared" si="12"/>
        <v>2634.0139353753766</v>
      </c>
      <c r="H41" s="62">
        <f t="shared" si="13"/>
        <v>0</v>
      </c>
      <c r="I41" s="70">
        <f t="shared" si="14"/>
        <v>111646.7449516637</v>
      </c>
    </row>
    <row r="42" spans="2:9" ht="15" customHeight="1" x14ac:dyDescent="0.25">
      <c r="B42" s="68">
        <f t="shared" si="1"/>
        <v>15</v>
      </c>
      <c r="C42" s="69">
        <f t="shared" si="9"/>
        <v>5353.9029442071915</v>
      </c>
      <c r="D42" s="69">
        <f t="shared" si="15"/>
        <v>2731.75</v>
      </c>
      <c r="E42" s="69">
        <f t="shared" si="10"/>
        <v>431250</v>
      </c>
      <c r="F42" s="69">
        <f t="shared" si="11"/>
        <v>0</v>
      </c>
      <c r="G42" s="69">
        <f t="shared" si="12"/>
        <v>2622.1529442071915</v>
      </c>
      <c r="H42" s="62">
        <f t="shared" si="13"/>
        <v>0</v>
      </c>
      <c r="I42" s="70">
        <f t="shared" si="14"/>
        <v>115328.29074053743</v>
      </c>
    </row>
    <row r="43" spans="2:9" ht="15" customHeight="1" x14ac:dyDescent="0.25">
      <c r="B43" s="68">
        <f t="shared" si="1"/>
        <v>16</v>
      </c>
      <c r="C43" s="69">
        <f t="shared" si="9"/>
        <v>5342.0419530389481</v>
      </c>
      <c r="D43" s="69">
        <f t="shared" si="15"/>
        <v>2731.75</v>
      </c>
      <c r="E43" s="69">
        <f t="shared" si="10"/>
        <v>430000</v>
      </c>
      <c r="F43" s="69">
        <f t="shared" si="11"/>
        <v>0</v>
      </c>
      <c r="G43" s="69">
        <f t="shared" si="12"/>
        <v>2610.2919530389481</v>
      </c>
      <c r="H43" s="62">
        <f t="shared" si="13"/>
        <v>0</v>
      </c>
      <c r="I43" s="70">
        <f t="shared" si="14"/>
        <v>119032.90896391273</v>
      </c>
    </row>
    <row r="44" spans="2:9" ht="15" customHeight="1" x14ac:dyDescent="0.25">
      <c r="B44" s="68">
        <f t="shared" si="1"/>
        <v>17</v>
      </c>
      <c r="C44" s="69">
        <f t="shared" si="9"/>
        <v>5330.1809618707048</v>
      </c>
      <c r="D44" s="69">
        <f t="shared" si="15"/>
        <v>2731.75</v>
      </c>
      <c r="E44" s="69">
        <f t="shared" si="10"/>
        <v>428750</v>
      </c>
      <c r="F44" s="69">
        <f t="shared" si="11"/>
        <v>0</v>
      </c>
      <c r="G44" s="69">
        <f t="shared" si="12"/>
        <v>2598.4309618707048</v>
      </c>
      <c r="H44" s="62">
        <f t="shared" si="13"/>
        <v>0</v>
      </c>
      <c r="I44" s="70">
        <f t="shared" si="14"/>
        <v>122760.81855134308</v>
      </c>
    </row>
    <row r="45" spans="2:9" ht="15" customHeight="1" x14ac:dyDescent="0.25">
      <c r="B45" s="68">
        <f t="shared" si="1"/>
        <v>18</v>
      </c>
      <c r="C45" s="69">
        <f t="shared" si="9"/>
        <v>5318.3199707024614</v>
      </c>
      <c r="D45" s="69">
        <f t="shared" si="15"/>
        <v>2731.75</v>
      </c>
      <c r="E45" s="69">
        <f t="shared" si="10"/>
        <v>427500</v>
      </c>
      <c r="F45" s="69">
        <f t="shared" si="11"/>
        <v>0</v>
      </c>
      <c r="G45" s="69">
        <f t="shared" si="12"/>
        <v>2586.5699707024614</v>
      </c>
      <c r="H45" s="62">
        <f t="shared" si="13"/>
        <v>0</v>
      </c>
      <c r="I45" s="70">
        <f t="shared" si="14"/>
        <v>126512.24050975915</v>
      </c>
    </row>
    <row r="46" spans="2:9" ht="15" customHeight="1" x14ac:dyDescent="0.25">
      <c r="B46" s="68">
        <f t="shared" si="1"/>
        <v>19</v>
      </c>
      <c r="C46" s="69">
        <f t="shared" si="9"/>
        <v>5306.4589795342763</v>
      </c>
      <c r="D46" s="69">
        <f t="shared" si="15"/>
        <v>2731.75</v>
      </c>
      <c r="E46" s="69">
        <f t="shared" si="10"/>
        <v>426250</v>
      </c>
      <c r="F46" s="69">
        <f t="shared" si="11"/>
        <v>0</v>
      </c>
      <c r="G46" s="69">
        <f t="shared" si="12"/>
        <v>2574.7089795342763</v>
      </c>
      <c r="H46" s="62">
        <f t="shared" si="13"/>
        <v>0</v>
      </c>
      <c r="I46" s="70">
        <f t="shared" si="14"/>
        <v>130287.39794318071</v>
      </c>
    </row>
    <row r="47" spans="2:9" ht="15" customHeight="1" x14ac:dyDescent="0.25">
      <c r="B47" s="68">
        <f t="shared" si="1"/>
        <v>20</v>
      </c>
      <c r="C47" s="69">
        <f t="shared" si="9"/>
        <v>5294.597988366033</v>
      </c>
      <c r="D47" s="69">
        <f t="shared" si="15"/>
        <v>2731.75</v>
      </c>
      <c r="E47" s="69">
        <f t="shared" si="10"/>
        <v>425000</v>
      </c>
      <c r="F47" s="69">
        <f t="shared" si="11"/>
        <v>0</v>
      </c>
      <c r="G47" s="69">
        <f t="shared" si="12"/>
        <v>2562.847988366033</v>
      </c>
      <c r="H47" s="62">
        <f t="shared" si="13"/>
        <v>0</v>
      </c>
      <c r="I47" s="70">
        <f t="shared" si="14"/>
        <v>134086.5160726152</v>
      </c>
    </row>
    <row r="48" spans="2:9" ht="15" customHeight="1" x14ac:dyDescent="0.25">
      <c r="B48" s="68">
        <f t="shared" si="1"/>
        <v>21</v>
      </c>
      <c r="C48" s="69">
        <f t="shared" si="9"/>
        <v>5282.7369971977896</v>
      </c>
      <c r="D48" s="69">
        <f t="shared" si="15"/>
        <v>2731.75</v>
      </c>
      <c r="E48" s="69">
        <f t="shared" si="10"/>
        <v>423750</v>
      </c>
      <c r="F48" s="69">
        <f t="shared" si="11"/>
        <v>0</v>
      </c>
      <c r="G48" s="69">
        <f t="shared" si="12"/>
        <v>2550.9869971977896</v>
      </c>
      <c r="H48" s="62">
        <f t="shared" si="13"/>
        <v>0</v>
      </c>
      <c r="I48" s="70">
        <f t="shared" si="14"/>
        <v>137909.82225614568</v>
      </c>
    </row>
    <row r="49" spans="2:9" ht="15" customHeight="1" x14ac:dyDescent="0.25">
      <c r="B49" s="68">
        <f t="shared" si="1"/>
        <v>22</v>
      </c>
      <c r="C49" s="69">
        <f t="shared" si="9"/>
        <v>5270.8760060295463</v>
      </c>
      <c r="D49" s="69">
        <f t="shared" si="15"/>
        <v>2731.75</v>
      </c>
      <c r="E49" s="69">
        <f t="shared" si="10"/>
        <v>422500</v>
      </c>
      <c r="F49" s="69">
        <f t="shared" si="11"/>
        <v>0</v>
      </c>
      <c r="G49" s="69">
        <f t="shared" si="12"/>
        <v>2539.1260060295463</v>
      </c>
      <c r="H49" s="62">
        <f t="shared" si="13"/>
        <v>0</v>
      </c>
      <c r="I49" s="70">
        <f t="shared" si="14"/>
        <v>141757.54600920895</v>
      </c>
    </row>
    <row r="50" spans="2:9" ht="15" customHeight="1" x14ac:dyDescent="0.25">
      <c r="B50" s="68">
        <f t="shared" si="1"/>
        <v>23</v>
      </c>
      <c r="C50" s="69">
        <f t="shared" si="9"/>
        <v>5259.0150148613611</v>
      </c>
      <c r="D50" s="69">
        <f t="shared" si="15"/>
        <v>2731.75</v>
      </c>
      <c r="E50" s="69">
        <f t="shared" si="10"/>
        <v>421250</v>
      </c>
      <c r="F50" s="69">
        <f t="shared" si="11"/>
        <v>0</v>
      </c>
      <c r="G50" s="69">
        <f t="shared" si="12"/>
        <v>2527.2650148613611</v>
      </c>
      <c r="H50" s="62">
        <f t="shared" si="13"/>
        <v>0</v>
      </c>
      <c r="I50" s="70">
        <f t="shared" si="14"/>
        <v>145629.91902506631</v>
      </c>
    </row>
    <row r="51" spans="2:9" ht="15" customHeight="1" x14ac:dyDescent="0.25">
      <c r="B51" s="68">
        <f t="shared" si="1"/>
        <v>24</v>
      </c>
      <c r="C51" s="69">
        <f t="shared" si="9"/>
        <v>5247.1540236931178</v>
      </c>
      <c r="D51" s="69">
        <f t="shared" si="15"/>
        <v>2984.9832249999999</v>
      </c>
      <c r="E51" s="69">
        <f t="shared" si="10"/>
        <v>420000</v>
      </c>
      <c r="F51" s="69">
        <f t="shared" si="11"/>
        <v>0</v>
      </c>
      <c r="G51" s="69">
        <f t="shared" si="12"/>
        <v>2262.1707986931178</v>
      </c>
      <c r="H51" s="62">
        <f t="shared" si="13"/>
        <v>0</v>
      </c>
      <c r="I51" s="70">
        <f t="shared" si="14"/>
        <v>149273.94197046838</v>
      </c>
    </row>
    <row r="52" spans="2:9" ht="15" customHeight="1" x14ac:dyDescent="0.25">
      <c r="B52" s="68">
        <f t="shared" si="1"/>
        <v>25</v>
      </c>
      <c r="C52" s="69">
        <f t="shared" si="9"/>
        <v>5235.2930325248744</v>
      </c>
      <c r="D52" s="69">
        <f t="shared" si="15"/>
        <v>2984.9832249999999</v>
      </c>
      <c r="E52" s="69">
        <f t="shared" si="10"/>
        <v>418750</v>
      </c>
      <c r="F52" s="69">
        <f t="shared" si="11"/>
        <v>0</v>
      </c>
      <c r="G52" s="69">
        <f t="shared" si="12"/>
        <v>2250.3098075248745</v>
      </c>
      <c r="H52" s="62">
        <f t="shared" si="13"/>
        <v>0</v>
      </c>
      <c r="I52" s="70">
        <f t="shared" si="14"/>
        <v>152940.68130388</v>
      </c>
    </row>
    <row r="53" spans="2:9" ht="15" customHeight="1" x14ac:dyDescent="0.25">
      <c r="B53" s="68">
        <f t="shared" si="1"/>
        <v>26</v>
      </c>
      <c r="C53" s="69">
        <f t="shared" si="9"/>
        <v>5223.4320413566311</v>
      </c>
      <c r="D53" s="69">
        <f t="shared" si="15"/>
        <v>2984.9832249999999</v>
      </c>
      <c r="E53" s="69">
        <f t="shared" si="10"/>
        <v>417500</v>
      </c>
      <c r="F53" s="69">
        <f t="shared" si="11"/>
        <v>0</v>
      </c>
      <c r="G53" s="69">
        <f t="shared" si="12"/>
        <v>2238.4488163566311</v>
      </c>
      <c r="H53" s="62">
        <f t="shared" si="13"/>
        <v>0</v>
      </c>
      <c r="I53" s="70">
        <f t="shared" si="14"/>
        <v>156630.35257640321</v>
      </c>
    </row>
    <row r="54" spans="2:9" ht="15" customHeight="1" x14ac:dyDescent="0.25">
      <c r="B54" s="68">
        <f t="shared" si="1"/>
        <v>27</v>
      </c>
      <c r="C54" s="69">
        <f t="shared" si="9"/>
        <v>5211.571050188446</v>
      </c>
      <c r="D54" s="69">
        <f t="shared" si="15"/>
        <v>2984.9832249999999</v>
      </c>
      <c r="E54" s="69">
        <f t="shared" si="10"/>
        <v>416250</v>
      </c>
      <c r="F54" s="69">
        <f t="shared" si="11"/>
        <v>0</v>
      </c>
      <c r="G54" s="69">
        <f t="shared" si="12"/>
        <v>2226.587825188446</v>
      </c>
      <c r="H54" s="62">
        <f t="shared" si="13"/>
        <v>0</v>
      </c>
      <c r="I54" s="70">
        <f t="shared" si="14"/>
        <v>160343.17338445986</v>
      </c>
    </row>
    <row r="55" spans="2:9" ht="15" customHeight="1" x14ac:dyDescent="0.25">
      <c r="B55" s="68">
        <f t="shared" si="1"/>
        <v>28</v>
      </c>
      <c r="C55" s="69">
        <f t="shared" si="9"/>
        <v>5199.7100590202026</v>
      </c>
      <c r="D55" s="69">
        <f t="shared" si="15"/>
        <v>2984.9832249999999</v>
      </c>
      <c r="E55" s="69">
        <f t="shared" si="10"/>
        <v>415000</v>
      </c>
      <c r="F55" s="69">
        <f t="shared" si="11"/>
        <v>0</v>
      </c>
      <c r="G55" s="69">
        <f t="shared" si="12"/>
        <v>2214.7268340202027</v>
      </c>
      <c r="H55" s="62">
        <f t="shared" si="13"/>
        <v>0</v>
      </c>
      <c r="I55" s="70">
        <f t="shared" si="14"/>
        <v>164079.36338919916</v>
      </c>
    </row>
    <row r="56" spans="2:9" ht="15" customHeight="1" x14ac:dyDescent="0.25">
      <c r="B56" s="68">
        <f t="shared" si="1"/>
        <v>29</v>
      </c>
      <c r="C56" s="69">
        <f t="shared" si="9"/>
        <v>5187.8490678519593</v>
      </c>
      <c r="D56" s="69">
        <f t="shared" si="15"/>
        <v>2984.9832249999999</v>
      </c>
      <c r="E56" s="69">
        <f t="shared" si="10"/>
        <v>413750</v>
      </c>
      <c r="F56" s="69">
        <f t="shared" si="11"/>
        <v>0</v>
      </c>
      <c r="G56" s="69">
        <f t="shared" si="12"/>
        <v>2202.8658428519593</v>
      </c>
      <c r="H56" s="62">
        <f t="shared" si="13"/>
        <v>0</v>
      </c>
      <c r="I56" s="70">
        <f t="shared" si="14"/>
        <v>167839.14433608943</v>
      </c>
    </row>
    <row r="57" spans="2:9" ht="15" customHeight="1" x14ac:dyDescent="0.25">
      <c r="B57" s="68">
        <f t="shared" si="1"/>
        <v>30</v>
      </c>
      <c r="C57" s="69">
        <f t="shared" si="9"/>
        <v>5175.9880766837159</v>
      </c>
      <c r="D57" s="69">
        <f t="shared" si="15"/>
        <v>2984.9832249999999</v>
      </c>
      <c r="E57" s="69">
        <f t="shared" si="10"/>
        <v>412500</v>
      </c>
      <c r="F57" s="69">
        <f t="shared" si="11"/>
        <v>0</v>
      </c>
      <c r="G57" s="69">
        <f t="shared" si="12"/>
        <v>2191.004851683716</v>
      </c>
      <c r="H57" s="62">
        <f t="shared" si="13"/>
        <v>0</v>
      </c>
      <c r="I57" s="70">
        <f t="shared" si="14"/>
        <v>171622.7400746959</v>
      </c>
    </row>
    <row r="58" spans="2:9" ht="15" customHeight="1" x14ac:dyDescent="0.25">
      <c r="B58" s="68">
        <f t="shared" si="1"/>
        <v>31</v>
      </c>
      <c r="C58" s="69">
        <f t="shared" si="9"/>
        <v>5164.1270855155308</v>
      </c>
      <c r="D58" s="69">
        <f t="shared" si="15"/>
        <v>2984.9832249999999</v>
      </c>
      <c r="E58" s="69">
        <f t="shared" si="10"/>
        <v>411250</v>
      </c>
      <c r="F58" s="69">
        <f t="shared" si="11"/>
        <v>0</v>
      </c>
      <c r="G58" s="69">
        <f t="shared" si="12"/>
        <v>2179.1438605155308</v>
      </c>
      <c r="H58" s="62">
        <f t="shared" si="13"/>
        <v>0</v>
      </c>
      <c r="I58" s="70">
        <f t="shared" si="14"/>
        <v>175430.37657864598</v>
      </c>
    </row>
    <row r="59" spans="2:9" ht="15" customHeight="1" x14ac:dyDescent="0.25">
      <c r="B59" s="68">
        <f t="shared" si="1"/>
        <v>32</v>
      </c>
      <c r="C59" s="69">
        <f t="shared" si="9"/>
        <v>5152.2660943472874</v>
      </c>
      <c r="D59" s="69">
        <f t="shared" si="15"/>
        <v>2984.9832249999999</v>
      </c>
      <c r="E59" s="69">
        <f t="shared" si="10"/>
        <v>410000</v>
      </c>
      <c r="F59" s="69">
        <f t="shared" si="11"/>
        <v>0</v>
      </c>
      <c r="G59" s="69">
        <f t="shared" si="12"/>
        <v>2167.2828693472875</v>
      </c>
      <c r="H59" s="62">
        <f t="shared" si="13"/>
        <v>0</v>
      </c>
      <c r="I59" s="70">
        <f t="shared" si="14"/>
        <v>179262.28196578397</v>
      </c>
    </row>
    <row r="60" spans="2:9" ht="15" customHeight="1" x14ac:dyDescent="0.25">
      <c r="B60" s="68">
        <f t="shared" si="1"/>
        <v>33</v>
      </c>
      <c r="C60" s="69">
        <f t="shared" si="9"/>
        <v>5140.4051031790441</v>
      </c>
      <c r="D60" s="69">
        <f t="shared" si="15"/>
        <v>2984.9832249999999</v>
      </c>
      <c r="E60" s="69">
        <f t="shared" si="10"/>
        <v>408750</v>
      </c>
      <c r="F60" s="69">
        <f t="shared" si="11"/>
        <v>0</v>
      </c>
      <c r="G60" s="69">
        <f t="shared" si="12"/>
        <v>2155.4218781790441</v>
      </c>
      <c r="H60" s="62">
        <f t="shared" si="13"/>
        <v>0</v>
      </c>
      <c r="I60" s="70">
        <f t="shared" si="14"/>
        <v>183118.68651851718</v>
      </c>
    </row>
    <row r="61" spans="2:9" ht="15" customHeight="1" x14ac:dyDescent="0.25">
      <c r="B61" s="68">
        <f t="shared" si="1"/>
        <v>34</v>
      </c>
      <c r="C61" s="69">
        <f t="shared" si="9"/>
        <v>5128.5441120108007</v>
      </c>
      <c r="D61" s="69">
        <f t="shared" si="15"/>
        <v>2984.9832249999999</v>
      </c>
      <c r="E61" s="69">
        <f t="shared" si="10"/>
        <v>407500</v>
      </c>
      <c r="F61" s="69">
        <f t="shared" si="11"/>
        <v>0</v>
      </c>
      <c r="G61" s="69">
        <f t="shared" si="12"/>
        <v>2143.5608870108008</v>
      </c>
      <c r="H61" s="62">
        <f t="shared" si="13"/>
        <v>0</v>
      </c>
      <c r="I61" s="70">
        <f t="shared" si="14"/>
        <v>186999.822704355</v>
      </c>
    </row>
    <row r="62" spans="2:9" ht="15" customHeight="1" x14ac:dyDescent="0.25">
      <c r="B62" s="68">
        <f t="shared" si="1"/>
        <v>35</v>
      </c>
      <c r="C62" s="69">
        <f t="shared" si="9"/>
        <v>5116.6831208426156</v>
      </c>
      <c r="D62" s="69">
        <f t="shared" si="15"/>
        <v>2984.9832249999999</v>
      </c>
      <c r="E62" s="69">
        <f t="shared" si="10"/>
        <v>406250</v>
      </c>
      <c r="F62" s="69">
        <f t="shared" si="11"/>
        <v>0</v>
      </c>
      <c r="G62" s="69">
        <f t="shared" si="12"/>
        <v>2131.6998958426157</v>
      </c>
      <c r="H62" s="62">
        <f t="shared" si="13"/>
        <v>0</v>
      </c>
      <c r="I62" s="70">
        <f t="shared" si="14"/>
        <v>190905.92519664299</v>
      </c>
    </row>
    <row r="63" spans="2:9" ht="15" customHeight="1" x14ac:dyDescent="0.25">
      <c r="B63" s="68">
        <f t="shared" si="1"/>
        <v>36</v>
      </c>
      <c r="C63" s="69">
        <f t="shared" si="9"/>
        <v>5104.8221296743723</v>
      </c>
      <c r="D63" s="69">
        <f t="shared" si="15"/>
        <v>3261.6911699574998</v>
      </c>
      <c r="E63" s="69">
        <f t="shared" si="10"/>
        <v>405000</v>
      </c>
      <c r="F63" s="69">
        <f t="shared" si="11"/>
        <v>0</v>
      </c>
      <c r="G63" s="69">
        <f t="shared" si="12"/>
        <v>1843.1309597168724</v>
      </c>
      <c r="H63" s="62">
        <f t="shared" si="13"/>
        <v>0</v>
      </c>
      <c r="I63" s="70">
        <f t="shared" si="14"/>
        <v>194560.52295053579</v>
      </c>
    </row>
    <row r="64" spans="2:9" ht="15" customHeight="1" x14ac:dyDescent="0.25">
      <c r="B64" s="68">
        <f t="shared" si="1"/>
        <v>37</v>
      </c>
      <c r="C64" s="69">
        <f t="shared" si="9"/>
        <v>5092.9611385061289</v>
      </c>
      <c r="D64" s="69">
        <f t="shared" si="15"/>
        <v>3261.6911699574998</v>
      </c>
      <c r="E64" s="69">
        <f t="shared" si="10"/>
        <v>403750</v>
      </c>
      <c r="F64" s="69">
        <f t="shared" si="11"/>
        <v>0</v>
      </c>
      <c r="G64" s="69">
        <f t="shared" si="12"/>
        <v>1831.2699685486291</v>
      </c>
      <c r="H64" s="62">
        <f t="shared" si="13"/>
        <v>0</v>
      </c>
      <c r="I64" s="70">
        <f t="shared" si="14"/>
        <v>198237.93743460622</v>
      </c>
    </row>
    <row r="65" spans="2:9" ht="15" customHeight="1" x14ac:dyDescent="0.25">
      <c r="B65" s="68">
        <f t="shared" si="1"/>
        <v>38</v>
      </c>
      <c r="C65" s="69">
        <f t="shared" si="9"/>
        <v>5081.1001473378856</v>
      </c>
      <c r="D65" s="69">
        <f t="shared" si="15"/>
        <v>3261.6911699574998</v>
      </c>
      <c r="E65" s="69">
        <f t="shared" si="10"/>
        <v>402500</v>
      </c>
      <c r="F65" s="69">
        <f t="shared" si="11"/>
        <v>0</v>
      </c>
      <c r="G65" s="69">
        <f t="shared" si="12"/>
        <v>1819.4089773803857</v>
      </c>
      <c r="H65" s="62">
        <f t="shared" si="13"/>
        <v>0</v>
      </c>
      <c r="I65" s="70">
        <f t="shared" si="14"/>
        <v>201938.3851520824</v>
      </c>
    </row>
    <row r="66" spans="2:9" ht="15" customHeight="1" x14ac:dyDescent="0.25">
      <c r="B66" s="68">
        <f t="shared" si="1"/>
        <v>39</v>
      </c>
      <c r="C66" s="69">
        <f t="shared" si="9"/>
        <v>5069.2391561697004</v>
      </c>
      <c r="D66" s="69">
        <f t="shared" si="15"/>
        <v>3261.6911699574998</v>
      </c>
      <c r="E66" s="69">
        <f t="shared" si="10"/>
        <v>401250</v>
      </c>
      <c r="F66" s="69">
        <f t="shared" si="11"/>
        <v>0</v>
      </c>
      <c r="G66" s="69">
        <f t="shared" si="12"/>
        <v>1807.5479862122006</v>
      </c>
      <c r="H66" s="62">
        <f t="shared" si="13"/>
        <v>0</v>
      </c>
      <c r="I66" s="70">
        <f t="shared" si="14"/>
        <v>205662.08466054677</v>
      </c>
    </row>
    <row r="67" spans="2:9" ht="15" customHeight="1" x14ac:dyDescent="0.25">
      <c r="B67" s="68">
        <f t="shared" si="1"/>
        <v>40</v>
      </c>
      <c r="C67" s="69">
        <f t="shared" si="9"/>
        <v>5057.3781650014571</v>
      </c>
      <c r="D67" s="69">
        <f t="shared" si="15"/>
        <v>3261.6911699574998</v>
      </c>
      <c r="E67" s="69">
        <f t="shared" si="10"/>
        <v>400000</v>
      </c>
      <c r="F67" s="69">
        <f t="shared" si="11"/>
        <v>0</v>
      </c>
      <c r="G67" s="69">
        <f t="shared" si="12"/>
        <v>1795.6869950439573</v>
      </c>
      <c r="H67" s="62">
        <f t="shared" si="13"/>
        <v>0</v>
      </c>
      <c r="I67" s="70">
        <f t="shared" si="14"/>
        <v>209409.25659142932</v>
      </c>
    </row>
    <row r="68" spans="2:9" ht="15" customHeight="1" x14ac:dyDescent="0.25">
      <c r="B68" s="68">
        <f t="shared" si="1"/>
        <v>41</v>
      </c>
      <c r="C68" s="69">
        <f t="shared" si="9"/>
        <v>5045.5171738332137</v>
      </c>
      <c r="D68" s="69">
        <f t="shared" si="15"/>
        <v>3261.6911699574998</v>
      </c>
      <c r="E68" s="69">
        <f t="shared" si="10"/>
        <v>398750</v>
      </c>
      <c r="F68" s="69">
        <f t="shared" si="11"/>
        <v>0</v>
      </c>
      <c r="G68" s="69">
        <f t="shared" si="12"/>
        <v>1783.8260038757139</v>
      </c>
      <c r="H68" s="62">
        <f t="shared" si="13"/>
        <v>0</v>
      </c>
      <c r="I68" s="70">
        <f t="shared" si="14"/>
        <v>213180.12366968606</v>
      </c>
    </row>
    <row r="69" spans="2:9" ht="15" customHeight="1" x14ac:dyDescent="0.25">
      <c r="B69" s="68">
        <f t="shared" si="1"/>
        <v>42</v>
      </c>
      <c r="C69" s="69">
        <f t="shared" si="9"/>
        <v>5033.6561826649704</v>
      </c>
      <c r="D69" s="69">
        <f t="shared" si="15"/>
        <v>3261.6911699574998</v>
      </c>
      <c r="E69" s="69">
        <f t="shared" si="10"/>
        <v>397500</v>
      </c>
      <c r="F69" s="69">
        <f t="shared" si="11"/>
        <v>0</v>
      </c>
      <c r="G69" s="69">
        <f t="shared" si="12"/>
        <v>1771.9650127074706</v>
      </c>
      <c r="H69" s="62">
        <f t="shared" si="13"/>
        <v>0</v>
      </c>
      <c r="I69" s="70">
        <f t="shared" si="14"/>
        <v>216974.91073366397</v>
      </c>
    </row>
    <row r="70" spans="2:9" ht="15" customHeight="1" x14ac:dyDescent="0.25">
      <c r="B70" s="68">
        <f t="shared" si="1"/>
        <v>43</v>
      </c>
      <c r="C70" s="69">
        <f t="shared" si="9"/>
        <v>5021.7951914967853</v>
      </c>
      <c r="D70" s="69">
        <f t="shared" si="15"/>
        <v>3261.6911699574998</v>
      </c>
      <c r="E70" s="69">
        <f t="shared" si="10"/>
        <v>396250</v>
      </c>
      <c r="F70" s="69">
        <f t="shared" si="11"/>
        <v>0</v>
      </c>
      <c r="G70" s="69">
        <f t="shared" si="12"/>
        <v>1760.1040215392854</v>
      </c>
      <c r="H70" s="62">
        <f t="shared" si="13"/>
        <v>0</v>
      </c>
      <c r="I70" s="70">
        <f t="shared" si="14"/>
        <v>220793.84475515463</v>
      </c>
    </row>
    <row r="71" spans="2:9" ht="15" customHeight="1" x14ac:dyDescent="0.25">
      <c r="B71" s="68">
        <f t="shared" si="1"/>
        <v>44</v>
      </c>
      <c r="C71" s="69">
        <f t="shared" si="9"/>
        <v>5009.9342003285419</v>
      </c>
      <c r="D71" s="69">
        <f t="shared" si="15"/>
        <v>3261.6911699574998</v>
      </c>
      <c r="E71" s="69">
        <f t="shared" si="10"/>
        <v>395000</v>
      </c>
      <c r="F71" s="69">
        <f t="shared" si="11"/>
        <v>0</v>
      </c>
      <c r="G71" s="69">
        <f t="shared" si="12"/>
        <v>1748.2430303710421</v>
      </c>
      <c r="H71" s="62">
        <f t="shared" si="13"/>
        <v>0</v>
      </c>
      <c r="I71" s="70">
        <f t="shared" si="14"/>
        <v>224637.15485963778</v>
      </c>
    </row>
    <row r="72" spans="2:9" ht="15" customHeight="1" x14ac:dyDescent="0.25">
      <c r="B72" s="68">
        <f t="shared" si="1"/>
        <v>45</v>
      </c>
      <c r="C72" s="69">
        <f t="shared" si="9"/>
        <v>4998.0732091602986</v>
      </c>
      <c r="D72" s="69">
        <f t="shared" si="15"/>
        <v>3261.6911699574998</v>
      </c>
      <c r="E72" s="69">
        <f t="shared" si="10"/>
        <v>393750</v>
      </c>
      <c r="F72" s="69">
        <f t="shared" si="11"/>
        <v>0</v>
      </c>
      <c r="G72" s="69">
        <f t="shared" si="12"/>
        <v>1736.3820392027988</v>
      </c>
      <c r="H72" s="62">
        <f t="shared" si="13"/>
        <v>0</v>
      </c>
      <c r="I72" s="70">
        <f t="shared" si="14"/>
        <v>228505.07234671753</v>
      </c>
    </row>
    <row r="73" spans="2:9" ht="15" customHeight="1" x14ac:dyDescent="0.25">
      <c r="B73" s="68">
        <f t="shared" si="1"/>
        <v>46</v>
      </c>
      <c r="C73" s="69">
        <f t="shared" si="9"/>
        <v>4986.2122179920552</v>
      </c>
      <c r="D73" s="69">
        <f t="shared" si="15"/>
        <v>3261.6911699574998</v>
      </c>
      <c r="E73" s="69">
        <f t="shared" si="10"/>
        <v>392500</v>
      </c>
      <c r="F73" s="69">
        <f t="shared" si="11"/>
        <v>0</v>
      </c>
      <c r="G73" s="69">
        <f t="shared" si="12"/>
        <v>1724.5210480345554</v>
      </c>
      <c r="H73" s="62">
        <f t="shared" si="13"/>
        <v>0</v>
      </c>
      <c r="I73" s="70">
        <f t="shared" si="14"/>
        <v>232397.83071075199</v>
      </c>
    </row>
    <row r="74" spans="2:9" ht="15" customHeight="1" x14ac:dyDescent="0.25">
      <c r="B74" s="68">
        <f t="shared" si="1"/>
        <v>47</v>
      </c>
      <c r="C74" s="69">
        <f t="shared" si="9"/>
        <v>4974.3512268238701</v>
      </c>
      <c r="D74" s="69">
        <f t="shared" si="15"/>
        <v>3261.6911699574998</v>
      </c>
      <c r="E74" s="69">
        <f t="shared" si="10"/>
        <v>391250</v>
      </c>
      <c r="F74" s="69">
        <f t="shared" si="11"/>
        <v>0</v>
      </c>
      <c r="G74" s="69">
        <f t="shared" si="12"/>
        <v>1712.6600568663703</v>
      </c>
      <c r="H74" s="62">
        <f t="shared" si="13"/>
        <v>0</v>
      </c>
      <c r="I74" s="70">
        <f t="shared" si="14"/>
        <v>236315.66566167897</v>
      </c>
    </row>
    <row r="75" spans="2:9" ht="15" customHeight="1" x14ac:dyDescent="0.25">
      <c r="B75" s="68">
        <f t="shared" si="1"/>
        <v>48</v>
      </c>
      <c r="C75" s="69">
        <f t="shared" si="9"/>
        <v>4962.4902356556267</v>
      </c>
      <c r="D75" s="69">
        <f t="shared" si="15"/>
        <v>3564.0499414125602</v>
      </c>
      <c r="E75" s="69">
        <f t="shared" si="10"/>
        <v>390000</v>
      </c>
      <c r="F75" s="69">
        <f t="shared" si="11"/>
        <v>0</v>
      </c>
      <c r="G75" s="69">
        <f t="shared" si="12"/>
        <v>1398.4402942430665</v>
      </c>
      <c r="H75" s="62">
        <f t="shared" si="13"/>
        <v>0</v>
      </c>
      <c r="I75" s="70">
        <f t="shared" si="14"/>
        <v>239956.45637458388</v>
      </c>
    </row>
    <row r="76" spans="2:9" ht="15" customHeight="1" x14ac:dyDescent="0.25">
      <c r="B76" s="68">
        <f t="shared" si="1"/>
        <v>49</v>
      </c>
      <c r="C76" s="69">
        <f t="shared" si="9"/>
        <v>4950.6292444873834</v>
      </c>
      <c r="D76" s="69">
        <f t="shared" si="15"/>
        <v>3564.0499414125602</v>
      </c>
      <c r="E76" s="69">
        <f t="shared" si="10"/>
        <v>388750</v>
      </c>
      <c r="F76" s="69">
        <f t="shared" si="11"/>
        <v>0</v>
      </c>
      <c r="G76" s="69">
        <f t="shared" si="12"/>
        <v>1386.5793030748232</v>
      </c>
      <c r="H76" s="62">
        <f t="shared" si="13"/>
        <v>0</v>
      </c>
      <c r="I76" s="70">
        <f t="shared" si="14"/>
        <v>243619.93280551344</v>
      </c>
    </row>
    <row r="77" spans="2:9" ht="15" customHeight="1" x14ac:dyDescent="0.25">
      <c r="B77" s="68">
        <f t="shared" si="1"/>
        <v>50</v>
      </c>
      <c r="C77" s="69">
        <f t="shared" si="9"/>
        <v>4938.7682533191401</v>
      </c>
      <c r="D77" s="69">
        <f t="shared" si="15"/>
        <v>3564.0499414125602</v>
      </c>
      <c r="E77" s="69">
        <f t="shared" si="10"/>
        <v>387500</v>
      </c>
      <c r="F77" s="69">
        <f t="shared" si="11"/>
        <v>0</v>
      </c>
      <c r="G77" s="69">
        <f t="shared" si="12"/>
        <v>1374.7183119065799</v>
      </c>
      <c r="H77" s="62">
        <f t="shared" si="13"/>
        <v>0</v>
      </c>
      <c r="I77" s="70">
        <f t="shared" si="14"/>
        <v>247306.31021454858</v>
      </c>
    </row>
    <row r="78" spans="2:9" ht="15" customHeight="1" x14ac:dyDescent="0.25">
      <c r="B78" s="68">
        <f t="shared" si="1"/>
        <v>51</v>
      </c>
      <c r="C78" s="69">
        <f t="shared" si="9"/>
        <v>4926.9072621509549</v>
      </c>
      <c r="D78" s="69">
        <f t="shared" si="15"/>
        <v>3564.0499414125602</v>
      </c>
      <c r="E78" s="69">
        <f t="shared" si="10"/>
        <v>386250</v>
      </c>
      <c r="F78" s="69">
        <f t="shared" si="11"/>
        <v>0</v>
      </c>
      <c r="G78" s="69">
        <f t="shared" si="12"/>
        <v>1362.8573207383947</v>
      </c>
      <c r="H78" s="62">
        <f t="shared" si="13"/>
        <v>0</v>
      </c>
      <c r="I78" s="70">
        <f t="shared" si="14"/>
        <v>251015.80590432859</v>
      </c>
    </row>
    <row r="79" spans="2:9" ht="15" customHeight="1" x14ac:dyDescent="0.25">
      <c r="B79" s="68">
        <f t="shared" si="1"/>
        <v>52</v>
      </c>
      <c r="C79" s="69">
        <f t="shared" si="9"/>
        <v>4915.0462709827116</v>
      </c>
      <c r="D79" s="69">
        <f t="shared" si="15"/>
        <v>3564.0499414125602</v>
      </c>
      <c r="E79" s="69">
        <f t="shared" si="10"/>
        <v>385000</v>
      </c>
      <c r="F79" s="69">
        <f t="shared" si="11"/>
        <v>0</v>
      </c>
      <c r="G79" s="69">
        <f t="shared" si="12"/>
        <v>1350.9963295701514</v>
      </c>
      <c r="H79" s="62">
        <f t="shared" si="13"/>
        <v>0</v>
      </c>
      <c r="I79" s="70">
        <f t="shared" si="14"/>
        <v>254748.63923943241</v>
      </c>
    </row>
    <row r="80" spans="2:9" ht="15" customHeight="1" x14ac:dyDescent="0.25">
      <c r="B80" s="68">
        <f t="shared" si="1"/>
        <v>53</v>
      </c>
      <c r="C80" s="69">
        <f t="shared" si="9"/>
        <v>4903.1852798144682</v>
      </c>
      <c r="D80" s="69">
        <f t="shared" si="15"/>
        <v>3564.0499414125602</v>
      </c>
      <c r="E80" s="69">
        <f t="shared" si="10"/>
        <v>383750</v>
      </c>
      <c r="F80" s="69">
        <f t="shared" si="11"/>
        <v>0</v>
      </c>
      <c r="G80" s="69">
        <f t="shared" si="12"/>
        <v>1339.135338401908</v>
      </c>
      <c r="H80" s="62">
        <f t="shared" si="13"/>
        <v>0</v>
      </c>
      <c r="I80" s="70">
        <f t="shared" si="14"/>
        <v>258505.03166594409</v>
      </c>
    </row>
    <row r="81" spans="2:9" ht="15" customHeight="1" x14ac:dyDescent="0.25">
      <c r="B81" s="68">
        <f t="shared" si="1"/>
        <v>54</v>
      </c>
      <c r="C81" s="69">
        <f t="shared" si="9"/>
        <v>4891.3242886462249</v>
      </c>
      <c r="D81" s="69">
        <f t="shared" si="15"/>
        <v>3564.0499414125602</v>
      </c>
      <c r="E81" s="69">
        <f t="shared" si="10"/>
        <v>382500</v>
      </c>
      <c r="F81" s="69">
        <f t="shared" si="11"/>
        <v>0</v>
      </c>
      <c r="G81" s="69">
        <f t="shared" si="12"/>
        <v>1327.2743472336647</v>
      </c>
      <c r="H81" s="62">
        <f t="shared" si="13"/>
        <v>0</v>
      </c>
      <c r="I81" s="70">
        <f t="shared" si="14"/>
        <v>262285.20673120371</v>
      </c>
    </row>
    <row r="82" spans="2:9" ht="15" customHeight="1" x14ac:dyDescent="0.25">
      <c r="B82" s="68">
        <f t="shared" si="1"/>
        <v>55</v>
      </c>
      <c r="C82" s="69">
        <f t="shared" si="9"/>
        <v>4879.4632974780397</v>
      </c>
      <c r="D82" s="69">
        <f t="shared" si="15"/>
        <v>3564.0499414125602</v>
      </c>
      <c r="E82" s="69">
        <f t="shared" si="10"/>
        <v>381250</v>
      </c>
      <c r="F82" s="69">
        <f t="shared" si="11"/>
        <v>0</v>
      </c>
      <c r="G82" s="69">
        <f t="shared" si="12"/>
        <v>1315.4133560654795</v>
      </c>
      <c r="H82" s="62">
        <f t="shared" si="13"/>
        <v>0</v>
      </c>
      <c r="I82" s="70">
        <f t="shared" si="14"/>
        <v>266089.39010374586</v>
      </c>
    </row>
    <row r="83" spans="2:9" ht="15" customHeight="1" x14ac:dyDescent="0.25">
      <c r="B83" s="68">
        <f t="shared" si="1"/>
        <v>56</v>
      </c>
      <c r="C83" s="69">
        <f t="shared" si="9"/>
        <v>4867.6023063097964</v>
      </c>
      <c r="D83" s="69">
        <f t="shared" si="15"/>
        <v>3564.0499414125602</v>
      </c>
      <c r="E83" s="69">
        <f t="shared" si="10"/>
        <v>380000</v>
      </c>
      <c r="F83" s="69">
        <f t="shared" si="11"/>
        <v>0</v>
      </c>
      <c r="G83" s="69">
        <f t="shared" si="12"/>
        <v>1303.5523648972362</v>
      </c>
      <c r="H83" s="62">
        <f t="shared" si="13"/>
        <v>0</v>
      </c>
      <c r="I83" s="70">
        <f t="shared" si="14"/>
        <v>269917.80959342699</v>
      </c>
    </row>
    <row r="84" spans="2:9" ht="15" customHeight="1" x14ac:dyDescent="0.25">
      <c r="B84" s="68">
        <f t="shared" si="1"/>
        <v>57</v>
      </c>
      <c r="C84" s="69">
        <f t="shared" si="9"/>
        <v>4855.7413151415531</v>
      </c>
      <c r="D84" s="69">
        <f t="shared" si="15"/>
        <v>3564.0499414125602</v>
      </c>
      <c r="E84" s="69">
        <f t="shared" si="10"/>
        <v>378750</v>
      </c>
      <c r="F84" s="69">
        <f t="shared" si="11"/>
        <v>0</v>
      </c>
      <c r="G84" s="69">
        <f t="shared" si="12"/>
        <v>1291.6913737289929</v>
      </c>
      <c r="H84" s="62">
        <f t="shared" si="13"/>
        <v>0</v>
      </c>
      <c r="I84" s="70">
        <f t="shared" si="14"/>
        <v>273770.69517174421</v>
      </c>
    </row>
    <row r="85" spans="2:9" ht="15" customHeight="1" x14ac:dyDescent="0.25">
      <c r="B85" s="68">
        <f t="shared" si="1"/>
        <v>58</v>
      </c>
      <c r="C85" s="69">
        <f t="shared" si="9"/>
        <v>4843.8803239733097</v>
      </c>
      <c r="D85" s="69">
        <f t="shared" si="15"/>
        <v>3564.0499414125602</v>
      </c>
      <c r="E85" s="69">
        <f t="shared" si="10"/>
        <v>377500</v>
      </c>
      <c r="F85" s="69">
        <f t="shared" si="11"/>
        <v>0</v>
      </c>
      <c r="G85" s="69">
        <f t="shared" si="12"/>
        <v>1279.8303825607495</v>
      </c>
      <c r="H85" s="62">
        <f t="shared" si="13"/>
        <v>0</v>
      </c>
      <c r="I85" s="70">
        <f t="shared" si="14"/>
        <v>277648.27899234649</v>
      </c>
    </row>
    <row r="86" spans="2:9" ht="15" customHeight="1" x14ac:dyDescent="0.25">
      <c r="B86" s="68">
        <f t="shared" si="1"/>
        <v>59</v>
      </c>
      <c r="C86" s="69">
        <f t="shared" si="9"/>
        <v>4832.0193328051246</v>
      </c>
      <c r="D86" s="69">
        <f t="shared" si="15"/>
        <v>3564.0499414125602</v>
      </c>
      <c r="E86" s="69">
        <f t="shared" si="10"/>
        <v>376250</v>
      </c>
      <c r="F86" s="69">
        <f t="shared" si="11"/>
        <v>0</v>
      </c>
      <c r="G86" s="69">
        <f t="shared" si="12"/>
        <v>1267.9693913925644</v>
      </c>
      <c r="H86" s="62">
        <f t="shared" si="13"/>
        <v>0</v>
      </c>
      <c r="I86" s="70">
        <f t="shared" si="14"/>
        <v>281550.79541174078</v>
      </c>
    </row>
    <row r="87" spans="2:9" ht="15" customHeight="1" x14ac:dyDescent="0.25">
      <c r="B87" s="68">
        <f t="shared" si="1"/>
        <v>60</v>
      </c>
      <c r="C87" s="69">
        <f t="shared" si="9"/>
        <v>4820.1583416368812</v>
      </c>
      <c r="D87" s="69">
        <f t="shared" si="15"/>
        <v>3894.4373709815045</v>
      </c>
      <c r="E87" s="69">
        <f t="shared" si="10"/>
        <v>375000</v>
      </c>
      <c r="F87" s="69">
        <f t="shared" si="11"/>
        <v>0</v>
      </c>
      <c r="G87" s="69">
        <f t="shared" si="12"/>
        <v>925.72097065537673</v>
      </c>
      <c r="H87" s="62">
        <f t="shared" si="13"/>
        <v>0</v>
      </c>
      <c r="I87" s="70">
        <f t="shared" si="14"/>
        <v>285148.09358062531</v>
      </c>
    </row>
    <row r="88" spans="2:9" ht="15" customHeight="1" x14ac:dyDescent="0.25">
      <c r="B88" s="68">
        <f t="shared" si="1"/>
        <v>61</v>
      </c>
      <c r="C88" s="69">
        <f t="shared" si="9"/>
        <v>4808.2973504686379</v>
      </c>
      <c r="D88" s="69">
        <f t="shared" si="15"/>
        <v>3894.4373709815045</v>
      </c>
      <c r="E88" s="69">
        <f t="shared" si="10"/>
        <v>373750</v>
      </c>
      <c r="F88" s="69">
        <f t="shared" si="11"/>
        <v>0</v>
      </c>
      <c r="G88" s="69">
        <f t="shared" si="12"/>
        <v>913.85997948713339</v>
      </c>
      <c r="H88" s="62">
        <f t="shared" si="13"/>
        <v>0</v>
      </c>
      <c r="I88" s="70">
        <f t="shared" si="14"/>
        <v>288767.66477579012</v>
      </c>
    </row>
    <row r="89" spans="2:9" ht="15" customHeight="1" x14ac:dyDescent="0.25">
      <c r="B89" s="68">
        <f t="shared" si="1"/>
        <v>62</v>
      </c>
      <c r="C89" s="69">
        <f t="shared" si="9"/>
        <v>4796.4363593003945</v>
      </c>
      <c r="D89" s="69">
        <f t="shared" si="15"/>
        <v>3894.4373709815045</v>
      </c>
      <c r="E89" s="69">
        <f t="shared" si="10"/>
        <v>372500</v>
      </c>
      <c r="F89" s="69">
        <f t="shared" si="11"/>
        <v>0</v>
      </c>
      <c r="G89" s="69">
        <f t="shared" si="12"/>
        <v>901.99898831889004</v>
      </c>
      <c r="H89" s="62">
        <f t="shared" si="13"/>
        <v>0</v>
      </c>
      <c r="I89" s="70">
        <f t="shared" si="14"/>
        <v>292409.72034136957</v>
      </c>
    </row>
    <row r="90" spans="2:9" ht="15" customHeight="1" x14ac:dyDescent="0.25">
      <c r="B90" s="68">
        <f t="shared" si="1"/>
        <v>63</v>
      </c>
      <c r="C90" s="69">
        <f t="shared" si="9"/>
        <v>4784.5753681322094</v>
      </c>
      <c r="D90" s="69">
        <f t="shared" si="15"/>
        <v>3894.4373709815045</v>
      </c>
      <c r="E90" s="69">
        <f t="shared" si="10"/>
        <v>371250</v>
      </c>
      <c r="F90" s="69">
        <f t="shared" si="11"/>
        <v>0</v>
      </c>
      <c r="G90" s="69">
        <f t="shared" si="12"/>
        <v>890.1379971507049</v>
      </c>
      <c r="H90" s="62">
        <f t="shared" si="13"/>
        <v>0</v>
      </c>
      <c r="I90" s="70">
        <f t="shared" si="14"/>
        <v>296074.47362689889</v>
      </c>
    </row>
    <row r="91" spans="2:9" ht="15" customHeight="1" x14ac:dyDescent="0.25">
      <c r="B91" s="68">
        <f t="shared" si="1"/>
        <v>64</v>
      </c>
      <c r="C91" s="69">
        <f t="shared" si="9"/>
        <v>4772.7143769639661</v>
      </c>
      <c r="D91" s="69">
        <f t="shared" si="15"/>
        <v>3894.4373709815045</v>
      </c>
      <c r="E91" s="69">
        <f t="shared" si="10"/>
        <v>370000</v>
      </c>
      <c r="F91" s="69">
        <f t="shared" si="11"/>
        <v>0</v>
      </c>
      <c r="G91" s="69">
        <f t="shared" si="12"/>
        <v>878.27700598246156</v>
      </c>
      <c r="H91" s="62">
        <f t="shared" si="13"/>
        <v>0</v>
      </c>
      <c r="I91" s="70">
        <f t="shared" si="14"/>
        <v>299762.14000634267</v>
      </c>
    </row>
    <row r="92" spans="2:9" ht="15" customHeight="1" x14ac:dyDescent="0.25">
      <c r="B92" s="68">
        <f t="shared" si="1"/>
        <v>65</v>
      </c>
      <c r="C92" s="69">
        <f t="shared" si="9"/>
        <v>4760.8533857957227</v>
      </c>
      <c r="D92" s="69">
        <f t="shared" si="15"/>
        <v>3894.4373709815045</v>
      </c>
      <c r="E92" s="69">
        <f t="shared" si="10"/>
        <v>368750</v>
      </c>
      <c r="F92" s="69">
        <f t="shared" si="11"/>
        <v>0</v>
      </c>
      <c r="G92" s="69">
        <f t="shared" si="12"/>
        <v>866.41601481421822</v>
      </c>
      <c r="H92" s="62">
        <f t="shared" si="13"/>
        <v>0</v>
      </c>
      <c r="I92" s="70">
        <f t="shared" si="14"/>
        <v>303472.93689730455</v>
      </c>
    </row>
    <row r="93" spans="2:9" ht="15" customHeight="1" x14ac:dyDescent="0.25">
      <c r="B93" s="68">
        <f t="shared" si="1"/>
        <v>66</v>
      </c>
      <c r="C93" s="69">
        <f t="shared" ref="C93:C156" si="16">IF(B93="","",(($C$3-$F$3)/$F$5)+(((E92*($F$6+1)^(1/12))-E92)))</f>
        <v>4748.9923946274794</v>
      </c>
      <c r="D93" s="69">
        <f t="shared" si="15"/>
        <v>3894.4373709815045</v>
      </c>
      <c r="E93" s="69">
        <f t="shared" ref="E93:E156" si="17">IF(OR(E92=0,E92=""),"",E92-(($C$3-$F$3)/$F$5))</f>
        <v>367500</v>
      </c>
      <c r="F93" s="69">
        <f t="shared" ref="F93:F156" si="18">IF(B93="","",IF(D93&gt;C93,D93-C93,0))</f>
        <v>0</v>
      </c>
      <c r="G93" s="69">
        <f t="shared" ref="G93:G156" si="19">IF(B93="","",IF(C93&gt;D93,C93-D93,0))</f>
        <v>854.55502364597487</v>
      </c>
      <c r="H93" s="62">
        <f t="shared" ref="H93:H156" si="20">IF(B93="","",(H92*(($I$5+1)^(1/12)))+F93)</f>
        <v>0</v>
      </c>
      <c r="I93" s="70">
        <f t="shared" ref="I93:I156" si="21">IF(B93="","",((I92*(($I$5+1)^(1/12)))+G93))</f>
        <v>307207.08378041885</v>
      </c>
    </row>
    <row r="94" spans="2:9" ht="15" customHeight="1" x14ac:dyDescent="0.25">
      <c r="B94" s="68">
        <f t="shared" si="1"/>
        <v>67</v>
      </c>
      <c r="C94" s="69">
        <f t="shared" si="16"/>
        <v>4737.1314034592942</v>
      </c>
      <c r="D94" s="69">
        <f t="shared" si="15"/>
        <v>3894.4373709815045</v>
      </c>
      <c r="E94" s="69">
        <f t="shared" si="17"/>
        <v>366250</v>
      </c>
      <c r="F94" s="69">
        <f t="shared" si="18"/>
        <v>0</v>
      </c>
      <c r="G94" s="69">
        <f t="shared" si="19"/>
        <v>842.69403247778973</v>
      </c>
      <c r="H94" s="62">
        <f t="shared" si="20"/>
        <v>0</v>
      </c>
      <c r="I94" s="70">
        <f t="shared" si="21"/>
        <v>310964.80221892614</v>
      </c>
    </row>
    <row r="95" spans="2:9" ht="15" customHeight="1" x14ac:dyDescent="0.25">
      <c r="B95" s="68">
        <f t="shared" si="1"/>
        <v>68</v>
      </c>
      <c r="C95" s="69">
        <f t="shared" si="16"/>
        <v>4725.2704122910509</v>
      </c>
      <c r="D95" s="69">
        <f t="shared" si="15"/>
        <v>3894.4373709815045</v>
      </c>
      <c r="E95" s="69">
        <f t="shared" si="17"/>
        <v>365000</v>
      </c>
      <c r="F95" s="69">
        <f t="shared" si="18"/>
        <v>0</v>
      </c>
      <c r="G95" s="69">
        <f t="shared" si="19"/>
        <v>830.83304130954639</v>
      </c>
      <c r="H95" s="62">
        <f t="shared" si="20"/>
        <v>0</v>
      </c>
      <c r="I95" s="70">
        <f t="shared" si="21"/>
        <v>314746.31587843463</v>
      </c>
    </row>
    <row r="96" spans="2:9" ht="15" customHeight="1" x14ac:dyDescent="0.25">
      <c r="B96" s="68">
        <f t="shared" si="1"/>
        <v>69</v>
      </c>
      <c r="C96" s="69">
        <f t="shared" si="16"/>
        <v>4713.4094211228075</v>
      </c>
      <c r="D96" s="69">
        <f t="shared" si="15"/>
        <v>3894.4373709815045</v>
      </c>
      <c r="E96" s="69">
        <f t="shared" si="17"/>
        <v>363750</v>
      </c>
      <c r="F96" s="69">
        <f t="shared" si="18"/>
        <v>0</v>
      </c>
      <c r="G96" s="69">
        <f t="shared" si="19"/>
        <v>818.97205014130304</v>
      </c>
      <c r="H96" s="62">
        <f t="shared" si="20"/>
        <v>0</v>
      </c>
      <c r="I96" s="70">
        <f t="shared" si="21"/>
        <v>318551.85054686927</v>
      </c>
    </row>
    <row r="97" spans="2:9" ht="15" customHeight="1" x14ac:dyDescent="0.25">
      <c r="B97" s="68">
        <f t="shared" si="1"/>
        <v>70</v>
      </c>
      <c r="C97" s="69">
        <f t="shared" si="16"/>
        <v>4701.5484299545642</v>
      </c>
      <c r="D97" s="69">
        <f t="shared" si="15"/>
        <v>3894.4373709815045</v>
      </c>
      <c r="E97" s="69">
        <f t="shared" si="17"/>
        <v>362500</v>
      </c>
      <c r="F97" s="69">
        <f t="shared" si="18"/>
        <v>0</v>
      </c>
      <c r="G97" s="69">
        <f t="shared" si="19"/>
        <v>807.1110589730597</v>
      </c>
      <c r="H97" s="62">
        <f t="shared" si="20"/>
        <v>0</v>
      </c>
      <c r="I97" s="70">
        <f t="shared" si="21"/>
        <v>322381.63415460981</v>
      </c>
    </row>
    <row r="98" spans="2:9" ht="15" customHeight="1" x14ac:dyDescent="0.25">
      <c r="B98" s="68">
        <f t="shared" si="1"/>
        <v>71</v>
      </c>
      <c r="C98" s="69">
        <f t="shared" si="16"/>
        <v>4689.6874387863791</v>
      </c>
      <c r="D98" s="69">
        <f t="shared" si="15"/>
        <v>3894.4373709815045</v>
      </c>
      <c r="E98" s="69">
        <f t="shared" si="17"/>
        <v>361250</v>
      </c>
      <c r="F98" s="69">
        <f t="shared" si="18"/>
        <v>0</v>
      </c>
      <c r="G98" s="69">
        <f t="shared" si="19"/>
        <v>795.25006780487456</v>
      </c>
      <c r="H98" s="62">
        <f t="shared" si="20"/>
        <v>0</v>
      </c>
      <c r="I98" s="70">
        <f t="shared" si="21"/>
        <v>326235.89679482026</v>
      </c>
    </row>
    <row r="99" spans="2:9" ht="15" customHeight="1" x14ac:dyDescent="0.25">
      <c r="B99" s="68">
        <f t="shared" si="1"/>
        <v>72</v>
      </c>
      <c r="C99" s="69">
        <f t="shared" si="16"/>
        <v>4677.8264476181357</v>
      </c>
      <c r="D99" s="69">
        <f t="shared" si="15"/>
        <v>4255.4517152714898</v>
      </c>
      <c r="E99" s="69">
        <f t="shared" si="17"/>
        <v>360000</v>
      </c>
      <c r="F99" s="69">
        <f t="shared" si="18"/>
        <v>0</v>
      </c>
      <c r="G99" s="69">
        <f t="shared" si="19"/>
        <v>422.37473234664594</v>
      </c>
      <c r="H99" s="62">
        <f t="shared" si="20"/>
        <v>0</v>
      </c>
      <c r="I99" s="70">
        <f t="shared" si="21"/>
        <v>329753.85639968095</v>
      </c>
    </row>
    <row r="100" spans="2:9" ht="15" customHeight="1" x14ac:dyDescent="0.25">
      <c r="B100" s="68">
        <f t="shared" si="1"/>
        <v>73</v>
      </c>
      <c r="C100" s="69">
        <f t="shared" si="16"/>
        <v>4665.9654564498924</v>
      </c>
      <c r="D100" s="69">
        <f t="shared" si="15"/>
        <v>4255.4517152714898</v>
      </c>
      <c r="E100" s="69">
        <f t="shared" si="17"/>
        <v>358750</v>
      </c>
      <c r="F100" s="69">
        <f t="shared" si="18"/>
        <v>0</v>
      </c>
      <c r="G100" s="69">
        <f t="shared" si="19"/>
        <v>410.5137411784026</v>
      </c>
      <c r="H100" s="62">
        <f t="shared" si="20"/>
        <v>0</v>
      </c>
      <c r="I100" s="70">
        <f t="shared" si="21"/>
        <v>333293.33620361611</v>
      </c>
    </row>
    <row r="101" spans="2:9" ht="15" customHeight="1" x14ac:dyDescent="0.25">
      <c r="B101" s="68">
        <f t="shared" si="1"/>
        <v>74</v>
      </c>
      <c r="C101" s="69">
        <f t="shared" si="16"/>
        <v>4654.104465281649</v>
      </c>
      <c r="D101" s="69">
        <f t="shared" si="15"/>
        <v>4255.4517152714898</v>
      </c>
      <c r="E101" s="69">
        <f t="shared" si="17"/>
        <v>357500</v>
      </c>
      <c r="F101" s="69">
        <f t="shared" si="18"/>
        <v>0</v>
      </c>
      <c r="G101" s="69">
        <f t="shared" si="19"/>
        <v>398.65275001015925</v>
      </c>
      <c r="H101" s="62">
        <f t="shared" si="20"/>
        <v>0</v>
      </c>
      <c r="I101" s="70">
        <f t="shared" si="21"/>
        <v>336854.54040733876</v>
      </c>
    </row>
    <row r="102" spans="2:9" ht="15" customHeight="1" x14ac:dyDescent="0.25">
      <c r="B102" s="68">
        <f t="shared" si="1"/>
        <v>75</v>
      </c>
      <c r="C102" s="69">
        <f t="shared" si="16"/>
        <v>4642.2434741134639</v>
      </c>
      <c r="D102" s="69">
        <f t="shared" si="15"/>
        <v>4255.4517152714898</v>
      </c>
      <c r="E102" s="69">
        <f t="shared" si="17"/>
        <v>356250</v>
      </c>
      <c r="F102" s="69">
        <f t="shared" si="18"/>
        <v>0</v>
      </c>
      <c r="G102" s="69">
        <f t="shared" si="19"/>
        <v>386.79175884197412</v>
      </c>
      <c r="H102" s="62">
        <f t="shared" si="20"/>
        <v>0</v>
      </c>
      <c r="I102" s="70">
        <f t="shared" si="21"/>
        <v>340437.67514918011</v>
      </c>
    </row>
    <row r="103" spans="2:9" ht="15" customHeight="1" x14ac:dyDescent="0.25">
      <c r="B103" s="68">
        <f t="shared" si="1"/>
        <v>76</v>
      </c>
      <c r="C103" s="69">
        <f t="shared" si="16"/>
        <v>4630.3824829452205</v>
      </c>
      <c r="D103" s="69">
        <f t="shared" si="15"/>
        <v>4255.4517152714898</v>
      </c>
      <c r="E103" s="69">
        <f t="shared" si="17"/>
        <v>355000</v>
      </c>
      <c r="F103" s="69">
        <f t="shared" si="18"/>
        <v>0</v>
      </c>
      <c r="G103" s="69">
        <f t="shared" si="19"/>
        <v>374.93076767373077</v>
      </c>
      <c r="H103" s="62">
        <f t="shared" si="20"/>
        <v>0</v>
      </c>
      <c r="I103" s="70">
        <f t="shared" si="21"/>
        <v>344042.94852347526</v>
      </c>
    </row>
    <row r="104" spans="2:9" ht="15" customHeight="1" x14ac:dyDescent="0.25">
      <c r="B104" s="68">
        <f t="shared" si="1"/>
        <v>77</v>
      </c>
      <c r="C104" s="69">
        <f t="shared" si="16"/>
        <v>4618.5214917769772</v>
      </c>
      <c r="D104" s="69">
        <f t="shared" si="15"/>
        <v>4255.4517152714898</v>
      </c>
      <c r="E104" s="69">
        <f t="shared" si="17"/>
        <v>353750</v>
      </c>
      <c r="F104" s="69">
        <f t="shared" si="18"/>
        <v>0</v>
      </c>
      <c r="G104" s="69">
        <f t="shared" si="19"/>
        <v>363.06977650548743</v>
      </c>
      <c r="H104" s="62">
        <f t="shared" si="20"/>
        <v>0</v>
      </c>
      <c r="I104" s="70">
        <f t="shared" si="21"/>
        <v>347670.57059912343</v>
      </c>
    </row>
    <row r="105" spans="2:9" ht="15" customHeight="1" x14ac:dyDescent="0.25">
      <c r="B105" s="68">
        <f t="shared" si="1"/>
        <v>78</v>
      </c>
      <c r="C105" s="69">
        <f t="shared" si="16"/>
        <v>4606.6605006087339</v>
      </c>
      <c r="D105" s="69">
        <f t="shared" si="15"/>
        <v>4255.4517152714898</v>
      </c>
      <c r="E105" s="69">
        <f t="shared" si="17"/>
        <v>352500</v>
      </c>
      <c r="F105" s="69">
        <f t="shared" si="18"/>
        <v>0</v>
      </c>
      <c r="G105" s="69">
        <f t="shared" si="19"/>
        <v>351.20878533724408</v>
      </c>
      <c r="H105" s="62">
        <f t="shared" si="20"/>
        <v>0</v>
      </c>
      <c r="I105" s="70">
        <f t="shared" si="21"/>
        <v>351320.75343832409</v>
      </c>
    </row>
    <row r="106" spans="2:9" ht="15" customHeight="1" x14ac:dyDescent="0.25">
      <c r="B106" s="68">
        <f t="shared" si="1"/>
        <v>79</v>
      </c>
      <c r="C106" s="69">
        <f t="shared" si="16"/>
        <v>4594.7995094405487</v>
      </c>
      <c r="D106" s="69">
        <f t="shared" si="15"/>
        <v>4255.4517152714898</v>
      </c>
      <c r="E106" s="69">
        <f t="shared" si="17"/>
        <v>351250</v>
      </c>
      <c r="F106" s="69">
        <f t="shared" si="18"/>
        <v>0</v>
      </c>
      <c r="G106" s="69">
        <f t="shared" si="19"/>
        <v>339.34779416905894</v>
      </c>
      <c r="H106" s="62">
        <f t="shared" si="20"/>
        <v>0</v>
      </c>
      <c r="I106" s="70">
        <f t="shared" si="21"/>
        <v>354993.71111549111</v>
      </c>
    </row>
    <row r="107" spans="2:9" ht="15" customHeight="1" x14ac:dyDescent="0.25">
      <c r="B107" s="68">
        <f t="shared" si="1"/>
        <v>80</v>
      </c>
      <c r="C107" s="69">
        <f t="shared" si="16"/>
        <v>4582.9385182723054</v>
      </c>
      <c r="D107" s="69">
        <f t="shared" si="15"/>
        <v>4255.4517152714898</v>
      </c>
      <c r="E107" s="69">
        <f t="shared" si="17"/>
        <v>350000</v>
      </c>
      <c r="F107" s="69">
        <f t="shared" si="18"/>
        <v>0</v>
      </c>
      <c r="G107" s="69">
        <f t="shared" si="19"/>
        <v>327.4868030008156</v>
      </c>
      <c r="H107" s="62">
        <f t="shared" si="20"/>
        <v>0</v>
      </c>
      <c r="I107" s="70">
        <f t="shared" si="21"/>
        <v>358689.65973634599</v>
      </c>
    </row>
    <row r="108" spans="2:9" ht="15" customHeight="1" x14ac:dyDescent="0.25">
      <c r="B108" s="68">
        <f t="shared" si="1"/>
        <v>81</v>
      </c>
      <c r="C108" s="69">
        <f t="shared" si="16"/>
        <v>4571.077527104062</v>
      </c>
      <c r="D108" s="69">
        <f t="shared" si="15"/>
        <v>4255.4517152714898</v>
      </c>
      <c r="E108" s="69">
        <f t="shared" si="17"/>
        <v>348750</v>
      </c>
      <c r="F108" s="69">
        <f t="shared" si="18"/>
        <v>0</v>
      </c>
      <c r="G108" s="69">
        <f t="shared" si="19"/>
        <v>315.62581183257225</v>
      </c>
      <c r="H108" s="62">
        <f t="shared" si="20"/>
        <v>0</v>
      </c>
      <c r="I108" s="70">
        <f t="shared" si="21"/>
        <v>362408.81745719275</v>
      </c>
    </row>
    <row r="109" spans="2:9" ht="15" customHeight="1" x14ac:dyDescent="0.25">
      <c r="B109" s="68">
        <f t="shared" si="1"/>
        <v>82</v>
      </c>
      <c r="C109" s="69">
        <f t="shared" si="16"/>
        <v>4559.2165359358187</v>
      </c>
      <c r="D109" s="69">
        <f t="shared" si="15"/>
        <v>4255.4517152714898</v>
      </c>
      <c r="E109" s="69">
        <f t="shared" si="17"/>
        <v>347500</v>
      </c>
      <c r="F109" s="69">
        <f t="shared" si="18"/>
        <v>0</v>
      </c>
      <c r="G109" s="69">
        <f t="shared" si="19"/>
        <v>303.76482066432891</v>
      </c>
      <c r="H109" s="62">
        <f t="shared" si="20"/>
        <v>0</v>
      </c>
      <c r="I109" s="70">
        <f t="shared" si="21"/>
        <v>366151.40450437547</v>
      </c>
    </row>
    <row r="110" spans="2:9" ht="15" customHeight="1" x14ac:dyDescent="0.25">
      <c r="B110" s="68">
        <f t="shared" si="1"/>
        <v>83</v>
      </c>
      <c r="C110" s="69">
        <f t="shared" si="16"/>
        <v>4547.3555447676335</v>
      </c>
      <c r="D110" s="69">
        <f t="shared" si="15"/>
        <v>4255.4517152714898</v>
      </c>
      <c r="E110" s="69">
        <f t="shared" si="17"/>
        <v>346250</v>
      </c>
      <c r="F110" s="69">
        <f t="shared" si="18"/>
        <v>0</v>
      </c>
      <c r="G110" s="69">
        <f t="shared" si="19"/>
        <v>291.90382949614377</v>
      </c>
      <c r="H110" s="62">
        <f t="shared" si="20"/>
        <v>0</v>
      </c>
      <c r="I110" s="70">
        <f t="shared" si="21"/>
        <v>369917.64319392038</v>
      </c>
    </row>
    <row r="111" spans="2:9" ht="15" customHeight="1" x14ac:dyDescent="0.25">
      <c r="B111" s="68">
        <f t="shared" si="1"/>
        <v>84</v>
      </c>
      <c r="C111" s="69">
        <f t="shared" si="16"/>
        <v>4535.4945535993902</v>
      </c>
      <c r="D111" s="69">
        <f t="shared" si="15"/>
        <v>4649.9320892771566</v>
      </c>
      <c r="E111" s="69">
        <f t="shared" si="17"/>
        <v>345000</v>
      </c>
      <c r="F111" s="69">
        <f t="shared" si="18"/>
        <v>114.43753567776639</v>
      </c>
      <c r="G111" s="69">
        <f t="shared" si="19"/>
        <v>0</v>
      </c>
      <c r="H111" s="62">
        <f t="shared" si="20"/>
        <v>114.43753567776639</v>
      </c>
      <c r="I111" s="70">
        <f t="shared" si="21"/>
        <v>373427.71511303645</v>
      </c>
    </row>
    <row r="112" spans="2:9" ht="15" customHeight="1" x14ac:dyDescent="0.25">
      <c r="B112" s="68">
        <f t="shared" si="1"/>
        <v>85</v>
      </c>
      <c r="C112" s="69">
        <f t="shared" si="16"/>
        <v>4523.6335624311469</v>
      </c>
      <c r="D112" s="69">
        <f t="shared" si="15"/>
        <v>4649.9320892771566</v>
      </c>
      <c r="E112" s="69">
        <f t="shared" si="17"/>
        <v>343750</v>
      </c>
      <c r="F112" s="69">
        <f t="shared" si="18"/>
        <v>126.29852684600974</v>
      </c>
      <c r="G112" s="69">
        <f t="shared" si="19"/>
        <v>0</v>
      </c>
      <c r="H112" s="62">
        <f t="shared" si="20"/>
        <v>241.8219366037664</v>
      </c>
      <c r="I112" s="70">
        <f t="shared" si="21"/>
        <v>376971.09337777854</v>
      </c>
    </row>
    <row r="113" spans="2:9" ht="15" customHeight="1" x14ac:dyDescent="0.25">
      <c r="B113" s="68">
        <f t="shared" si="1"/>
        <v>86</v>
      </c>
      <c r="C113" s="69">
        <f t="shared" si="16"/>
        <v>4511.7725712629035</v>
      </c>
      <c r="D113" s="69">
        <f t="shared" si="15"/>
        <v>4649.9320892771566</v>
      </c>
      <c r="E113" s="69">
        <f t="shared" si="17"/>
        <v>342500</v>
      </c>
      <c r="F113" s="69">
        <f t="shared" si="18"/>
        <v>138.15951801425308</v>
      </c>
      <c r="G113" s="69">
        <f t="shared" si="19"/>
        <v>0</v>
      </c>
      <c r="H113" s="62">
        <f t="shared" si="20"/>
        <v>382.27605290149251</v>
      </c>
      <c r="I113" s="70">
        <f t="shared" si="21"/>
        <v>380548.09402516368</v>
      </c>
    </row>
    <row r="114" spans="2:9" ht="15" customHeight="1" x14ac:dyDescent="0.25">
      <c r="B114" s="68">
        <f t="shared" si="1"/>
        <v>87</v>
      </c>
      <c r="C114" s="69">
        <f t="shared" si="16"/>
        <v>4499.9115800947184</v>
      </c>
      <c r="D114" s="69">
        <f t="shared" si="15"/>
        <v>4649.9320892771566</v>
      </c>
      <c r="E114" s="69">
        <f t="shared" si="17"/>
        <v>341250</v>
      </c>
      <c r="F114" s="69">
        <f t="shared" si="18"/>
        <v>150.02050918243822</v>
      </c>
      <c r="G114" s="69">
        <f t="shared" si="19"/>
        <v>0</v>
      </c>
      <c r="H114" s="62">
        <f t="shared" si="20"/>
        <v>535.92390039376278</v>
      </c>
      <c r="I114" s="70">
        <f t="shared" si="21"/>
        <v>384159.0360910187</v>
      </c>
    </row>
    <row r="115" spans="2:9" ht="15" customHeight="1" x14ac:dyDescent="0.25">
      <c r="B115" s="68">
        <f t="shared" si="1"/>
        <v>88</v>
      </c>
      <c r="C115" s="69">
        <f t="shared" si="16"/>
        <v>4488.050588926475</v>
      </c>
      <c r="D115" s="69">
        <f t="shared" si="15"/>
        <v>4649.9320892771566</v>
      </c>
      <c r="E115" s="69">
        <f t="shared" si="17"/>
        <v>340000</v>
      </c>
      <c r="F115" s="69">
        <f t="shared" si="18"/>
        <v>161.88150035068156</v>
      </c>
      <c r="G115" s="69">
        <f t="shared" si="19"/>
        <v>0</v>
      </c>
      <c r="H115" s="62">
        <f t="shared" si="20"/>
        <v>702.8906716639749</v>
      </c>
      <c r="I115" s="70">
        <f t="shared" si="21"/>
        <v>387804.2416384354</v>
      </c>
    </row>
    <row r="116" spans="2:9" ht="15" customHeight="1" x14ac:dyDescent="0.25">
      <c r="B116" s="68">
        <f t="shared" si="1"/>
        <v>89</v>
      </c>
      <c r="C116" s="69">
        <f t="shared" si="16"/>
        <v>4476.1895977582317</v>
      </c>
      <c r="D116" s="69">
        <f t="shared" si="15"/>
        <v>4649.9320892771566</v>
      </c>
      <c r="E116" s="69">
        <f t="shared" si="17"/>
        <v>338750</v>
      </c>
      <c r="F116" s="69">
        <f t="shared" si="18"/>
        <v>173.74249151892491</v>
      </c>
      <c r="G116" s="69">
        <f t="shared" si="19"/>
        <v>0</v>
      </c>
      <c r="H116" s="62">
        <f t="shared" si="20"/>
        <v>883.3027472219693</v>
      </c>
      <c r="I116" s="70">
        <f t="shared" si="21"/>
        <v>391484.03578649554</v>
      </c>
    </row>
    <row r="117" spans="2:9" ht="15" customHeight="1" x14ac:dyDescent="0.25">
      <c r="B117" s="68">
        <f t="shared" si="1"/>
        <v>90</v>
      </c>
      <c r="C117" s="69">
        <f t="shared" si="16"/>
        <v>4464.3286065899883</v>
      </c>
      <c r="D117" s="69">
        <f t="shared" si="15"/>
        <v>4649.9320892771566</v>
      </c>
      <c r="E117" s="69">
        <f t="shared" si="17"/>
        <v>337500</v>
      </c>
      <c r="F117" s="69">
        <f t="shared" si="18"/>
        <v>185.60348268716825</v>
      </c>
      <c r="G117" s="69">
        <f t="shared" si="19"/>
        <v>0</v>
      </c>
      <c r="H117" s="62">
        <f t="shared" si="20"/>
        <v>1077.2877067760751</v>
      </c>
      <c r="I117" s="70">
        <f t="shared" si="21"/>
        <v>395198.74673926848</v>
      </c>
    </row>
    <row r="118" spans="2:9" ht="15" customHeight="1" x14ac:dyDescent="0.25">
      <c r="B118" s="68">
        <f t="shared" si="1"/>
        <v>91</v>
      </c>
      <c r="C118" s="69">
        <f t="shared" si="16"/>
        <v>4452.4676154218032</v>
      </c>
      <c r="D118" s="69">
        <f t="shared" si="15"/>
        <v>4649.9320892771566</v>
      </c>
      <c r="E118" s="69">
        <f t="shared" si="17"/>
        <v>336250</v>
      </c>
      <c r="F118" s="69">
        <f t="shared" si="18"/>
        <v>197.46447385535339</v>
      </c>
      <c r="G118" s="69">
        <f t="shared" si="19"/>
        <v>0</v>
      </c>
      <c r="H118" s="62">
        <f t="shared" si="20"/>
        <v>1284.9743406119985</v>
      </c>
      <c r="I118" s="70">
        <f t="shared" si="21"/>
        <v>398948.7058150841</v>
      </c>
    </row>
    <row r="119" spans="2:9" ht="15" customHeight="1" x14ac:dyDescent="0.25">
      <c r="B119" s="68">
        <f t="shared" si="1"/>
        <v>92</v>
      </c>
      <c r="C119" s="69">
        <f t="shared" si="16"/>
        <v>4440.6066242535599</v>
      </c>
      <c r="D119" s="69">
        <f t="shared" si="15"/>
        <v>4649.9320892771566</v>
      </c>
      <c r="E119" s="69">
        <f t="shared" si="17"/>
        <v>335000</v>
      </c>
      <c r="F119" s="69">
        <f t="shared" si="18"/>
        <v>209.32546502359673</v>
      </c>
      <c r="G119" s="69">
        <f t="shared" si="19"/>
        <v>0</v>
      </c>
      <c r="H119" s="62">
        <f t="shared" si="20"/>
        <v>1506.4926610799148</v>
      </c>
      <c r="I119" s="70">
        <f t="shared" si="21"/>
        <v>402734.24747608334</v>
      </c>
    </row>
    <row r="120" spans="2:9" ht="15" customHeight="1" x14ac:dyDescent="0.25">
      <c r="B120" s="68">
        <f t="shared" si="1"/>
        <v>93</v>
      </c>
      <c r="C120" s="69">
        <f t="shared" si="16"/>
        <v>4428.7456330853165</v>
      </c>
      <c r="D120" s="69">
        <f t="shared" si="15"/>
        <v>4649.9320892771566</v>
      </c>
      <c r="E120" s="69">
        <f t="shared" si="17"/>
        <v>333750</v>
      </c>
      <c r="F120" s="69">
        <f t="shared" si="18"/>
        <v>221.18645619184008</v>
      </c>
      <c r="G120" s="69">
        <f t="shared" si="19"/>
        <v>0</v>
      </c>
      <c r="H120" s="62">
        <f t="shared" si="20"/>
        <v>1741.9739141902112</v>
      </c>
      <c r="I120" s="70">
        <f t="shared" si="21"/>
        <v>406555.70935804903</v>
      </c>
    </row>
    <row r="121" spans="2:9" ht="15" customHeight="1" x14ac:dyDescent="0.25">
      <c r="B121" s="68">
        <f t="shared" si="1"/>
        <v>94</v>
      </c>
      <c r="C121" s="69">
        <f t="shared" si="16"/>
        <v>4416.8846419170732</v>
      </c>
      <c r="D121" s="69">
        <f t="shared" si="15"/>
        <v>4649.9320892771566</v>
      </c>
      <c r="E121" s="69">
        <f t="shared" si="17"/>
        <v>332500</v>
      </c>
      <c r="F121" s="69">
        <f t="shared" si="18"/>
        <v>233.04744736008342</v>
      </c>
      <c r="G121" s="69">
        <f t="shared" si="19"/>
        <v>0</v>
      </c>
      <c r="H121" s="62">
        <f t="shared" si="20"/>
        <v>1991.5505913194906</v>
      </c>
      <c r="I121" s="70">
        <f t="shared" si="21"/>
        <v>410413.43230052007</v>
      </c>
    </row>
    <row r="122" spans="2:9" ht="15" customHeight="1" x14ac:dyDescent="0.25">
      <c r="B122" s="68">
        <f t="shared" si="1"/>
        <v>95</v>
      </c>
      <c r="C122" s="69">
        <f t="shared" si="16"/>
        <v>4405.023650748888</v>
      </c>
      <c r="D122" s="69">
        <f t="shared" si="15"/>
        <v>4649.9320892771566</v>
      </c>
      <c r="E122" s="69">
        <f t="shared" si="17"/>
        <v>331250</v>
      </c>
      <c r="F122" s="69">
        <f t="shared" si="18"/>
        <v>244.90843852826856</v>
      </c>
      <c r="G122" s="69">
        <f t="shared" si="19"/>
        <v>0</v>
      </c>
      <c r="H122" s="62">
        <f t="shared" si="20"/>
        <v>2255.3564410275362</v>
      </c>
      <c r="I122" s="70">
        <f t="shared" si="21"/>
        <v>414307.76037719124</v>
      </c>
    </row>
    <row r="123" spans="2:9" ht="15" customHeight="1" x14ac:dyDescent="0.25">
      <c r="B123" s="68">
        <f t="shared" si="1"/>
        <v>96</v>
      </c>
      <c r="C123" s="69">
        <f t="shared" si="16"/>
        <v>4393.1626595806447</v>
      </c>
      <c r="D123" s="69">
        <f t="shared" si="15"/>
        <v>5080.9807939531493</v>
      </c>
      <c r="E123" s="69">
        <f t="shared" si="17"/>
        <v>330000</v>
      </c>
      <c r="F123" s="69">
        <f t="shared" si="18"/>
        <v>687.81813437250457</v>
      </c>
      <c r="G123" s="69">
        <f t="shared" si="19"/>
        <v>0</v>
      </c>
      <c r="H123" s="62">
        <f t="shared" si="20"/>
        <v>2964.5751856626293</v>
      </c>
      <c r="I123" s="70">
        <f t="shared" si="21"/>
        <v>418239.04092660127</v>
      </c>
    </row>
    <row r="124" spans="2:9" ht="15" customHeight="1" x14ac:dyDescent="0.25">
      <c r="B124" s="68">
        <f t="shared" si="1"/>
        <v>97</v>
      </c>
      <c r="C124" s="69">
        <f t="shared" si="16"/>
        <v>4381.3016684124013</v>
      </c>
      <c r="D124" s="69">
        <f t="shared" si="15"/>
        <v>5080.9807939531493</v>
      </c>
      <c r="E124" s="69">
        <f t="shared" si="17"/>
        <v>328750</v>
      </c>
      <c r="F124" s="69">
        <f t="shared" si="18"/>
        <v>699.67912554074792</v>
      </c>
      <c r="G124" s="69">
        <f t="shared" si="19"/>
        <v>0</v>
      </c>
      <c r="H124" s="62">
        <f t="shared" si="20"/>
        <v>3692.3845512791331</v>
      </c>
      <c r="I124" s="70">
        <f t="shared" si="21"/>
        <v>422207.62458311237</v>
      </c>
    </row>
    <row r="125" spans="2:9" ht="15" customHeight="1" x14ac:dyDescent="0.25">
      <c r="B125" s="68">
        <f t="shared" si="1"/>
        <v>98</v>
      </c>
      <c r="C125" s="69">
        <f t="shared" si="16"/>
        <v>4369.440677244158</v>
      </c>
      <c r="D125" s="69">
        <f t="shared" si="15"/>
        <v>5080.9807939531493</v>
      </c>
      <c r="E125" s="69">
        <f t="shared" si="17"/>
        <v>327500</v>
      </c>
      <c r="F125" s="69">
        <f t="shared" si="18"/>
        <v>711.54011670899126</v>
      </c>
      <c r="G125" s="69">
        <f t="shared" si="19"/>
        <v>0</v>
      </c>
      <c r="H125" s="62">
        <f t="shared" si="20"/>
        <v>4438.9609404300654</v>
      </c>
      <c r="I125" s="70">
        <f t="shared" si="21"/>
        <v>426213.86530818371</v>
      </c>
    </row>
    <row r="126" spans="2:9" ht="15" customHeight="1" x14ac:dyDescent="0.25">
      <c r="B126" s="68">
        <f t="shared" si="1"/>
        <v>99</v>
      </c>
      <c r="C126" s="69">
        <f t="shared" si="16"/>
        <v>4357.5796860759729</v>
      </c>
      <c r="D126" s="69">
        <f t="shared" si="15"/>
        <v>5080.9807939531493</v>
      </c>
      <c r="E126" s="69">
        <f t="shared" si="17"/>
        <v>326250</v>
      </c>
      <c r="F126" s="69">
        <f t="shared" si="18"/>
        <v>723.4011078771764</v>
      </c>
      <c r="G126" s="69">
        <f t="shared" si="19"/>
        <v>0</v>
      </c>
      <c r="H126" s="62">
        <f t="shared" si="20"/>
        <v>5204.482429515685</v>
      </c>
      <c r="I126" s="70">
        <f t="shared" si="21"/>
        <v>430258.12042194133</v>
      </c>
    </row>
    <row r="127" spans="2:9" ht="15" customHeight="1" x14ac:dyDescent="0.25">
      <c r="B127" s="68">
        <f t="shared" si="1"/>
        <v>100</v>
      </c>
      <c r="C127" s="69">
        <f t="shared" si="16"/>
        <v>4345.7186949077295</v>
      </c>
      <c r="D127" s="69">
        <f t="shared" si="15"/>
        <v>5080.9807939531493</v>
      </c>
      <c r="E127" s="69">
        <f t="shared" si="17"/>
        <v>325000</v>
      </c>
      <c r="F127" s="69">
        <f t="shared" si="18"/>
        <v>735.26209904541975</v>
      </c>
      <c r="G127" s="69">
        <f t="shared" si="19"/>
        <v>0</v>
      </c>
      <c r="H127" s="62">
        <f t="shared" si="20"/>
        <v>5989.1287846664545</v>
      </c>
      <c r="I127" s="70">
        <f t="shared" si="21"/>
        <v>434340.75063504803</v>
      </c>
    </row>
    <row r="128" spans="2:9" ht="15" customHeight="1" x14ac:dyDescent="0.25">
      <c r="B128" s="68">
        <f t="shared" si="1"/>
        <v>101</v>
      </c>
      <c r="C128" s="69">
        <f t="shared" si="16"/>
        <v>4333.8577037394862</v>
      </c>
      <c r="D128" s="69">
        <f t="shared" si="15"/>
        <v>5080.9807939531493</v>
      </c>
      <c r="E128" s="69">
        <f t="shared" si="17"/>
        <v>323750</v>
      </c>
      <c r="F128" s="69">
        <f t="shared" si="18"/>
        <v>747.12309021366309</v>
      </c>
      <c r="G128" s="69">
        <f t="shared" si="19"/>
        <v>0</v>
      </c>
      <c r="H128" s="62">
        <f t="shared" si="20"/>
        <v>6793.081477776369</v>
      </c>
      <c r="I128" s="70">
        <f t="shared" si="21"/>
        <v>438462.12008087535</v>
      </c>
    </row>
    <row r="129" spans="2:9" ht="15" customHeight="1" x14ac:dyDescent="0.25">
      <c r="B129" s="68">
        <f t="shared" si="1"/>
        <v>102</v>
      </c>
      <c r="C129" s="69">
        <f t="shared" si="16"/>
        <v>4321.9967125712428</v>
      </c>
      <c r="D129" s="69">
        <f t="shared" si="15"/>
        <v>5080.9807939531493</v>
      </c>
      <c r="E129" s="69">
        <f t="shared" si="17"/>
        <v>322500</v>
      </c>
      <c r="F129" s="69">
        <f t="shared" si="18"/>
        <v>758.98408138190644</v>
      </c>
      <c r="G129" s="69">
        <f t="shared" si="19"/>
        <v>0</v>
      </c>
      <c r="H129" s="62">
        <f t="shared" si="20"/>
        <v>7616.5237026886471</v>
      </c>
      <c r="I129" s="70">
        <f t="shared" si="21"/>
        <v>442622.59634798107</v>
      </c>
    </row>
    <row r="130" spans="2:9" ht="15" customHeight="1" x14ac:dyDescent="0.25">
      <c r="B130" s="68">
        <f t="shared" si="1"/>
        <v>103</v>
      </c>
      <c r="C130" s="69">
        <f t="shared" si="16"/>
        <v>4310.1357214030577</v>
      </c>
      <c r="D130" s="69">
        <f t="shared" si="15"/>
        <v>5080.9807939531493</v>
      </c>
      <c r="E130" s="69">
        <f t="shared" si="17"/>
        <v>321250</v>
      </c>
      <c r="F130" s="69">
        <f t="shared" si="18"/>
        <v>770.84507255009157</v>
      </c>
      <c r="G130" s="69">
        <f t="shared" si="19"/>
        <v>0</v>
      </c>
      <c r="H130" s="62">
        <f t="shared" si="20"/>
        <v>8459.6403915348947</v>
      </c>
      <c r="I130" s="70">
        <f t="shared" si="21"/>
        <v>446822.55051289458</v>
      </c>
    </row>
    <row r="131" spans="2:9" ht="15" customHeight="1" x14ac:dyDescent="0.25">
      <c r="B131" s="68">
        <f t="shared" si="1"/>
        <v>104</v>
      </c>
      <c r="C131" s="69">
        <f t="shared" si="16"/>
        <v>4298.2747302348143</v>
      </c>
      <c r="D131" s="69">
        <f t="shared" si="15"/>
        <v>5080.9807939531493</v>
      </c>
      <c r="E131" s="69">
        <f t="shared" si="17"/>
        <v>320000</v>
      </c>
      <c r="F131" s="69">
        <f t="shared" si="18"/>
        <v>782.70606371833492</v>
      </c>
      <c r="G131" s="69">
        <f t="shared" si="19"/>
        <v>0</v>
      </c>
      <c r="H131" s="62">
        <f t="shared" si="20"/>
        <v>9322.6182312295387</v>
      </c>
      <c r="I131" s="70">
        <f t="shared" si="21"/>
        <v>451062.35717321374</v>
      </c>
    </row>
    <row r="132" spans="2:9" ht="15" customHeight="1" x14ac:dyDescent="0.25">
      <c r="B132" s="68">
        <f t="shared" si="1"/>
        <v>105</v>
      </c>
      <c r="C132" s="69">
        <f t="shared" si="16"/>
        <v>4286.413739066571</v>
      </c>
      <c r="D132" s="69">
        <f t="shared" si="15"/>
        <v>5080.9807939531493</v>
      </c>
      <c r="E132" s="69">
        <f t="shared" si="17"/>
        <v>318750</v>
      </c>
      <c r="F132" s="69">
        <f t="shared" si="18"/>
        <v>794.56705488657826</v>
      </c>
      <c r="G132" s="69">
        <f t="shared" si="19"/>
        <v>0</v>
      </c>
      <c r="H132" s="62">
        <f t="shared" si="20"/>
        <v>10205.645680120422</v>
      </c>
      <c r="I132" s="70">
        <f t="shared" si="21"/>
        <v>455342.39448101528</v>
      </c>
    </row>
    <row r="133" spans="2:9" ht="15" customHeight="1" x14ac:dyDescent="0.25">
      <c r="B133" s="68">
        <f t="shared" si="1"/>
        <v>106</v>
      </c>
      <c r="C133" s="69">
        <f t="shared" si="16"/>
        <v>4274.5527478983277</v>
      </c>
      <c r="D133" s="69">
        <f t="shared" si="15"/>
        <v>5080.9807939531493</v>
      </c>
      <c r="E133" s="69">
        <f t="shared" si="17"/>
        <v>317500</v>
      </c>
      <c r="F133" s="69">
        <f t="shared" si="18"/>
        <v>806.42804605482161</v>
      </c>
      <c r="G133" s="69">
        <f t="shared" si="19"/>
        <v>0</v>
      </c>
      <c r="H133" s="62">
        <f t="shared" si="20"/>
        <v>11108.912984797629</v>
      </c>
      <c r="I133" s="70">
        <f t="shared" si="21"/>
        <v>459663.04417658289</v>
      </c>
    </row>
    <row r="134" spans="2:9" ht="15" customHeight="1" x14ac:dyDescent="0.25">
      <c r="B134" s="68">
        <f t="shared" si="1"/>
        <v>107</v>
      </c>
      <c r="C134" s="69">
        <f t="shared" si="16"/>
        <v>4262.6917567301425</v>
      </c>
      <c r="D134" s="69">
        <f t="shared" si="15"/>
        <v>5080.9807939531493</v>
      </c>
      <c r="E134" s="69">
        <f t="shared" si="17"/>
        <v>316250</v>
      </c>
      <c r="F134" s="69">
        <f t="shared" si="18"/>
        <v>818.28903722300674</v>
      </c>
      <c r="G134" s="69">
        <f t="shared" si="19"/>
        <v>0</v>
      </c>
      <c r="H134" s="62">
        <f t="shared" si="20"/>
        <v>12032.612197061682</v>
      </c>
      <c r="I134" s="70">
        <f t="shared" si="21"/>
        <v>464024.69162245456</v>
      </c>
    </row>
    <row r="135" spans="2:9" ht="15" customHeight="1" x14ac:dyDescent="0.25">
      <c r="B135" s="68">
        <f t="shared" si="1"/>
        <v>108</v>
      </c>
      <c r="C135" s="69">
        <f t="shared" si="16"/>
        <v>4250.8307655618992</v>
      </c>
      <c r="D135" s="69">
        <f t="shared" si="15"/>
        <v>5551.9877135526058</v>
      </c>
      <c r="E135" s="69">
        <f t="shared" si="17"/>
        <v>315000</v>
      </c>
      <c r="F135" s="69">
        <f t="shared" si="18"/>
        <v>1301.1569479907066</v>
      </c>
      <c r="G135" s="69">
        <f t="shared" si="19"/>
        <v>0</v>
      </c>
      <c r="H135" s="62">
        <f t="shared" si="20"/>
        <v>13447.944110652446</v>
      </c>
      <c r="I135" s="70">
        <f t="shared" si="21"/>
        <v>468427.72583779378</v>
      </c>
    </row>
    <row r="136" spans="2:9" ht="15" customHeight="1" x14ac:dyDescent="0.25">
      <c r="B136" s="68">
        <f t="shared" si="1"/>
        <v>109</v>
      </c>
      <c r="C136" s="69">
        <f t="shared" si="16"/>
        <v>4238.9697743936558</v>
      </c>
      <c r="D136" s="69">
        <f t="shared" si="15"/>
        <v>5551.9877135526058</v>
      </c>
      <c r="E136" s="69">
        <f t="shared" si="17"/>
        <v>313750</v>
      </c>
      <c r="F136" s="69">
        <f t="shared" si="18"/>
        <v>1313.01793915895</v>
      </c>
      <c r="G136" s="69">
        <f t="shared" si="19"/>
        <v>0</v>
      </c>
      <c r="H136" s="62">
        <f t="shared" si="20"/>
        <v>14888.566806873223</v>
      </c>
      <c r="I136" s="70">
        <f t="shared" si="21"/>
        <v>472872.53953308624</v>
      </c>
    </row>
    <row r="137" spans="2:9" ht="15" customHeight="1" x14ac:dyDescent="0.25">
      <c r="B137" s="68">
        <f t="shared" si="1"/>
        <v>110</v>
      </c>
      <c r="C137" s="69">
        <f t="shared" si="16"/>
        <v>4227.1087832254125</v>
      </c>
      <c r="D137" s="69">
        <f t="shared" si="15"/>
        <v>5551.9877135526058</v>
      </c>
      <c r="E137" s="69">
        <f t="shared" si="17"/>
        <v>312500</v>
      </c>
      <c r="F137" s="69">
        <f t="shared" si="18"/>
        <v>1324.8789303271933</v>
      </c>
      <c r="G137" s="69">
        <f t="shared" si="19"/>
        <v>0</v>
      </c>
      <c r="H137" s="62">
        <f t="shared" si="20"/>
        <v>16354.720264723543</v>
      </c>
      <c r="I137" s="70">
        <f t="shared" si="21"/>
        <v>477359.5291451661</v>
      </c>
    </row>
    <row r="138" spans="2:9" ht="15" customHeight="1" x14ac:dyDescent="0.25">
      <c r="B138" s="68">
        <f t="shared" si="1"/>
        <v>111</v>
      </c>
      <c r="C138" s="69">
        <f t="shared" si="16"/>
        <v>4215.2477920572273</v>
      </c>
      <c r="D138" s="69">
        <f t="shared" si="15"/>
        <v>5551.9877135526058</v>
      </c>
      <c r="E138" s="69">
        <f t="shared" si="17"/>
        <v>311250</v>
      </c>
      <c r="F138" s="69">
        <f t="shared" si="18"/>
        <v>1336.7399214953784</v>
      </c>
      <c r="G138" s="69">
        <f t="shared" si="19"/>
        <v>0</v>
      </c>
      <c r="H138" s="62">
        <f t="shared" si="20"/>
        <v>17846.64674031391</v>
      </c>
      <c r="I138" s="70">
        <f t="shared" si="21"/>
        <v>481889.09487257467</v>
      </c>
    </row>
    <row r="139" spans="2:9" ht="15" customHeight="1" x14ac:dyDescent="0.25">
      <c r="B139" s="68">
        <f t="shared" si="1"/>
        <v>112</v>
      </c>
      <c r="C139" s="69">
        <f t="shared" si="16"/>
        <v>4203.386800888984</v>
      </c>
      <c r="D139" s="69">
        <f t="shared" si="15"/>
        <v>5551.9877135526058</v>
      </c>
      <c r="E139" s="69">
        <f t="shared" si="17"/>
        <v>310000</v>
      </c>
      <c r="F139" s="69">
        <f t="shared" si="18"/>
        <v>1348.6009126636218</v>
      </c>
      <c r="G139" s="69">
        <f t="shared" si="19"/>
        <v>0</v>
      </c>
      <c r="H139" s="62">
        <f t="shared" si="20"/>
        <v>19364.590788473026</v>
      </c>
      <c r="I139" s="70">
        <f t="shared" si="21"/>
        <v>486461.64071125415</v>
      </c>
    </row>
    <row r="140" spans="2:9" ht="15" customHeight="1" x14ac:dyDescent="0.25">
      <c r="B140" s="68">
        <f t="shared" si="1"/>
        <v>113</v>
      </c>
      <c r="C140" s="69">
        <f t="shared" si="16"/>
        <v>4191.5258097207407</v>
      </c>
      <c r="D140" s="69">
        <f t="shared" si="15"/>
        <v>5551.9877135526058</v>
      </c>
      <c r="E140" s="69">
        <f t="shared" si="17"/>
        <v>308750</v>
      </c>
      <c r="F140" s="69">
        <f t="shared" si="18"/>
        <v>1360.4619038318651</v>
      </c>
      <c r="G140" s="69">
        <f t="shared" si="19"/>
        <v>0</v>
      </c>
      <c r="H140" s="62">
        <f t="shared" si="20"/>
        <v>20908.799284559645</v>
      </c>
      <c r="I140" s="70">
        <f t="shared" si="21"/>
        <v>491077.57449058077</v>
      </c>
    </row>
    <row r="141" spans="2:9" ht="15" customHeight="1" x14ac:dyDescent="0.25">
      <c r="B141" s="68">
        <f t="shared" si="1"/>
        <v>114</v>
      </c>
      <c r="C141" s="69">
        <f t="shared" si="16"/>
        <v>4179.6648185524973</v>
      </c>
      <c r="D141" s="69">
        <f t="shared" si="15"/>
        <v>5551.9877135526058</v>
      </c>
      <c r="E141" s="69">
        <f t="shared" si="17"/>
        <v>307500</v>
      </c>
      <c r="F141" s="69">
        <f t="shared" si="18"/>
        <v>1372.3228950001085</v>
      </c>
      <c r="G141" s="69">
        <f t="shared" si="19"/>
        <v>0</v>
      </c>
      <c r="H141" s="62">
        <f t="shared" si="20"/>
        <v>22479.521446481696</v>
      </c>
      <c r="I141" s="70">
        <f t="shared" si="21"/>
        <v>495737.30790973915</v>
      </c>
    </row>
    <row r="142" spans="2:9" ht="15" customHeight="1" x14ac:dyDescent="0.25">
      <c r="B142" s="68">
        <f t="shared" si="1"/>
        <v>115</v>
      </c>
      <c r="C142" s="69">
        <f t="shared" si="16"/>
        <v>4167.8038273843122</v>
      </c>
      <c r="D142" s="69">
        <f t="shared" si="15"/>
        <v>5551.9877135526058</v>
      </c>
      <c r="E142" s="69">
        <f t="shared" si="17"/>
        <v>306250</v>
      </c>
      <c r="F142" s="69">
        <f t="shared" si="18"/>
        <v>1384.1838861682936</v>
      </c>
      <c r="G142" s="69">
        <f t="shared" si="19"/>
        <v>0</v>
      </c>
      <c r="H142" s="62">
        <f t="shared" si="20"/>
        <v>24077.008856924171</v>
      </c>
      <c r="I142" s="70">
        <f t="shared" si="21"/>
        <v>500441.25657444232</v>
      </c>
    </row>
    <row r="143" spans="2:9" ht="15" customHeight="1" x14ac:dyDescent="0.25">
      <c r="B143" s="68">
        <f t="shared" si="1"/>
        <v>116</v>
      </c>
      <c r="C143" s="69">
        <f t="shared" si="16"/>
        <v>4155.9428362160688</v>
      </c>
      <c r="D143" s="69">
        <f t="shared" si="15"/>
        <v>5551.9877135526058</v>
      </c>
      <c r="E143" s="69">
        <f t="shared" si="17"/>
        <v>305000</v>
      </c>
      <c r="F143" s="69">
        <f t="shared" si="18"/>
        <v>1396.044877336537</v>
      </c>
      <c r="G143" s="69">
        <f t="shared" si="19"/>
        <v>0</v>
      </c>
      <c r="H143" s="62">
        <f t="shared" si="20"/>
        <v>25701.515485788186</v>
      </c>
      <c r="I143" s="70">
        <f t="shared" si="21"/>
        <v>505189.84003399976</v>
      </c>
    </row>
    <row r="144" spans="2:9" ht="15" customHeight="1" x14ac:dyDescent="0.25">
      <c r="B144" s="68">
        <f t="shared" si="1"/>
        <v>117</v>
      </c>
      <c r="C144" s="69">
        <f t="shared" si="16"/>
        <v>4144.0818450478255</v>
      </c>
      <c r="D144" s="69">
        <f t="shared" si="15"/>
        <v>5551.9877135526058</v>
      </c>
      <c r="E144" s="69">
        <f t="shared" si="17"/>
        <v>303750</v>
      </c>
      <c r="F144" s="69">
        <f t="shared" si="18"/>
        <v>1407.9058685047803</v>
      </c>
      <c r="G144" s="69">
        <f t="shared" si="19"/>
        <v>0</v>
      </c>
      <c r="H144" s="62">
        <f t="shared" si="20"/>
        <v>27353.297712842592</v>
      </c>
      <c r="I144" s="70">
        <f t="shared" si="21"/>
        <v>509983.48181873752</v>
      </c>
    </row>
    <row r="145" spans="2:9" ht="15" customHeight="1" x14ac:dyDescent="0.25">
      <c r="B145" s="68">
        <f t="shared" si="1"/>
        <v>118</v>
      </c>
      <c r="C145" s="69">
        <f t="shared" si="16"/>
        <v>4132.2208538795821</v>
      </c>
      <c r="D145" s="69">
        <f t="shared" si="15"/>
        <v>5551.9877135526058</v>
      </c>
      <c r="E145" s="69">
        <f t="shared" si="17"/>
        <v>302500</v>
      </c>
      <c r="F145" s="69">
        <f t="shared" si="18"/>
        <v>1419.7668596730236</v>
      </c>
      <c r="G145" s="69">
        <f t="shared" si="19"/>
        <v>0</v>
      </c>
      <c r="H145" s="62">
        <f t="shared" si="20"/>
        <v>29032.614350590782</v>
      </c>
      <c r="I145" s="70">
        <f t="shared" si="21"/>
        <v>514822.60947777319</v>
      </c>
    </row>
    <row r="146" spans="2:9" ht="15" customHeight="1" x14ac:dyDescent="0.25">
      <c r="B146" s="68">
        <f t="shared" si="1"/>
        <v>119</v>
      </c>
      <c r="C146" s="69">
        <f t="shared" si="16"/>
        <v>4120.359862711397</v>
      </c>
      <c r="D146" s="69">
        <f t="shared" si="15"/>
        <v>5551.9877135526058</v>
      </c>
      <c r="E146" s="69">
        <f t="shared" si="17"/>
        <v>301250</v>
      </c>
      <c r="F146" s="69">
        <f t="shared" si="18"/>
        <v>1431.6278508412088</v>
      </c>
      <c r="G146" s="69">
        <f t="shared" si="19"/>
        <v>0</v>
      </c>
      <c r="H146" s="62">
        <f t="shared" si="20"/>
        <v>30739.726667354349</v>
      </c>
      <c r="I146" s="70">
        <f t="shared" si="21"/>
        <v>519707.6546171495</v>
      </c>
    </row>
    <row r="147" spans="2:9" ht="15" customHeight="1" x14ac:dyDescent="0.25">
      <c r="B147" s="68">
        <f t="shared" si="1"/>
        <v>120</v>
      </c>
      <c r="C147" s="69">
        <f t="shared" si="16"/>
        <v>4108.4988715431537</v>
      </c>
      <c r="D147" s="69">
        <f t="shared" si="15"/>
        <v>6066.6569745989327</v>
      </c>
      <c r="E147" s="69">
        <f t="shared" si="17"/>
        <v>300000</v>
      </c>
      <c r="F147" s="69">
        <f t="shared" si="18"/>
        <v>1958.1581030557791</v>
      </c>
      <c r="G147" s="69">
        <f t="shared" si="19"/>
        <v>0</v>
      </c>
      <c r="H147" s="62">
        <f t="shared" si="20"/>
        <v>32989.567671622339</v>
      </c>
      <c r="I147" s="70">
        <f t="shared" si="21"/>
        <v>524639.05293832941</v>
      </c>
    </row>
    <row r="148" spans="2:9" ht="15" customHeight="1" x14ac:dyDescent="0.25">
      <c r="B148" s="68">
        <f t="shared" si="1"/>
        <v>121</v>
      </c>
      <c r="C148" s="69">
        <f t="shared" si="16"/>
        <v>4096.6378803749103</v>
      </c>
      <c r="D148" s="69">
        <f t="shared" si="15"/>
        <v>6066.6569745989327</v>
      </c>
      <c r="E148" s="69">
        <f t="shared" si="17"/>
        <v>298750</v>
      </c>
      <c r="F148" s="69">
        <f t="shared" si="18"/>
        <v>1970.0190942240224</v>
      </c>
      <c r="G148" s="69">
        <f t="shared" si="19"/>
        <v>0</v>
      </c>
      <c r="H148" s="62">
        <f t="shared" si="20"/>
        <v>35272.617942483797</v>
      </c>
      <c r="I148" s="70">
        <f t="shared" si="21"/>
        <v>529617.24427705701</v>
      </c>
    </row>
    <row r="149" spans="2:9" ht="15" customHeight="1" x14ac:dyDescent="0.25">
      <c r="B149" s="68">
        <f t="shared" si="1"/>
        <v>122</v>
      </c>
      <c r="C149" s="69">
        <f t="shared" si="16"/>
        <v>4084.776889206667</v>
      </c>
      <c r="D149" s="69">
        <f t="shared" si="15"/>
        <v>6066.6569745989327</v>
      </c>
      <c r="E149" s="69">
        <f t="shared" si="17"/>
        <v>297500</v>
      </c>
      <c r="F149" s="69">
        <f t="shared" si="18"/>
        <v>1981.8800853922658</v>
      </c>
      <c r="G149" s="69">
        <f t="shared" si="19"/>
        <v>0</v>
      </c>
      <c r="H149" s="62">
        <f t="shared" si="20"/>
        <v>37589.192595792949</v>
      </c>
      <c r="I149" s="70">
        <f t="shared" si="21"/>
        <v>534642.67264258652</v>
      </c>
    </row>
    <row r="150" spans="2:9" ht="15" customHeight="1" x14ac:dyDescent="0.25">
      <c r="B150" s="68">
        <f t="shared" si="1"/>
        <v>123</v>
      </c>
      <c r="C150" s="69">
        <f t="shared" si="16"/>
        <v>4072.9158980384818</v>
      </c>
      <c r="D150" s="69">
        <f t="shared" si="15"/>
        <v>6066.6569745989327</v>
      </c>
      <c r="E150" s="69">
        <f t="shared" si="17"/>
        <v>296250</v>
      </c>
      <c r="F150" s="69">
        <f t="shared" si="18"/>
        <v>1993.7410765604509</v>
      </c>
      <c r="G150" s="69">
        <f t="shared" si="19"/>
        <v>0</v>
      </c>
      <c r="H150" s="62">
        <f t="shared" si="20"/>
        <v>39939.609737473038</v>
      </c>
      <c r="I150" s="70">
        <f t="shared" si="21"/>
        <v>539715.78625728411</v>
      </c>
    </row>
    <row r="151" spans="2:9" ht="15" customHeight="1" x14ac:dyDescent="0.25">
      <c r="B151" s="68">
        <f t="shared" si="1"/>
        <v>124</v>
      </c>
      <c r="C151" s="69">
        <f t="shared" si="16"/>
        <v>4061.0549068702385</v>
      </c>
      <c r="D151" s="69">
        <f t="shared" si="15"/>
        <v>6066.6569745989327</v>
      </c>
      <c r="E151" s="69">
        <f t="shared" si="17"/>
        <v>295000</v>
      </c>
      <c r="F151" s="69">
        <f t="shared" si="18"/>
        <v>2005.6020677286942</v>
      </c>
      <c r="G151" s="69">
        <f t="shared" si="19"/>
        <v>0</v>
      </c>
      <c r="H151" s="62">
        <f t="shared" si="20"/>
        <v>42324.190491888672</v>
      </c>
      <c r="I151" s="70">
        <f t="shared" si="21"/>
        <v>544837.03759660514</v>
      </c>
    </row>
    <row r="152" spans="2:9" ht="15" customHeight="1" x14ac:dyDescent="0.25">
      <c r="B152" s="68">
        <f t="shared" si="1"/>
        <v>125</v>
      </c>
      <c r="C152" s="69">
        <f t="shared" si="16"/>
        <v>4049.1939157019951</v>
      </c>
      <c r="D152" s="69">
        <f t="shared" si="15"/>
        <v>6066.6569745989327</v>
      </c>
      <c r="E152" s="69">
        <f t="shared" si="17"/>
        <v>293750</v>
      </c>
      <c r="F152" s="69">
        <f t="shared" si="18"/>
        <v>2017.4630588969376</v>
      </c>
      <c r="G152" s="69">
        <f t="shared" si="19"/>
        <v>0</v>
      </c>
      <c r="H152" s="62">
        <f t="shared" si="20"/>
        <v>44743.259030486988</v>
      </c>
      <c r="I152" s="70">
        <f t="shared" si="21"/>
        <v>550006.88342945091</v>
      </c>
    </row>
    <row r="153" spans="2:9" ht="15" customHeight="1" x14ac:dyDescent="0.25">
      <c r="B153" s="68">
        <f t="shared" si="1"/>
        <v>126</v>
      </c>
      <c r="C153" s="69">
        <f t="shared" si="16"/>
        <v>4037.3329245337518</v>
      </c>
      <c r="D153" s="69">
        <f t="shared" si="15"/>
        <v>6066.6569745989327</v>
      </c>
      <c r="E153" s="69">
        <f t="shared" si="17"/>
        <v>292500</v>
      </c>
      <c r="F153" s="69">
        <f t="shared" si="18"/>
        <v>2029.3240500651809</v>
      </c>
      <c r="G153" s="69">
        <f t="shared" si="19"/>
        <v>0</v>
      </c>
      <c r="H153" s="62">
        <f t="shared" si="20"/>
        <v>47197.142600710875</v>
      </c>
      <c r="I153" s="70">
        <f t="shared" si="21"/>
        <v>555225.78485890827</v>
      </c>
    </row>
    <row r="154" spans="2:9" ht="15" customHeight="1" x14ac:dyDescent="0.25">
      <c r="B154" s="68">
        <f t="shared" si="1"/>
        <v>127</v>
      </c>
      <c r="C154" s="69">
        <f t="shared" si="16"/>
        <v>4025.4719333655667</v>
      </c>
      <c r="D154" s="69">
        <f t="shared" si="15"/>
        <v>6066.6569745989327</v>
      </c>
      <c r="E154" s="69">
        <f t="shared" si="17"/>
        <v>291250</v>
      </c>
      <c r="F154" s="69">
        <f t="shared" si="18"/>
        <v>2041.1850412333661</v>
      </c>
      <c r="G154" s="69">
        <f t="shared" si="19"/>
        <v>0</v>
      </c>
      <c r="H154" s="62">
        <f t="shared" si="20"/>
        <v>49686.171555186374</v>
      </c>
      <c r="I154" s="70">
        <f t="shared" si="21"/>
        <v>560494.20736337581</v>
      </c>
    </row>
    <row r="155" spans="2:9" ht="15" customHeight="1" x14ac:dyDescent="0.25">
      <c r="B155" s="68">
        <f t="shared" si="1"/>
        <v>128</v>
      </c>
      <c r="C155" s="69">
        <f t="shared" si="16"/>
        <v>4013.6109421973233</v>
      </c>
      <c r="D155" s="69">
        <f t="shared" si="15"/>
        <v>6066.6569745989327</v>
      </c>
      <c r="E155" s="69">
        <f t="shared" si="17"/>
        <v>290000</v>
      </c>
      <c r="F155" s="69">
        <f t="shared" si="18"/>
        <v>2053.0460324016094</v>
      </c>
      <c r="G155" s="69">
        <f t="shared" si="19"/>
        <v>0</v>
      </c>
      <c r="H155" s="62">
        <f t="shared" si="20"/>
        <v>52210.679381187314</v>
      </c>
      <c r="I155" s="70">
        <f t="shared" si="21"/>
        <v>565812.62083808018</v>
      </c>
    </row>
    <row r="156" spans="2:9" ht="15" customHeight="1" x14ac:dyDescent="0.25">
      <c r="B156" s="68">
        <f t="shared" si="1"/>
        <v>129</v>
      </c>
      <c r="C156" s="69">
        <f t="shared" si="16"/>
        <v>4001.74995102908</v>
      </c>
      <c r="D156" s="69">
        <f t="shared" si="15"/>
        <v>6066.6569745989327</v>
      </c>
      <c r="E156" s="69">
        <f t="shared" si="17"/>
        <v>288750</v>
      </c>
      <c r="F156" s="69">
        <f t="shared" si="18"/>
        <v>2064.9070235698528</v>
      </c>
      <c r="G156" s="69">
        <f t="shared" si="19"/>
        <v>0</v>
      </c>
      <c r="H156" s="62">
        <f t="shared" si="20"/>
        <v>54771.002730379158</v>
      </c>
      <c r="I156" s="70">
        <f t="shared" si="21"/>
        <v>571181.49963698653</v>
      </c>
    </row>
    <row r="157" spans="2:9" ht="15" customHeight="1" x14ac:dyDescent="0.25">
      <c r="B157" s="68">
        <f t="shared" si="1"/>
        <v>130</v>
      </c>
      <c r="C157" s="69">
        <f t="shared" ref="C157:C220" si="22">IF(B157="","",(($C$3-$F$3)/$F$5)+(((E156*($F$6+1)^(1/12))-E156)))</f>
        <v>3989.8889598608366</v>
      </c>
      <c r="D157" s="69">
        <f t="shared" si="15"/>
        <v>6066.6569745989327</v>
      </c>
      <c r="E157" s="69">
        <f t="shared" ref="E157:E220" si="23">IF(OR(E156=0,E156=""),"",E156-(($C$3-$F$3)/$F$5))</f>
        <v>287500</v>
      </c>
      <c r="F157" s="69">
        <f t="shared" ref="F157:F220" si="24">IF(B157="","",IF(D157&gt;C157,D157-C157,0))</f>
        <v>2076.7680147380961</v>
      </c>
      <c r="G157" s="69">
        <f t="shared" ref="G157:G220" si="25">IF(B157="","",IF(C157&gt;D157,C157-D157,0))</f>
        <v>0</v>
      </c>
      <c r="H157" s="62">
        <f t="shared" ref="H157:H220" si="26">IF(B157="","",(H156*(($I$5+1)^(1/12)))+F157)</f>
        <v>57367.481448845305</v>
      </c>
      <c r="I157" s="70">
        <f t="shared" ref="I157:I220" si="27">IF(B157="","",((I156*(($I$5+1)^(1/12)))+G157))</f>
        <v>576601.32261510647</v>
      </c>
    </row>
    <row r="158" spans="2:9" ht="15" customHeight="1" x14ac:dyDescent="0.25">
      <c r="B158" s="68">
        <f t="shared" si="1"/>
        <v>131</v>
      </c>
      <c r="C158" s="69">
        <f t="shared" si="22"/>
        <v>3978.0279686926515</v>
      </c>
      <c r="D158" s="69">
        <f t="shared" si="15"/>
        <v>6066.6569745989327</v>
      </c>
      <c r="E158" s="69">
        <f t="shared" si="23"/>
        <v>286250</v>
      </c>
      <c r="F158" s="69">
        <f t="shared" si="24"/>
        <v>2088.6290059062812</v>
      </c>
      <c r="G158" s="69">
        <f t="shared" si="25"/>
        <v>0</v>
      </c>
      <c r="H158" s="62">
        <f t="shared" si="26"/>
        <v>60000.458607398214</v>
      </c>
      <c r="I158" s="70">
        <f t="shared" si="27"/>
        <v>582072.57317120791</v>
      </c>
    </row>
    <row r="159" spans="2:9" ht="15" customHeight="1" x14ac:dyDescent="0.25">
      <c r="B159" s="68">
        <f t="shared" si="1"/>
        <v>132</v>
      </c>
      <c r="C159" s="69">
        <f t="shared" si="22"/>
        <v>3966.1669775244081</v>
      </c>
      <c r="D159" s="69">
        <f t="shared" si="15"/>
        <v>6629.0360761442535</v>
      </c>
      <c r="E159" s="69">
        <f t="shared" si="23"/>
        <v>285000</v>
      </c>
      <c r="F159" s="69">
        <f t="shared" si="24"/>
        <v>2662.8690986198453</v>
      </c>
      <c r="G159" s="69">
        <f t="shared" si="25"/>
        <v>0</v>
      </c>
      <c r="H159" s="62">
        <f t="shared" si="26"/>
        <v>63232.659633723684</v>
      </c>
      <c r="I159" s="70">
        <f t="shared" si="27"/>
        <v>587595.7392909294</v>
      </c>
    </row>
    <row r="160" spans="2:9" ht="15" customHeight="1" x14ac:dyDescent="0.25">
      <c r="B160" s="68">
        <f t="shared" si="1"/>
        <v>133</v>
      </c>
      <c r="C160" s="69">
        <f t="shared" si="22"/>
        <v>3954.3059863561648</v>
      </c>
      <c r="D160" s="69">
        <f t="shared" si="15"/>
        <v>6629.0360761442535</v>
      </c>
      <c r="E160" s="69">
        <f t="shared" si="23"/>
        <v>283750</v>
      </c>
      <c r="F160" s="69">
        <f t="shared" si="24"/>
        <v>2674.7300897880887</v>
      </c>
      <c r="G160" s="69">
        <f t="shared" si="25"/>
        <v>0</v>
      </c>
      <c r="H160" s="62">
        <f t="shared" si="26"/>
        <v>66507.391337479145</v>
      </c>
      <c r="I160" s="70">
        <f t="shared" si="27"/>
        <v>593171.31359030423</v>
      </c>
    </row>
    <row r="161" spans="2:9" ht="15" customHeight="1" x14ac:dyDescent="0.25">
      <c r="B161" s="68">
        <f t="shared" si="1"/>
        <v>134</v>
      </c>
      <c r="C161" s="69">
        <f t="shared" si="22"/>
        <v>3942.4449951879214</v>
      </c>
      <c r="D161" s="69">
        <f t="shared" si="15"/>
        <v>6629.0360761442535</v>
      </c>
      <c r="E161" s="69">
        <f t="shared" si="23"/>
        <v>282500</v>
      </c>
      <c r="F161" s="69">
        <f t="shared" si="24"/>
        <v>2686.591080956332</v>
      </c>
      <c r="G161" s="69">
        <f t="shared" si="25"/>
        <v>0</v>
      </c>
      <c r="H161" s="62">
        <f t="shared" si="26"/>
        <v>69825.057283456103</v>
      </c>
      <c r="I161" s="70">
        <f t="shared" si="27"/>
        <v>598799.79335969721</v>
      </c>
    </row>
    <row r="162" spans="2:9" ht="15" customHeight="1" x14ac:dyDescent="0.25">
      <c r="B162" s="68">
        <f t="shared" si="1"/>
        <v>135</v>
      </c>
      <c r="C162" s="69">
        <f t="shared" si="22"/>
        <v>3930.5840040197363</v>
      </c>
      <c r="D162" s="69">
        <f t="shared" si="15"/>
        <v>6629.0360761442535</v>
      </c>
      <c r="E162" s="69">
        <f t="shared" si="23"/>
        <v>281250</v>
      </c>
      <c r="F162" s="69">
        <f t="shared" si="24"/>
        <v>2698.4520721245171</v>
      </c>
      <c r="G162" s="69">
        <f t="shared" si="25"/>
        <v>0</v>
      </c>
      <c r="H162" s="62">
        <f t="shared" si="26"/>
        <v>73186.064865788736</v>
      </c>
      <c r="I162" s="70">
        <f t="shared" si="27"/>
        <v>604481.68060815847</v>
      </c>
    </row>
    <row r="163" spans="2:9" ht="15" customHeight="1" x14ac:dyDescent="0.25">
      <c r="B163" s="68">
        <f t="shared" si="1"/>
        <v>136</v>
      </c>
      <c r="C163" s="69">
        <f t="shared" si="22"/>
        <v>3918.723012851493</v>
      </c>
      <c r="D163" s="69">
        <f t="shared" si="15"/>
        <v>6629.0360761442535</v>
      </c>
      <c r="E163" s="69">
        <f t="shared" si="23"/>
        <v>280000</v>
      </c>
      <c r="F163" s="69">
        <f t="shared" si="24"/>
        <v>2710.3130632927605</v>
      </c>
      <c r="G163" s="69">
        <f t="shared" si="25"/>
        <v>0</v>
      </c>
      <c r="H163" s="62">
        <f t="shared" si="26"/>
        <v>76590.825344289929</v>
      </c>
      <c r="I163" s="70">
        <f t="shared" si="27"/>
        <v>610217.48210819799</v>
      </c>
    </row>
    <row r="164" spans="2:9" ht="15" customHeight="1" x14ac:dyDescent="0.25">
      <c r="B164" s="68">
        <f t="shared" si="1"/>
        <v>137</v>
      </c>
      <c r="C164" s="69">
        <f t="shared" si="22"/>
        <v>3906.8620216832496</v>
      </c>
      <c r="D164" s="69">
        <f t="shared" si="15"/>
        <v>6629.0360761442535</v>
      </c>
      <c r="E164" s="69">
        <f t="shared" si="23"/>
        <v>278750</v>
      </c>
      <c r="F164" s="69">
        <f t="shared" si="24"/>
        <v>2722.1740544610038</v>
      </c>
      <c r="G164" s="69">
        <f t="shared" si="25"/>
        <v>0</v>
      </c>
      <c r="H164" s="62">
        <f t="shared" si="26"/>
        <v>80039.753881131721</v>
      </c>
      <c r="I164" s="70">
        <f t="shared" si="27"/>
        <v>616007.70944098535</v>
      </c>
    </row>
    <row r="165" spans="2:9" ht="15" customHeight="1" x14ac:dyDescent="0.25">
      <c r="B165" s="68">
        <f t="shared" si="1"/>
        <v>138</v>
      </c>
      <c r="C165" s="69">
        <f t="shared" si="22"/>
        <v>3895.0010305150063</v>
      </c>
      <c r="D165" s="69">
        <f t="shared" si="15"/>
        <v>6629.0360761442535</v>
      </c>
      <c r="E165" s="69">
        <f t="shared" si="23"/>
        <v>277500</v>
      </c>
      <c r="F165" s="69">
        <f t="shared" si="24"/>
        <v>2734.0350456292472</v>
      </c>
      <c r="G165" s="69">
        <f t="shared" si="25"/>
        <v>0</v>
      </c>
      <c r="H165" s="62">
        <f t="shared" si="26"/>
        <v>83533.269577874016</v>
      </c>
      <c r="I165" s="70">
        <f t="shared" si="27"/>
        <v>621852.87904197769</v>
      </c>
    </row>
    <row r="166" spans="2:9" ht="15" customHeight="1" x14ac:dyDescent="0.25">
      <c r="B166" s="68">
        <f t="shared" si="1"/>
        <v>139</v>
      </c>
      <c r="C166" s="69">
        <f t="shared" si="22"/>
        <v>3883.1400393468211</v>
      </c>
      <c r="D166" s="69">
        <f t="shared" si="15"/>
        <v>6629.0360761442535</v>
      </c>
      <c r="E166" s="69">
        <f t="shared" si="23"/>
        <v>276250</v>
      </c>
      <c r="F166" s="69">
        <f t="shared" si="24"/>
        <v>2745.8960367974323</v>
      </c>
      <c r="G166" s="69">
        <f t="shared" si="25"/>
        <v>0</v>
      </c>
      <c r="H166" s="62">
        <f t="shared" si="26"/>
        <v>87071.795512844605</v>
      </c>
      <c r="I166" s="70">
        <f t="shared" si="27"/>
        <v>627753.51224698138</v>
      </c>
    </row>
    <row r="167" spans="2:9" ht="15" customHeight="1" x14ac:dyDescent="0.25">
      <c r="B167" s="68">
        <f t="shared" si="1"/>
        <v>140</v>
      </c>
      <c r="C167" s="69">
        <f t="shared" si="22"/>
        <v>3871.2790481785778</v>
      </c>
      <c r="D167" s="69">
        <f t="shared" si="15"/>
        <v>6629.0360761442535</v>
      </c>
      <c r="E167" s="69">
        <f t="shared" si="23"/>
        <v>275000</v>
      </c>
      <c r="F167" s="69">
        <f t="shared" si="24"/>
        <v>2757.7570279656757</v>
      </c>
      <c r="G167" s="69">
        <f t="shared" si="25"/>
        <v>0</v>
      </c>
      <c r="H167" s="62">
        <f t="shared" si="26"/>
        <v>90655.75877887402</v>
      </c>
      <c r="I167" s="70">
        <f t="shared" si="27"/>
        <v>633710.1353386502</v>
      </c>
    </row>
    <row r="168" spans="2:9" ht="15" customHeight="1" x14ac:dyDescent="0.25">
      <c r="B168" s="68">
        <f t="shared" si="1"/>
        <v>141</v>
      </c>
      <c r="C168" s="69">
        <f t="shared" si="22"/>
        <v>3859.4180570103345</v>
      </c>
      <c r="D168" s="69">
        <f t="shared" si="15"/>
        <v>6629.0360761442535</v>
      </c>
      <c r="E168" s="69">
        <f t="shared" si="23"/>
        <v>273750</v>
      </c>
      <c r="F168" s="69">
        <f t="shared" si="24"/>
        <v>2769.618019133919</v>
      </c>
      <c r="G168" s="69">
        <f t="shared" si="25"/>
        <v>0</v>
      </c>
      <c r="H168" s="62">
        <f t="shared" si="26"/>
        <v>94285.590521388192</v>
      </c>
      <c r="I168" s="70">
        <f t="shared" si="27"/>
        <v>639723.27959342522</v>
      </c>
    </row>
    <row r="169" spans="2:9" ht="15" customHeight="1" x14ac:dyDescent="0.25">
      <c r="B169" s="68">
        <f t="shared" si="1"/>
        <v>142</v>
      </c>
      <c r="C169" s="69">
        <f t="shared" si="22"/>
        <v>3847.5570658420911</v>
      </c>
      <c r="D169" s="69">
        <f t="shared" si="15"/>
        <v>6629.0360761442535</v>
      </c>
      <c r="E169" s="69">
        <f t="shared" si="23"/>
        <v>272500</v>
      </c>
      <c r="F169" s="69">
        <f t="shared" si="24"/>
        <v>2781.4790103021624</v>
      </c>
      <c r="G169" s="69">
        <f t="shared" si="25"/>
        <v>0</v>
      </c>
      <c r="H169" s="62">
        <f t="shared" si="26"/>
        <v>97961.725976862697</v>
      </c>
      <c r="I169" s="70">
        <f t="shared" si="27"/>
        <v>645793.48132891965</v>
      </c>
    </row>
    <row r="170" spans="2:9" ht="15" customHeight="1" x14ac:dyDescent="0.25">
      <c r="B170" s="68">
        <f t="shared" si="1"/>
        <v>143</v>
      </c>
      <c r="C170" s="69">
        <f t="shared" si="22"/>
        <v>3835.696074673906</v>
      </c>
      <c r="D170" s="69">
        <f t="shared" si="15"/>
        <v>6629.0360761442535</v>
      </c>
      <c r="E170" s="69">
        <f t="shared" si="23"/>
        <v>271250</v>
      </c>
      <c r="F170" s="69">
        <f t="shared" si="24"/>
        <v>2793.3400014703475</v>
      </c>
      <c r="G170" s="69">
        <f t="shared" si="25"/>
        <v>0</v>
      </c>
      <c r="H170" s="62">
        <f t="shared" si="26"/>
        <v>101684.60451164187</v>
      </c>
      <c r="I170" s="70">
        <f t="shared" si="27"/>
        <v>651921.28195175331</v>
      </c>
    </row>
    <row r="171" spans="2:9" ht="15" customHeight="1" x14ac:dyDescent="0.25">
      <c r="B171" s="68">
        <f t="shared" si="1"/>
        <v>144</v>
      </c>
      <c r="C171" s="69">
        <f t="shared" si="22"/>
        <v>3823.8350835056626</v>
      </c>
      <c r="D171" s="69">
        <f t="shared" si="15"/>
        <v>7243.5477204028257</v>
      </c>
      <c r="E171" s="69">
        <f t="shared" si="23"/>
        <v>270000</v>
      </c>
      <c r="F171" s="69">
        <f t="shared" si="24"/>
        <v>3419.7126368971631</v>
      </c>
      <c r="G171" s="69">
        <f t="shared" si="25"/>
        <v>0</v>
      </c>
      <c r="H171" s="62">
        <f t="shared" si="26"/>
        <v>106069.18130538498</v>
      </c>
      <c r="I171" s="70">
        <f t="shared" si="27"/>
        <v>658107.22800584137</v>
      </c>
    </row>
    <row r="172" spans="2:9" ht="15" customHeight="1" x14ac:dyDescent="0.25">
      <c r="B172" s="68">
        <f t="shared" si="1"/>
        <v>145</v>
      </c>
      <c r="C172" s="69">
        <f t="shared" si="22"/>
        <v>3811.9740923374193</v>
      </c>
      <c r="D172" s="69">
        <f t="shared" si="15"/>
        <v>7243.5477204028257</v>
      </c>
      <c r="E172" s="69">
        <f t="shared" si="23"/>
        <v>268750</v>
      </c>
      <c r="F172" s="69">
        <f t="shared" si="24"/>
        <v>3431.5736280654064</v>
      </c>
      <c r="G172" s="69">
        <f t="shared" si="25"/>
        <v>0</v>
      </c>
      <c r="H172" s="62">
        <f t="shared" si="26"/>
        <v>110507.22343159793</v>
      </c>
      <c r="I172" s="70">
        <f t="shared" si="27"/>
        <v>664351.87122114119</v>
      </c>
    </row>
    <row r="173" spans="2:9" ht="15" customHeight="1" x14ac:dyDescent="0.25">
      <c r="B173" s="68">
        <f t="shared" si="1"/>
        <v>146</v>
      </c>
      <c r="C173" s="69">
        <f t="shared" si="22"/>
        <v>3800.1131011691759</v>
      </c>
      <c r="D173" s="69">
        <f t="shared" si="15"/>
        <v>7243.5477204028257</v>
      </c>
      <c r="E173" s="69">
        <f t="shared" si="23"/>
        <v>267500</v>
      </c>
      <c r="F173" s="69">
        <f t="shared" si="24"/>
        <v>3443.4346192336498</v>
      </c>
      <c r="G173" s="69">
        <f t="shared" si="25"/>
        <v>0</v>
      </c>
      <c r="H173" s="62">
        <f t="shared" si="26"/>
        <v>114999.23821174972</v>
      </c>
      <c r="I173" s="70">
        <f t="shared" si="27"/>
        <v>670655.76856286137</v>
      </c>
    </row>
    <row r="174" spans="2:9" ht="15" customHeight="1" x14ac:dyDescent="0.25">
      <c r="B174" s="68">
        <f t="shared" si="1"/>
        <v>147</v>
      </c>
      <c r="C174" s="69">
        <f t="shared" si="22"/>
        <v>3788.2521100009908</v>
      </c>
      <c r="D174" s="69">
        <f t="shared" si="15"/>
        <v>7243.5477204028257</v>
      </c>
      <c r="E174" s="69">
        <f t="shared" si="23"/>
        <v>266250</v>
      </c>
      <c r="F174" s="69">
        <f t="shared" si="24"/>
        <v>3455.2956104018349</v>
      </c>
      <c r="G174" s="69">
        <f t="shared" si="25"/>
        <v>0</v>
      </c>
      <c r="H174" s="62">
        <f t="shared" si="26"/>
        <v>119545.73778117764</v>
      </c>
      <c r="I174" s="70">
        <f t="shared" si="27"/>
        <v>677019.48228113796</v>
      </c>
    </row>
    <row r="175" spans="2:9" ht="15" customHeight="1" x14ac:dyDescent="0.25">
      <c r="B175" s="68">
        <f t="shared" si="1"/>
        <v>148</v>
      </c>
      <c r="C175" s="69">
        <f t="shared" si="22"/>
        <v>3776.3911188327475</v>
      </c>
      <c r="D175" s="69">
        <f t="shared" si="15"/>
        <v>7243.5477204028257</v>
      </c>
      <c r="E175" s="69">
        <f t="shared" si="23"/>
        <v>265000</v>
      </c>
      <c r="F175" s="69">
        <f t="shared" si="24"/>
        <v>3467.1566015700782</v>
      </c>
      <c r="G175" s="69">
        <f t="shared" si="25"/>
        <v>0</v>
      </c>
      <c r="H175" s="62">
        <f t="shared" si="26"/>
        <v>124147.23913476527</v>
      </c>
      <c r="I175" s="70">
        <f t="shared" si="27"/>
        <v>683443.57996118232</v>
      </c>
    </row>
    <row r="176" spans="2:9" ht="15" customHeight="1" x14ac:dyDescent="0.25">
      <c r="B176" s="68">
        <f t="shared" si="1"/>
        <v>149</v>
      </c>
      <c r="C176" s="69">
        <f t="shared" si="22"/>
        <v>3764.5301276645041</v>
      </c>
      <c r="D176" s="69">
        <f t="shared" si="15"/>
        <v>7243.5477204028257</v>
      </c>
      <c r="E176" s="69">
        <f t="shared" si="23"/>
        <v>263750</v>
      </c>
      <c r="F176" s="69">
        <f t="shared" si="24"/>
        <v>3479.0175927383216</v>
      </c>
      <c r="G176" s="69">
        <f t="shared" si="25"/>
        <v>0</v>
      </c>
      <c r="H176" s="62">
        <f t="shared" si="26"/>
        <v>128804.26417305355</v>
      </c>
      <c r="I176" s="70">
        <f t="shared" si="27"/>
        <v>689928.6345739041</v>
      </c>
    </row>
    <row r="177" spans="2:9" ht="15" customHeight="1" x14ac:dyDescent="0.25">
      <c r="B177" s="68">
        <f t="shared" si="1"/>
        <v>150</v>
      </c>
      <c r="C177" s="69">
        <f t="shared" si="22"/>
        <v>3752.6691364962608</v>
      </c>
      <c r="D177" s="69">
        <f t="shared" si="15"/>
        <v>7243.5477204028257</v>
      </c>
      <c r="E177" s="69">
        <f t="shared" si="23"/>
        <v>262500</v>
      </c>
      <c r="F177" s="69">
        <f t="shared" si="24"/>
        <v>3490.8785839065649</v>
      </c>
      <c r="G177" s="69">
        <f t="shared" si="25"/>
        <v>0</v>
      </c>
      <c r="H177" s="62">
        <f t="shared" si="26"/>
        <v>133517.33974878956</v>
      </c>
      <c r="I177" s="70">
        <f t="shared" si="27"/>
        <v>696475.22452701547</v>
      </c>
    </row>
    <row r="178" spans="2:9" ht="15" customHeight="1" x14ac:dyDescent="0.25">
      <c r="B178" s="68">
        <f t="shared" si="1"/>
        <v>151</v>
      </c>
      <c r="C178" s="69">
        <f t="shared" si="22"/>
        <v>3740.8081453280756</v>
      </c>
      <c r="D178" s="69">
        <f t="shared" si="15"/>
        <v>7243.5477204028257</v>
      </c>
      <c r="E178" s="69">
        <f t="shared" si="23"/>
        <v>261250</v>
      </c>
      <c r="F178" s="69">
        <f t="shared" si="24"/>
        <v>3502.7395750747501</v>
      </c>
      <c r="G178" s="69">
        <f t="shared" si="25"/>
        <v>0</v>
      </c>
      <c r="H178" s="62">
        <f t="shared" si="26"/>
        <v>138286.99771391694</v>
      </c>
      <c r="I178" s="70">
        <f t="shared" si="27"/>
        <v>703083.9337166195</v>
      </c>
    </row>
    <row r="179" spans="2:9" ht="15" customHeight="1" x14ac:dyDescent="0.25">
      <c r="B179" s="68">
        <f t="shared" si="1"/>
        <v>152</v>
      </c>
      <c r="C179" s="69">
        <f t="shared" si="22"/>
        <v>3728.9471541598323</v>
      </c>
      <c r="D179" s="69">
        <f t="shared" si="15"/>
        <v>7243.5477204028257</v>
      </c>
      <c r="E179" s="69">
        <f t="shared" si="23"/>
        <v>260000</v>
      </c>
      <c r="F179" s="69">
        <f t="shared" si="24"/>
        <v>3514.6005662429934</v>
      </c>
      <c r="G179" s="69">
        <f t="shared" si="25"/>
        <v>0</v>
      </c>
      <c r="H179" s="62">
        <f t="shared" si="26"/>
        <v>143113.77496701246</v>
      </c>
      <c r="I179" s="70">
        <f t="shared" si="27"/>
        <v>709755.3515792886</v>
      </c>
    </row>
    <row r="180" spans="2:9" ht="15" customHeight="1" x14ac:dyDescent="0.25">
      <c r="B180" s="68">
        <f t="shared" si="1"/>
        <v>153</v>
      </c>
      <c r="C180" s="69">
        <f t="shared" si="22"/>
        <v>3717.0861629915889</v>
      </c>
      <c r="D180" s="69">
        <f t="shared" si="15"/>
        <v>7243.5477204028257</v>
      </c>
      <c r="E180" s="69">
        <f t="shared" si="23"/>
        <v>258750</v>
      </c>
      <c r="F180" s="69">
        <f t="shared" si="24"/>
        <v>3526.4615574112368</v>
      </c>
      <c r="G180" s="69">
        <f t="shared" si="25"/>
        <v>0</v>
      </c>
      <c r="H180" s="62">
        <f t="shared" si="26"/>
        <v>147998.2135011722</v>
      </c>
      <c r="I180" s="70">
        <f t="shared" si="27"/>
        <v>716490.0731446367</v>
      </c>
    </row>
    <row r="181" spans="2:9" ht="15" customHeight="1" x14ac:dyDescent="0.25">
      <c r="B181" s="68">
        <f t="shared" si="1"/>
        <v>154</v>
      </c>
      <c r="C181" s="69">
        <f t="shared" si="22"/>
        <v>3705.2251718233747</v>
      </c>
      <c r="D181" s="69">
        <f t="shared" si="15"/>
        <v>7243.5477204028257</v>
      </c>
      <c r="E181" s="69">
        <f t="shared" si="23"/>
        <v>257500</v>
      </c>
      <c r="F181" s="69">
        <f t="shared" si="24"/>
        <v>3538.322548579451</v>
      </c>
      <c r="G181" s="69">
        <f t="shared" si="25"/>
        <v>0</v>
      </c>
      <c r="H181" s="62">
        <f t="shared" si="26"/>
        <v>152940.8604523525</v>
      </c>
      <c r="I181" s="70">
        <f t="shared" si="27"/>
        <v>723288.69908839045</v>
      </c>
    </row>
    <row r="182" spans="2:9" ht="15" customHeight="1" x14ac:dyDescent="0.25">
      <c r="B182" s="68">
        <f t="shared" si="1"/>
        <v>155</v>
      </c>
      <c r="C182" s="69">
        <f t="shared" si="22"/>
        <v>3693.3641806551313</v>
      </c>
      <c r="D182" s="69">
        <f t="shared" si="15"/>
        <v>7243.5477204028257</v>
      </c>
      <c r="E182" s="69">
        <f t="shared" si="23"/>
        <v>256250</v>
      </c>
      <c r="F182" s="69">
        <f t="shared" si="24"/>
        <v>3550.1835397476943</v>
      </c>
      <c r="G182" s="69">
        <f t="shared" si="25"/>
        <v>0</v>
      </c>
      <c r="H182" s="62">
        <f t="shared" si="26"/>
        <v>157942.26814816953</v>
      </c>
      <c r="I182" s="70">
        <f t="shared" si="27"/>
        <v>730151.83578596415</v>
      </c>
    </row>
    <row r="183" spans="2:9" ht="15" customHeight="1" x14ac:dyDescent="0.25">
      <c r="B183" s="68">
        <f t="shared" si="1"/>
        <v>156</v>
      </c>
      <c r="C183" s="69">
        <f t="shared" si="22"/>
        <v>3681.5031894869171</v>
      </c>
      <c r="D183" s="69">
        <f t="shared" si="15"/>
        <v>7915.0245940841678</v>
      </c>
      <c r="E183" s="69">
        <f t="shared" si="23"/>
        <v>255000</v>
      </c>
      <c r="F183" s="69">
        <f t="shared" si="24"/>
        <v>4233.5214045972507</v>
      </c>
      <c r="G183" s="69">
        <f t="shared" si="25"/>
        <v>0</v>
      </c>
      <c r="H183" s="62">
        <f t="shared" si="26"/>
        <v>163674.47103084315</v>
      </c>
      <c r="I183" s="70">
        <f t="shared" si="27"/>
        <v>737080.09536654281</v>
      </c>
    </row>
    <row r="184" spans="2:9" ht="15" customHeight="1" x14ac:dyDescent="0.25">
      <c r="B184" s="68">
        <f t="shared" si="1"/>
        <v>157</v>
      </c>
      <c r="C184" s="69">
        <f t="shared" si="22"/>
        <v>3669.6421983186738</v>
      </c>
      <c r="D184" s="69">
        <f t="shared" si="15"/>
        <v>7915.0245940841678</v>
      </c>
      <c r="E184" s="69">
        <f t="shared" si="23"/>
        <v>253750</v>
      </c>
      <c r="F184" s="69">
        <f t="shared" si="24"/>
        <v>4245.382395765494</v>
      </c>
      <c r="G184" s="69">
        <f t="shared" si="25"/>
        <v>0</v>
      </c>
      <c r="H184" s="62">
        <f t="shared" si="26"/>
        <v>169472.92659089772</v>
      </c>
      <c r="I184" s="70">
        <f t="shared" si="27"/>
        <v>744074.09576767869</v>
      </c>
    </row>
    <row r="185" spans="2:9" ht="15" customHeight="1" x14ac:dyDescent="0.25">
      <c r="B185" s="68">
        <f t="shared" si="1"/>
        <v>158</v>
      </c>
      <c r="C185" s="69">
        <f t="shared" si="22"/>
        <v>3657.7812071504595</v>
      </c>
      <c r="D185" s="69">
        <f t="shared" si="15"/>
        <v>7915.0245940841678</v>
      </c>
      <c r="E185" s="69">
        <f t="shared" si="23"/>
        <v>252500</v>
      </c>
      <c r="F185" s="69">
        <f t="shared" si="24"/>
        <v>4257.2433869337083</v>
      </c>
      <c r="G185" s="69">
        <f t="shared" si="25"/>
        <v>0</v>
      </c>
      <c r="H185" s="62">
        <f t="shared" si="26"/>
        <v>175338.26348627024</v>
      </c>
      <c r="I185" s="70">
        <f t="shared" si="27"/>
        <v>751134.46079040528</v>
      </c>
    </row>
    <row r="186" spans="2:9" ht="15" customHeight="1" x14ac:dyDescent="0.25">
      <c r="B186" s="68">
        <f t="shared" si="1"/>
        <v>159</v>
      </c>
      <c r="C186" s="69">
        <f t="shared" si="22"/>
        <v>3645.9202159822162</v>
      </c>
      <c r="D186" s="69">
        <f t="shared" si="15"/>
        <v>7915.0245940841678</v>
      </c>
      <c r="E186" s="69">
        <f t="shared" si="23"/>
        <v>251250</v>
      </c>
      <c r="F186" s="69">
        <f t="shared" si="24"/>
        <v>4269.1043781019516</v>
      </c>
      <c r="G186" s="69">
        <f t="shared" si="25"/>
        <v>0</v>
      </c>
      <c r="H186" s="62">
        <f t="shared" si="26"/>
        <v>181271.11634010277</v>
      </c>
      <c r="I186" s="70">
        <f t="shared" si="27"/>
        <v>758261.82015487517</v>
      </c>
    </row>
    <row r="187" spans="2:9" ht="15" customHeight="1" x14ac:dyDescent="0.25">
      <c r="B187" s="68">
        <f t="shared" si="1"/>
        <v>160</v>
      </c>
      <c r="C187" s="69">
        <f t="shared" si="22"/>
        <v>3634.0592248140019</v>
      </c>
      <c r="D187" s="69">
        <f t="shared" si="15"/>
        <v>7915.0245940841678</v>
      </c>
      <c r="E187" s="69">
        <f t="shared" si="23"/>
        <v>250000</v>
      </c>
      <c r="F187" s="69">
        <f t="shared" si="24"/>
        <v>4280.9653692701659</v>
      </c>
      <c r="G187" s="69">
        <f t="shared" si="25"/>
        <v>0</v>
      </c>
      <c r="H187" s="62">
        <f t="shared" si="26"/>
        <v>187272.12579734487</v>
      </c>
      <c r="I187" s="70">
        <f t="shared" si="27"/>
        <v>765456.80955652485</v>
      </c>
    </row>
    <row r="188" spans="2:9" ht="15" customHeight="1" x14ac:dyDescent="0.25">
      <c r="B188" s="68">
        <f t="shared" si="1"/>
        <v>161</v>
      </c>
      <c r="C188" s="69">
        <f t="shared" si="22"/>
        <v>3622.1982336457586</v>
      </c>
      <c r="D188" s="69">
        <f t="shared" si="15"/>
        <v>7915.0245940841678</v>
      </c>
      <c r="E188" s="69">
        <f t="shared" si="23"/>
        <v>248750</v>
      </c>
      <c r="F188" s="69">
        <f t="shared" si="24"/>
        <v>4292.8263604384092</v>
      </c>
      <c r="G188" s="69">
        <f t="shared" si="25"/>
        <v>0</v>
      </c>
      <c r="H188" s="62">
        <f t="shared" si="26"/>
        <v>193341.93858189345</v>
      </c>
      <c r="I188" s="70">
        <f t="shared" si="27"/>
        <v>772720.07072277332</v>
      </c>
    </row>
    <row r="189" spans="2:9" ht="15" customHeight="1" x14ac:dyDescent="0.25">
      <c r="B189" s="68">
        <f t="shared" si="1"/>
        <v>162</v>
      </c>
      <c r="C189" s="69">
        <f t="shared" si="22"/>
        <v>3610.3372424775444</v>
      </c>
      <c r="D189" s="69">
        <f t="shared" si="15"/>
        <v>7915.0245940841678</v>
      </c>
      <c r="E189" s="69">
        <f t="shared" si="23"/>
        <v>247500</v>
      </c>
      <c r="F189" s="69">
        <f t="shared" si="24"/>
        <v>4304.6873516066235</v>
      </c>
      <c r="G189" s="69">
        <f t="shared" si="25"/>
        <v>0</v>
      </c>
      <c r="H189" s="62">
        <f t="shared" si="26"/>
        <v>199481.20755427453</v>
      </c>
      <c r="I189" s="70">
        <f t="shared" si="27"/>
        <v>780052.25147025811</v>
      </c>
    </row>
    <row r="190" spans="2:9" ht="15" customHeight="1" x14ac:dyDescent="0.25">
      <c r="B190" s="68">
        <f t="shared" si="1"/>
        <v>163</v>
      </c>
      <c r="C190" s="69">
        <f t="shared" si="22"/>
        <v>3598.476251309301</v>
      </c>
      <c r="D190" s="69">
        <f t="shared" si="15"/>
        <v>7915.0245940841678</v>
      </c>
      <c r="E190" s="69">
        <f t="shared" si="23"/>
        <v>246250</v>
      </c>
      <c r="F190" s="69">
        <f t="shared" si="24"/>
        <v>4316.5483427748668</v>
      </c>
      <c r="G190" s="69">
        <f t="shared" si="25"/>
        <v>0</v>
      </c>
      <c r="H190" s="62">
        <f t="shared" si="26"/>
        <v>205690.59176987247</v>
      </c>
      <c r="I190" s="70">
        <f t="shared" si="27"/>
        <v>787454.00576261466</v>
      </c>
    </row>
    <row r="191" spans="2:9" ht="15" customHeight="1" x14ac:dyDescent="0.25">
      <c r="B191" s="68">
        <f t="shared" si="1"/>
        <v>164</v>
      </c>
      <c r="C191" s="69">
        <f t="shared" si="22"/>
        <v>3586.6152601410868</v>
      </c>
      <c r="D191" s="69">
        <f t="shared" si="15"/>
        <v>7915.0245940841678</v>
      </c>
      <c r="E191" s="69">
        <f t="shared" si="23"/>
        <v>245000</v>
      </c>
      <c r="F191" s="69">
        <f t="shared" si="24"/>
        <v>4328.409333943081</v>
      </c>
      <c r="G191" s="69">
        <f t="shared" si="25"/>
        <v>0</v>
      </c>
      <c r="H191" s="62">
        <f t="shared" si="26"/>
        <v>211970.75653771171</v>
      </c>
      <c r="I191" s="70">
        <f t="shared" si="27"/>
        <v>794925.99376880412</v>
      </c>
    </row>
    <row r="192" spans="2:9" ht="15" customHeight="1" x14ac:dyDescent="0.25">
      <c r="B192" s="68">
        <f t="shared" si="1"/>
        <v>165</v>
      </c>
      <c r="C192" s="69">
        <f t="shared" si="22"/>
        <v>3574.7542689728434</v>
      </c>
      <c r="D192" s="69">
        <f t="shared" si="15"/>
        <v>7915.0245940841678</v>
      </c>
      <c r="E192" s="69">
        <f t="shared" si="23"/>
        <v>243750</v>
      </c>
      <c r="F192" s="69">
        <f t="shared" si="24"/>
        <v>4340.2703251113244</v>
      </c>
      <c r="G192" s="69">
        <f t="shared" si="25"/>
        <v>0</v>
      </c>
      <c r="H192" s="62">
        <f t="shared" si="26"/>
        <v>218322.37347979628</v>
      </c>
      <c r="I192" s="70">
        <f t="shared" si="27"/>
        <v>802468.88192199392</v>
      </c>
    </row>
    <row r="193" spans="2:9" ht="15" customHeight="1" x14ac:dyDescent="0.25">
      <c r="B193" s="68">
        <f t="shared" si="1"/>
        <v>166</v>
      </c>
      <c r="C193" s="69">
        <f t="shared" si="22"/>
        <v>3562.8932778046292</v>
      </c>
      <c r="D193" s="69">
        <f t="shared" si="15"/>
        <v>7915.0245940841678</v>
      </c>
      <c r="E193" s="69">
        <f t="shared" si="23"/>
        <v>242500</v>
      </c>
      <c r="F193" s="69">
        <f t="shared" si="24"/>
        <v>4352.1313162795386</v>
      </c>
      <c r="G193" s="69">
        <f t="shared" si="25"/>
        <v>0</v>
      </c>
      <c r="H193" s="62">
        <f t="shared" si="26"/>
        <v>224746.1205910123</v>
      </c>
      <c r="I193" s="70">
        <f t="shared" si="27"/>
        <v>810083.34297899809</v>
      </c>
    </row>
    <row r="194" spans="2:9" ht="15" customHeight="1" x14ac:dyDescent="0.25">
      <c r="B194" s="68">
        <f t="shared" si="1"/>
        <v>167</v>
      </c>
      <c r="C194" s="69">
        <f t="shared" si="22"/>
        <v>3551.0322866363858</v>
      </c>
      <c r="D194" s="69">
        <f t="shared" si="15"/>
        <v>7915.0245940841678</v>
      </c>
      <c r="E194" s="69">
        <f t="shared" si="23"/>
        <v>241250</v>
      </c>
      <c r="F194" s="69">
        <f t="shared" si="24"/>
        <v>4363.992307447782</v>
      </c>
      <c r="G194" s="69">
        <f t="shared" si="25"/>
        <v>0</v>
      </c>
      <c r="H194" s="62">
        <f t="shared" si="26"/>
        <v>231242.68229959902</v>
      </c>
      <c r="I194" s="70">
        <f t="shared" si="27"/>
        <v>817770.05608028057</v>
      </c>
    </row>
    <row r="195" spans="2:9" ht="15" customHeight="1" x14ac:dyDescent="0.25">
      <c r="B195" s="68">
        <f t="shared" si="1"/>
        <v>168</v>
      </c>
      <c r="C195" s="69">
        <f t="shared" si="22"/>
        <v>3539.1712954681716</v>
      </c>
      <c r="D195" s="69">
        <f t="shared" si="15"/>
        <v>8648.7473739557699</v>
      </c>
      <c r="E195" s="69">
        <f t="shared" si="23"/>
        <v>240000</v>
      </c>
      <c r="F195" s="69">
        <f t="shared" si="24"/>
        <v>5109.5760784875984</v>
      </c>
      <c r="G195" s="69">
        <f t="shared" si="25"/>
        <v>0</v>
      </c>
      <c r="H195" s="62">
        <f t="shared" si="26"/>
        <v>238546.47230806507</v>
      </c>
      <c r="I195" s="70">
        <f t="shared" si="27"/>
        <v>825529.70681052876</v>
      </c>
    </row>
    <row r="196" spans="2:9" ht="15" customHeight="1" x14ac:dyDescent="0.25">
      <c r="B196" s="68">
        <f t="shared" si="1"/>
        <v>169</v>
      </c>
      <c r="C196" s="69">
        <f t="shared" si="22"/>
        <v>3527.3103042999282</v>
      </c>
      <c r="D196" s="69">
        <f t="shared" si="15"/>
        <v>8648.7473739557699</v>
      </c>
      <c r="E196" s="69">
        <f t="shared" si="23"/>
        <v>238750</v>
      </c>
      <c r="F196" s="69">
        <f t="shared" si="24"/>
        <v>5121.4370696558417</v>
      </c>
      <c r="G196" s="69">
        <f t="shared" si="25"/>
        <v>0</v>
      </c>
      <c r="H196" s="62">
        <f t="shared" si="26"/>
        <v>245931.42745872738</v>
      </c>
      <c r="I196" s="70">
        <f t="shared" si="27"/>
        <v>833362.9872598009</v>
      </c>
    </row>
    <row r="197" spans="2:9" ht="15" customHeight="1" x14ac:dyDescent="0.25">
      <c r="B197" s="68">
        <f t="shared" si="1"/>
        <v>170</v>
      </c>
      <c r="C197" s="69">
        <f t="shared" si="22"/>
        <v>3515.449313131714</v>
      </c>
      <c r="D197" s="69">
        <f t="shared" si="15"/>
        <v>8648.7473739557699</v>
      </c>
      <c r="E197" s="69">
        <f t="shared" si="23"/>
        <v>237500</v>
      </c>
      <c r="F197" s="69">
        <f t="shared" si="24"/>
        <v>5133.2980608240559</v>
      </c>
      <c r="G197" s="69">
        <f t="shared" si="25"/>
        <v>0</v>
      </c>
      <c r="H197" s="62">
        <f t="shared" si="26"/>
        <v>253398.31791081373</v>
      </c>
      <c r="I197" s="70">
        <f t="shared" si="27"/>
        <v>841270.59608525469</v>
      </c>
    </row>
    <row r="198" spans="2:9" ht="15" customHeight="1" x14ac:dyDescent="0.25">
      <c r="B198" s="68">
        <f t="shared" si="1"/>
        <v>171</v>
      </c>
      <c r="C198" s="69">
        <f t="shared" si="22"/>
        <v>3503.5883219634707</v>
      </c>
      <c r="D198" s="69">
        <f t="shared" si="15"/>
        <v>8648.7473739557699</v>
      </c>
      <c r="E198" s="69">
        <f t="shared" si="23"/>
        <v>236250</v>
      </c>
      <c r="F198" s="69">
        <f t="shared" si="24"/>
        <v>5145.1590519922993</v>
      </c>
      <c r="G198" s="69">
        <f t="shared" si="25"/>
        <v>0</v>
      </c>
      <c r="H198" s="62">
        <f t="shared" si="26"/>
        <v>260947.92113143337</v>
      </c>
      <c r="I198" s="70">
        <f t="shared" si="27"/>
        <v>849253.23857346096</v>
      </c>
    </row>
    <row r="199" spans="2:9" ht="15" customHeight="1" x14ac:dyDescent="0.25">
      <c r="B199" s="68">
        <f t="shared" si="1"/>
        <v>172</v>
      </c>
      <c r="C199" s="69">
        <f t="shared" si="22"/>
        <v>3491.7273307952564</v>
      </c>
      <c r="D199" s="69">
        <f t="shared" si="15"/>
        <v>8648.7473739557699</v>
      </c>
      <c r="E199" s="69">
        <f t="shared" si="23"/>
        <v>235000</v>
      </c>
      <c r="F199" s="69">
        <f t="shared" si="24"/>
        <v>5157.0200431605135</v>
      </c>
      <c r="G199" s="69">
        <f t="shared" si="25"/>
        <v>0</v>
      </c>
      <c r="H199" s="62">
        <f t="shared" si="26"/>
        <v>268581.02196491999</v>
      </c>
      <c r="I199" s="70">
        <f t="shared" si="27"/>
        <v>857311.62670330855</v>
      </c>
    </row>
    <row r="200" spans="2:9" ht="15" customHeight="1" x14ac:dyDescent="0.25">
      <c r="B200" s="68">
        <f t="shared" si="1"/>
        <v>173</v>
      </c>
      <c r="C200" s="69">
        <f t="shared" si="22"/>
        <v>3479.8663396270131</v>
      </c>
      <c r="D200" s="69">
        <f t="shared" si="15"/>
        <v>8648.7473739557699</v>
      </c>
      <c r="E200" s="69">
        <f t="shared" si="23"/>
        <v>233750</v>
      </c>
      <c r="F200" s="69">
        <f t="shared" si="24"/>
        <v>5168.8810343287569</v>
      </c>
      <c r="G200" s="69">
        <f t="shared" si="25"/>
        <v>0</v>
      </c>
      <c r="H200" s="62">
        <f t="shared" si="26"/>
        <v>276298.4127028326</v>
      </c>
      <c r="I200" s="70">
        <f t="shared" si="27"/>
        <v>865446.47920950677</v>
      </c>
    </row>
    <row r="201" spans="2:9" ht="15" customHeight="1" x14ac:dyDescent="0.25">
      <c r="B201" s="68">
        <f t="shared" si="1"/>
        <v>174</v>
      </c>
      <c r="C201" s="69">
        <f t="shared" si="22"/>
        <v>3468.0053484587988</v>
      </c>
      <c r="D201" s="69">
        <f t="shared" si="15"/>
        <v>8648.7473739557699</v>
      </c>
      <c r="E201" s="69">
        <f t="shared" si="23"/>
        <v>232500</v>
      </c>
      <c r="F201" s="69">
        <f t="shared" si="24"/>
        <v>5180.7420254969711</v>
      </c>
      <c r="G201" s="69">
        <f t="shared" si="25"/>
        <v>0</v>
      </c>
      <c r="H201" s="62">
        <f t="shared" si="26"/>
        <v>284100.89315462072</v>
      </c>
      <c r="I201" s="70">
        <f t="shared" si="27"/>
        <v>873658.52164668974</v>
      </c>
    </row>
    <row r="202" spans="2:9" ht="15" customHeight="1" x14ac:dyDescent="0.25">
      <c r="B202" s="68">
        <f t="shared" si="1"/>
        <v>175</v>
      </c>
      <c r="C202" s="69">
        <f t="shared" si="22"/>
        <v>3456.1443572905555</v>
      </c>
      <c r="D202" s="69">
        <f t="shared" si="15"/>
        <v>8648.7473739557699</v>
      </c>
      <c r="E202" s="69">
        <f t="shared" si="23"/>
        <v>231250</v>
      </c>
      <c r="F202" s="69">
        <f t="shared" si="24"/>
        <v>5192.6030166652145</v>
      </c>
      <c r="G202" s="69">
        <f t="shared" si="25"/>
        <v>0</v>
      </c>
      <c r="H202" s="62">
        <f t="shared" si="26"/>
        <v>291989.27071896021</v>
      </c>
      <c r="I202" s="70">
        <f t="shared" si="27"/>
        <v>881948.4864541291</v>
      </c>
    </row>
    <row r="203" spans="2:9" ht="15" customHeight="1" x14ac:dyDescent="0.25">
      <c r="B203" s="68">
        <f t="shared" si="1"/>
        <v>176</v>
      </c>
      <c r="C203" s="69">
        <f t="shared" si="22"/>
        <v>3444.2833661223412</v>
      </c>
      <c r="D203" s="69">
        <f t="shared" si="15"/>
        <v>8648.7473739557699</v>
      </c>
      <c r="E203" s="69">
        <f t="shared" si="23"/>
        <v>230000</v>
      </c>
      <c r="F203" s="69">
        <f t="shared" si="24"/>
        <v>5204.4640078334287</v>
      </c>
      <c r="G203" s="69">
        <f t="shared" si="25"/>
        <v>0</v>
      </c>
      <c r="H203" s="62">
        <f t="shared" si="26"/>
        <v>299964.3604557658</v>
      </c>
      <c r="I203" s="70">
        <f t="shared" si="27"/>
        <v>890317.11302106129</v>
      </c>
    </row>
    <row r="204" spans="2:9" ht="15" customHeight="1" x14ac:dyDescent="0.25">
      <c r="B204" s="68">
        <f t="shared" si="1"/>
        <v>177</v>
      </c>
      <c r="C204" s="69">
        <f t="shared" si="22"/>
        <v>3432.4223749540979</v>
      </c>
      <c r="D204" s="69">
        <f t="shared" si="15"/>
        <v>8648.7473739557699</v>
      </c>
      <c r="E204" s="69">
        <f t="shared" si="23"/>
        <v>228750</v>
      </c>
      <c r="F204" s="69">
        <f t="shared" si="24"/>
        <v>5216.324999001672</v>
      </c>
      <c r="G204" s="69">
        <f t="shared" si="25"/>
        <v>0</v>
      </c>
      <c r="H204" s="62">
        <f t="shared" si="26"/>
        <v>308026.98515888688</v>
      </c>
      <c r="I204" s="70">
        <f t="shared" si="27"/>
        <v>898765.1477526339</v>
      </c>
    </row>
    <row r="205" spans="2:9" ht="15" customHeight="1" x14ac:dyDescent="0.25">
      <c r="B205" s="68">
        <f t="shared" si="1"/>
        <v>178</v>
      </c>
      <c r="C205" s="69">
        <f t="shared" si="22"/>
        <v>3420.5613837858837</v>
      </c>
      <c r="D205" s="69">
        <f t="shared" si="15"/>
        <v>8648.7473739557699</v>
      </c>
      <c r="E205" s="69">
        <f t="shared" si="23"/>
        <v>227500</v>
      </c>
      <c r="F205" s="69">
        <f t="shared" si="24"/>
        <v>5228.1859901698863</v>
      </c>
      <c r="G205" s="69">
        <f t="shared" si="25"/>
        <v>0</v>
      </c>
      <c r="H205" s="62">
        <f t="shared" si="26"/>
        <v>316177.97542949329</v>
      </c>
      <c r="I205" s="70">
        <f t="shared" si="27"/>
        <v>907293.34413647861</v>
      </c>
    </row>
    <row r="206" spans="2:9" ht="15" customHeight="1" x14ac:dyDescent="0.25">
      <c r="B206" s="68">
        <f t="shared" si="1"/>
        <v>179</v>
      </c>
      <c r="C206" s="69">
        <f t="shared" si="22"/>
        <v>3408.7003926176403</v>
      </c>
      <c r="D206" s="69">
        <f t="shared" si="15"/>
        <v>8648.7473739557699</v>
      </c>
      <c r="E206" s="69">
        <f t="shared" si="23"/>
        <v>226250</v>
      </c>
      <c r="F206" s="69">
        <f t="shared" si="24"/>
        <v>5240.0469813381296</v>
      </c>
      <c r="G206" s="69">
        <f t="shared" si="25"/>
        <v>0</v>
      </c>
      <c r="H206" s="62">
        <f t="shared" si="26"/>
        <v>324418.16975015757</v>
      </c>
      <c r="I206" s="70">
        <f t="shared" si="27"/>
        <v>915902.46280991507</v>
      </c>
    </row>
    <row r="207" spans="2:9" ht="15" customHeight="1" x14ac:dyDescent="0.25">
      <c r="B207" s="68">
        <f t="shared" si="1"/>
        <v>180</v>
      </c>
      <c r="C207" s="69">
        <f t="shared" si="22"/>
        <v>3396.8394014494261</v>
      </c>
      <c r="D207" s="69">
        <f t="shared" si="15"/>
        <v>9450.4862555214695</v>
      </c>
      <c r="E207" s="69">
        <f t="shared" si="23"/>
        <v>225000</v>
      </c>
      <c r="F207" s="69">
        <f t="shared" si="24"/>
        <v>6053.6468540720434</v>
      </c>
      <c r="G207" s="69">
        <f t="shared" si="25"/>
        <v>0</v>
      </c>
      <c r="H207" s="62">
        <f t="shared" si="26"/>
        <v>333550.15344120527</v>
      </c>
      <c r="I207" s="70">
        <f t="shared" si="27"/>
        <v>924593.27162779297</v>
      </c>
    </row>
    <row r="208" spans="2:9" ht="15" customHeight="1" x14ac:dyDescent="0.25">
      <c r="B208" s="68">
        <f t="shared" si="1"/>
        <v>181</v>
      </c>
      <c r="C208" s="69">
        <f t="shared" si="22"/>
        <v>3384.9784102811827</v>
      </c>
      <c r="D208" s="69">
        <f t="shared" si="15"/>
        <v>9450.4862555214695</v>
      </c>
      <c r="E208" s="69">
        <f t="shared" si="23"/>
        <v>223750</v>
      </c>
      <c r="F208" s="69">
        <f t="shared" si="24"/>
        <v>6065.5078452402868</v>
      </c>
      <c r="G208" s="69">
        <f t="shared" si="25"/>
        <v>0</v>
      </c>
      <c r="H208" s="62">
        <f t="shared" si="26"/>
        <v>342780.64962574758</v>
      </c>
      <c r="I208" s="70">
        <f t="shared" si="27"/>
        <v>933366.54573097778</v>
      </c>
    </row>
    <row r="209" spans="2:9" ht="15" customHeight="1" x14ac:dyDescent="0.25">
      <c r="B209" s="68">
        <f t="shared" si="1"/>
        <v>182</v>
      </c>
      <c r="C209" s="69">
        <f t="shared" si="22"/>
        <v>3373.1174191129685</v>
      </c>
      <c r="D209" s="69">
        <f t="shared" si="15"/>
        <v>9450.4862555214695</v>
      </c>
      <c r="E209" s="69">
        <f t="shared" si="23"/>
        <v>222500</v>
      </c>
      <c r="F209" s="69">
        <f t="shared" si="24"/>
        <v>6077.368836408501</v>
      </c>
      <c r="G209" s="69">
        <f t="shared" si="25"/>
        <v>0</v>
      </c>
      <c r="H209" s="62">
        <f t="shared" si="26"/>
        <v>352110.59306843666</v>
      </c>
      <c r="I209" s="70">
        <f t="shared" si="27"/>
        <v>942223.0676154861</v>
      </c>
    </row>
    <row r="210" spans="2:9" ht="15" customHeight="1" x14ac:dyDescent="0.25">
      <c r="B210" s="68">
        <f t="shared" si="1"/>
        <v>183</v>
      </c>
      <c r="C210" s="69">
        <f t="shared" si="22"/>
        <v>3361.2564279447251</v>
      </c>
      <c r="D210" s="69">
        <f t="shared" si="15"/>
        <v>9450.4862555214695</v>
      </c>
      <c r="E210" s="69">
        <f t="shared" si="23"/>
        <v>221250</v>
      </c>
      <c r="F210" s="69">
        <f t="shared" si="24"/>
        <v>6089.2298275767444</v>
      </c>
      <c r="G210" s="69">
        <f t="shared" si="25"/>
        <v>0</v>
      </c>
      <c r="H210" s="62">
        <f t="shared" si="26"/>
        <v>361540.92740371299</v>
      </c>
      <c r="I210" s="70">
        <f t="shared" si="27"/>
        <v>951163.62720227707</v>
      </c>
    </row>
    <row r="211" spans="2:9" ht="15" customHeight="1" x14ac:dyDescent="0.25">
      <c r="B211" s="68">
        <f t="shared" si="1"/>
        <v>184</v>
      </c>
      <c r="C211" s="69">
        <f t="shared" si="22"/>
        <v>3349.3954367765109</v>
      </c>
      <c r="D211" s="69">
        <f t="shared" si="15"/>
        <v>9450.4862555214695</v>
      </c>
      <c r="E211" s="69">
        <f t="shared" si="23"/>
        <v>220000</v>
      </c>
      <c r="F211" s="69">
        <f t="shared" si="24"/>
        <v>6101.0908187449586</v>
      </c>
      <c r="G211" s="69">
        <f t="shared" si="25"/>
        <v>0</v>
      </c>
      <c r="H211" s="62">
        <f t="shared" si="26"/>
        <v>371072.60521996894</v>
      </c>
      <c r="I211" s="70">
        <f t="shared" si="27"/>
        <v>960189.0219077064</v>
      </c>
    </row>
    <row r="212" spans="2:9" ht="15" customHeight="1" x14ac:dyDescent="0.25">
      <c r="B212" s="68">
        <f t="shared" si="1"/>
        <v>185</v>
      </c>
      <c r="C212" s="69">
        <f t="shared" si="22"/>
        <v>3337.5344456082676</v>
      </c>
      <c r="D212" s="69">
        <f t="shared" si="15"/>
        <v>9450.4862555214695</v>
      </c>
      <c r="E212" s="69">
        <f t="shared" si="23"/>
        <v>218750</v>
      </c>
      <c r="F212" s="69">
        <f t="shared" si="24"/>
        <v>6112.9518099132019</v>
      </c>
      <c r="G212" s="69">
        <f t="shared" si="25"/>
        <v>0</v>
      </c>
      <c r="H212" s="62">
        <f t="shared" si="26"/>
        <v>380706.58814451069</v>
      </c>
      <c r="I212" s="70">
        <f t="shared" si="27"/>
        <v>969300.0567146485</v>
      </c>
    </row>
    <row r="213" spans="2:9" ht="15" customHeight="1" x14ac:dyDescent="0.25">
      <c r="B213" s="68">
        <f t="shared" si="1"/>
        <v>186</v>
      </c>
      <c r="C213" s="69">
        <f t="shared" si="22"/>
        <v>3325.6734544400533</v>
      </c>
      <c r="D213" s="69">
        <f t="shared" si="15"/>
        <v>9450.4862555214695</v>
      </c>
      <c r="E213" s="69">
        <f t="shared" si="23"/>
        <v>217500</v>
      </c>
      <c r="F213" s="69">
        <f t="shared" si="24"/>
        <v>6124.8128010814162</v>
      </c>
      <c r="G213" s="69">
        <f t="shared" si="25"/>
        <v>0</v>
      </c>
      <c r="H213" s="62">
        <f t="shared" si="26"/>
        <v>390443.84692932694</v>
      </c>
      <c r="I213" s="70">
        <f t="shared" si="27"/>
        <v>978497.54424429336</v>
      </c>
    </row>
    <row r="214" spans="2:9" ht="15" customHeight="1" x14ac:dyDescent="0.25">
      <c r="B214" s="68">
        <f t="shared" si="1"/>
        <v>187</v>
      </c>
      <c r="C214" s="69">
        <f t="shared" si="22"/>
        <v>3313.81246327181</v>
      </c>
      <c r="D214" s="69">
        <f t="shared" si="15"/>
        <v>9450.4862555214695</v>
      </c>
      <c r="E214" s="69">
        <f t="shared" si="23"/>
        <v>216250</v>
      </c>
      <c r="F214" s="69">
        <f t="shared" si="24"/>
        <v>6136.6737922496595</v>
      </c>
      <c r="G214" s="69">
        <f t="shared" si="25"/>
        <v>0</v>
      </c>
      <c r="H214" s="62">
        <f t="shared" si="26"/>
        <v>400285.36153767101</v>
      </c>
      <c r="I214" s="70">
        <f t="shared" si="27"/>
        <v>987782.30482862552</v>
      </c>
    </row>
    <row r="215" spans="2:9" ht="15" customHeight="1" x14ac:dyDescent="0.25">
      <c r="B215" s="68">
        <f t="shared" si="1"/>
        <v>188</v>
      </c>
      <c r="C215" s="69">
        <f t="shared" si="22"/>
        <v>3301.9514721035957</v>
      </c>
      <c r="D215" s="69">
        <f t="shared" si="15"/>
        <v>9450.4862555214695</v>
      </c>
      <c r="E215" s="69">
        <f t="shared" si="23"/>
        <v>215000</v>
      </c>
      <c r="F215" s="69">
        <f t="shared" si="24"/>
        <v>6148.5347834178738</v>
      </c>
      <c r="G215" s="69">
        <f t="shared" si="25"/>
        <v>0</v>
      </c>
      <c r="H215" s="62">
        <f t="shared" si="26"/>
        <v>410232.12123146455</v>
      </c>
      <c r="I215" s="70">
        <f t="shared" si="27"/>
        <v>997155.16658358951</v>
      </c>
    </row>
    <row r="216" spans="2:9" ht="15" customHeight="1" x14ac:dyDescent="0.25">
      <c r="B216" s="68">
        <f t="shared" si="1"/>
        <v>189</v>
      </c>
      <c r="C216" s="69">
        <f t="shared" si="22"/>
        <v>3290.0904809353524</v>
      </c>
      <c r="D216" s="69">
        <f t="shared" si="15"/>
        <v>9450.4862555214695</v>
      </c>
      <c r="E216" s="69">
        <f t="shared" si="23"/>
        <v>213750</v>
      </c>
      <c r="F216" s="69">
        <f t="shared" si="24"/>
        <v>6160.3957745861171</v>
      </c>
      <c r="G216" s="69">
        <f t="shared" si="25"/>
        <v>0</v>
      </c>
      <c r="H216" s="62">
        <f t="shared" si="26"/>
        <v>420285.12465953082</v>
      </c>
      <c r="I216" s="70">
        <f t="shared" si="27"/>
        <v>1006616.9654829509</v>
      </c>
    </row>
    <row r="217" spans="2:9" ht="15" customHeight="1" x14ac:dyDescent="0.25">
      <c r="B217" s="68">
        <f t="shared" si="1"/>
        <v>190</v>
      </c>
      <c r="C217" s="69">
        <f t="shared" si="22"/>
        <v>3278.2294897671381</v>
      </c>
      <c r="D217" s="69">
        <f t="shared" si="15"/>
        <v>9450.4862555214695</v>
      </c>
      <c r="E217" s="69">
        <f t="shared" si="23"/>
        <v>212500</v>
      </c>
      <c r="F217" s="69">
        <f t="shared" si="24"/>
        <v>6172.2567657543314</v>
      </c>
      <c r="G217" s="69">
        <f t="shared" si="25"/>
        <v>0</v>
      </c>
      <c r="H217" s="62">
        <f t="shared" si="26"/>
        <v>430445.37994666485</v>
      </c>
      <c r="I217" s="70">
        <f t="shared" si="27"/>
        <v>1016168.545432857</v>
      </c>
    </row>
    <row r="218" spans="2:9" ht="15" customHeight="1" x14ac:dyDescent="0.25">
      <c r="B218" s="68">
        <f t="shared" si="1"/>
        <v>191</v>
      </c>
      <c r="C218" s="69">
        <f t="shared" si="22"/>
        <v>3266.3684985988948</v>
      </c>
      <c r="D218" s="69">
        <f t="shared" si="15"/>
        <v>9450.4862555214695</v>
      </c>
      <c r="E218" s="69">
        <f t="shared" si="23"/>
        <v>211250</v>
      </c>
      <c r="F218" s="69">
        <f t="shared" si="24"/>
        <v>6184.1177569225747</v>
      </c>
      <c r="G218" s="69">
        <f t="shared" si="25"/>
        <v>0</v>
      </c>
      <c r="H218" s="62">
        <f t="shared" si="26"/>
        <v>440713.90478354925</v>
      </c>
      <c r="I218" s="70">
        <f t="shared" si="27"/>
        <v>1025810.7583471058</v>
      </c>
    </row>
    <row r="219" spans="2:9" ht="15" customHeight="1" x14ac:dyDescent="0.25">
      <c r="B219" s="68">
        <f t="shared" si="1"/>
        <v>192</v>
      </c>
      <c r="C219" s="69">
        <f t="shared" si="22"/>
        <v>3254.5075074306806</v>
      </c>
      <c r="D219" s="69">
        <f t="shared" si="15"/>
        <v>10326.54633140831</v>
      </c>
      <c r="E219" s="69">
        <f t="shared" si="23"/>
        <v>210000</v>
      </c>
      <c r="F219" s="69">
        <f t="shared" si="24"/>
        <v>7072.0388239776294</v>
      </c>
      <c r="G219" s="69">
        <f t="shared" si="25"/>
        <v>0</v>
      </c>
      <c r="H219" s="62">
        <f t="shared" si="26"/>
        <v>451967.78659340955</v>
      </c>
      <c r="I219" s="70">
        <f t="shared" si="27"/>
        <v>1035544.4642231291</v>
      </c>
    </row>
    <row r="220" spans="2:9" ht="15" customHeight="1" x14ac:dyDescent="0.25">
      <c r="B220" s="68">
        <f t="shared" si="1"/>
        <v>193</v>
      </c>
      <c r="C220" s="69">
        <f t="shared" si="22"/>
        <v>3242.6465162624372</v>
      </c>
      <c r="D220" s="69">
        <f t="shared" si="15"/>
        <v>10326.54633140831</v>
      </c>
      <c r="E220" s="69">
        <f t="shared" si="23"/>
        <v>208750</v>
      </c>
      <c r="F220" s="69">
        <f t="shared" si="24"/>
        <v>7083.8998151458727</v>
      </c>
      <c r="G220" s="69">
        <f t="shared" si="25"/>
        <v>0</v>
      </c>
      <c r="H220" s="62">
        <f t="shared" si="26"/>
        <v>463340.31514864211</v>
      </c>
      <c r="I220" s="70">
        <f t="shared" si="27"/>
        <v>1045370.5312186962</v>
      </c>
    </row>
    <row r="221" spans="2:9" ht="15" customHeight="1" x14ac:dyDescent="0.25">
      <c r="B221" s="68">
        <f t="shared" si="1"/>
        <v>194</v>
      </c>
      <c r="C221" s="69">
        <f t="shared" ref="C221:C284" si="28">IF(B221="","",(($C$3-$F$3)/$F$5)+(((E220*($F$6+1)^(1/12))-E220)))</f>
        <v>3230.785525094223</v>
      </c>
      <c r="D221" s="69">
        <f t="shared" si="15"/>
        <v>10326.54633140831</v>
      </c>
      <c r="E221" s="69">
        <f t="shared" ref="E221:E284" si="29">IF(OR(E220=0,E220=""),"",E220-(($C$3-$F$3)/$F$5))</f>
        <v>207500</v>
      </c>
      <c r="F221" s="69">
        <f t="shared" ref="F221:F284" si="30">IF(B221="","",IF(D221&gt;C221,D221-C221,0))</f>
        <v>7095.7608063140869</v>
      </c>
      <c r="G221" s="69">
        <f t="shared" ref="G221:G284" si="31">IF(B221="","",IF(C221&gt;D221,C221-D221,0))</f>
        <v>0</v>
      </c>
      <c r="H221" s="62">
        <f t="shared" ref="H221:H284" si="32">IF(B221="","",(H220*(($I$5+1)^(1/12)))+F221)</f>
        <v>474832.61626364611</v>
      </c>
      <c r="I221" s="70">
        <f t="shared" ref="I221:I284" si="33">IF(B221="","",((I220*(($I$5+1)^(1/12)))+G221))</f>
        <v>1055289.8357293454</v>
      </c>
    </row>
    <row r="222" spans="2:9" ht="15" customHeight="1" x14ac:dyDescent="0.25">
      <c r="B222" s="68">
        <f t="shared" si="1"/>
        <v>195</v>
      </c>
      <c r="C222" s="69">
        <f t="shared" si="28"/>
        <v>3218.9245339259796</v>
      </c>
      <c r="D222" s="69">
        <f t="shared" si="15"/>
        <v>10326.54633140831</v>
      </c>
      <c r="E222" s="69">
        <f t="shared" si="29"/>
        <v>206250</v>
      </c>
      <c r="F222" s="69">
        <f t="shared" si="30"/>
        <v>7107.6217974823303</v>
      </c>
      <c r="G222" s="69">
        <f t="shared" si="31"/>
        <v>0</v>
      </c>
      <c r="H222" s="62">
        <f t="shared" si="32"/>
        <v>486445.82643544051</v>
      </c>
      <c r="I222" s="70">
        <f t="shared" si="33"/>
        <v>1065303.2624665513</v>
      </c>
    </row>
    <row r="223" spans="2:9" ht="15" customHeight="1" x14ac:dyDescent="0.25">
      <c r="B223" s="68">
        <f t="shared" si="1"/>
        <v>196</v>
      </c>
      <c r="C223" s="69">
        <f t="shared" si="28"/>
        <v>3207.0635427577654</v>
      </c>
      <c r="D223" s="69">
        <f t="shared" si="15"/>
        <v>10326.54633140831</v>
      </c>
      <c r="E223" s="69">
        <f t="shared" si="29"/>
        <v>205000</v>
      </c>
      <c r="F223" s="69">
        <f t="shared" si="30"/>
        <v>7119.4827886505445</v>
      </c>
      <c r="G223" s="69">
        <f t="shared" si="31"/>
        <v>0</v>
      </c>
      <c r="H223" s="62">
        <f t="shared" si="32"/>
        <v>498181.09294502909</v>
      </c>
      <c r="I223" s="70">
        <f t="shared" si="33"/>
        <v>1075411.7045366322</v>
      </c>
    </row>
    <row r="224" spans="2:9" ht="15" customHeight="1" x14ac:dyDescent="0.25">
      <c r="B224" s="68">
        <f t="shared" si="1"/>
        <v>197</v>
      </c>
      <c r="C224" s="69">
        <f t="shared" si="28"/>
        <v>3195.202551589522</v>
      </c>
      <c r="D224" s="69">
        <f t="shared" si="15"/>
        <v>10326.54633140831</v>
      </c>
      <c r="E224" s="69">
        <f t="shared" si="29"/>
        <v>203750</v>
      </c>
      <c r="F224" s="69">
        <f t="shared" si="30"/>
        <v>7131.3437798187879</v>
      </c>
      <c r="G224" s="69">
        <f t="shared" si="31"/>
        <v>0</v>
      </c>
      <c r="H224" s="62">
        <f t="shared" si="32"/>
        <v>510039.57395972754</v>
      </c>
      <c r="I224" s="70">
        <f t="shared" si="33"/>
        <v>1085616.0635204073</v>
      </c>
    </row>
    <row r="225" spans="2:9" ht="15" customHeight="1" x14ac:dyDescent="0.25">
      <c r="B225" s="68">
        <f t="shared" si="1"/>
        <v>198</v>
      </c>
      <c r="C225" s="69">
        <f t="shared" si="28"/>
        <v>3183.3415604213078</v>
      </c>
      <c r="D225" s="69">
        <f t="shared" si="15"/>
        <v>10326.54633140831</v>
      </c>
      <c r="E225" s="69">
        <f t="shared" si="29"/>
        <v>202500</v>
      </c>
      <c r="F225" s="69">
        <f t="shared" si="30"/>
        <v>7143.2047709870021</v>
      </c>
      <c r="G225" s="69">
        <f t="shared" si="31"/>
        <v>0</v>
      </c>
      <c r="H225" s="62">
        <f t="shared" si="32"/>
        <v>522022.43863646133</v>
      </c>
      <c r="I225" s="70">
        <f t="shared" si="33"/>
        <v>1095917.2495536096</v>
      </c>
    </row>
    <row r="226" spans="2:9" ht="15" customHeight="1" x14ac:dyDescent="0.25">
      <c r="B226" s="68">
        <f t="shared" si="1"/>
        <v>199</v>
      </c>
      <c r="C226" s="69">
        <f t="shared" si="28"/>
        <v>3171.4805692530645</v>
      </c>
      <c r="D226" s="69">
        <f t="shared" si="15"/>
        <v>10326.54633140831</v>
      </c>
      <c r="E226" s="69">
        <f t="shared" si="29"/>
        <v>201250</v>
      </c>
      <c r="F226" s="69">
        <f t="shared" si="30"/>
        <v>7155.0657621552455</v>
      </c>
      <c r="G226" s="69">
        <f t="shared" si="31"/>
        <v>0</v>
      </c>
      <c r="H226" s="62">
        <f t="shared" si="32"/>
        <v>534130.86722604407</v>
      </c>
      <c r="I226" s="70">
        <f t="shared" si="33"/>
        <v>1106316.1814080616</v>
      </c>
    </row>
    <row r="227" spans="2:9" ht="15" customHeight="1" x14ac:dyDescent="0.25">
      <c r="B227" s="68">
        <f t="shared" si="1"/>
        <v>200</v>
      </c>
      <c r="C227" s="69">
        <f t="shared" si="28"/>
        <v>3159.6195780848502</v>
      </c>
      <c r="D227" s="69">
        <f t="shared" si="15"/>
        <v>10326.54633140831</v>
      </c>
      <c r="E227" s="69">
        <f t="shared" si="29"/>
        <v>200000</v>
      </c>
      <c r="F227" s="69">
        <f t="shared" si="30"/>
        <v>7166.9267533234597</v>
      </c>
      <c r="G227" s="69">
        <f t="shared" si="31"/>
        <v>0</v>
      </c>
      <c r="H227" s="62">
        <f t="shared" si="32"/>
        <v>546366.05117844464</v>
      </c>
      <c r="I227" s="70">
        <f t="shared" si="33"/>
        <v>1116813.7865736214</v>
      </c>
    </row>
    <row r="228" spans="2:9" ht="15" customHeight="1" x14ac:dyDescent="0.25">
      <c r="B228" s="68">
        <f t="shared" si="1"/>
        <v>201</v>
      </c>
      <c r="C228" s="69">
        <f t="shared" si="28"/>
        <v>3147.7585869166069</v>
      </c>
      <c r="D228" s="69">
        <f t="shared" si="15"/>
        <v>10326.54633140831</v>
      </c>
      <c r="E228" s="69">
        <f t="shared" si="29"/>
        <v>198750</v>
      </c>
      <c r="F228" s="69">
        <f t="shared" si="30"/>
        <v>7178.7877444917031</v>
      </c>
      <c r="G228" s="69">
        <f t="shared" si="31"/>
        <v>0</v>
      </c>
      <c r="H228" s="62">
        <f t="shared" si="32"/>
        <v>558729.19324905437</v>
      </c>
      <c r="I228" s="70">
        <f t="shared" si="33"/>
        <v>1127411.0013409061</v>
      </c>
    </row>
    <row r="229" spans="2:9" ht="15" customHeight="1" x14ac:dyDescent="0.25">
      <c r="B229" s="68">
        <f t="shared" si="1"/>
        <v>202</v>
      </c>
      <c r="C229" s="69">
        <f t="shared" si="28"/>
        <v>3135.8975957483926</v>
      </c>
      <c r="D229" s="69">
        <f t="shared" si="15"/>
        <v>10326.54633140831</v>
      </c>
      <c r="E229" s="69">
        <f t="shared" si="29"/>
        <v>197500</v>
      </c>
      <c r="F229" s="69">
        <f t="shared" si="30"/>
        <v>7190.6487356599173</v>
      </c>
      <c r="G229" s="69">
        <f t="shared" si="31"/>
        <v>0</v>
      </c>
      <c r="H229" s="62">
        <f t="shared" si="32"/>
        <v>571221.50760596117</v>
      </c>
      <c r="I229" s="70">
        <f t="shared" si="33"/>
        <v>1138108.7708848009</v>
      </c>
    </row>
    <row r="230" spans="2:9" ht="15" customHeight="1" x14ac:dyDescent="0.25">
      <c r="B230" s="68">
        <f t="shared" si="1"/>
        <v>203</v>
      </c>
      <c r="C230" s="69">
        <f t="shared" si="28"/>
        <v>3124.0366045801493</v>
      </c>
      <c r="D230" s="69">
        <f t="shared" si="15"/>
        <v>10326.54633140831</v>
      </c>
      <c r="E230" s="69">
        <f t="shared" si="29"/>
        <v>196250</v>
      </c>
      <c r="F230" s="69">
        <f t="shared" si="30"/>
        <v>7202.5097268281606</v>
      </c>
      <c r="G230" s="69">
        <f t="shared" si="31"/>
        <v>0</v>
      </c>
      <c r="H230" s="62">
        <f t="shared" si="32"/>
        <v>583844.21993824269</v>
      </c>
      <c r="I230" s="70">
        <f t="shared" si="33"/>
        <v>1148908.0493487597</v>
      </c>
    </row>
    <row r="231" spans="2:9" ht="15" customHeight="1" x14ac:dyDescent="0.25">
      <c r="B231" s="68">
        <f t="shared" si="1"/>
        <v>204</v>
      </c>
      <c r="C231" s="69">
        <f t="shared" si="28"/>
        <v>3112.175613411935</v>
      </c>
      <c r="D231" s="69">
        <f t="shared" si="15"/>
        <v>11283.81717632986</v>
      </c>
      <c r="E231" s="69">
        <f t="shared" si="29"/>
        <v>195000</v>
      </c>
      <c r="F231" s="69">
        <f t="shared" si="30"/>
        <v>8171.6415629179246</v>
      </c>
      <c r="G231" s="69">
        <f t="shared" si="31"/>
        <v>0</v>
      </c>
      <c r="H231" s="62">
        <f t="shared" si="32"/>
        <v>597555.83841020777</v>
      </c>
      <c r="I231" s="70">
        <f t="shared" si="33"/>
        <v>1159809.7999299057</v>
      </c>
    </row>
    <row r="232" spans="2:9" ht="15" customHeight="1" x14ac:dyDescent="0.25">
      <c r="B232" s="68">
        <f t="shared" si="1"/>
        <v>205</v>
      </c>
      <c r="C232" s="69">
        <f t="shared" si="28"/>
        <v>3100.3146222436917</v>
      </c>
      <c r="D232" s="69">
        <f t="shared" si="15"/>
        <v>11283.81717632986</v>
      </c>
      <c r="E232" s="69">
        <f t="shared" si="29"/>
        <v>193750</v>
      </c>
      <c r="F232" s="69">
        <f t="shared" si="30"/>
        <v>8183.5025540861679</v>
      </c>
      <c r="G232" s="69">
        <f t="shared" si="31"/>
        <v>0</v>
      </c>
      <c r="H232" s="62">
        <f t="shared" si="32"/>
        <v>611409.42458181956</v>
      </c>
      <c r="I232" s="70">
        <f t="shared" si="33"/>
        <v>1170814.9949649407</v>
      </c>
    </row>
    <row r="233" spans="2:9" ht="15" customHeight="1" x14ac:dyDescent="0.25">
      <c r="B233" s="68">
        <f t="shared" si="1"/>
        <v>206</v>
      </c>
      <c r="C233" s="69">
        <f t="shared" si="28"/>
        <v>3088.4536310754775</v>
      </c>
      <c r="D233" s="69">
        <f t="shared" si="15"/>
        <v>11283.81717632986</v>
      </c>
      <c r="E233" s="69">
        <f t="shared" si="29"/>
        <v>192500</v>
      </c>
      <c r="F233" s="69">
        <f t="shared" si="30"/>
        <v>8195.3635452543822</v>
      </c>
      <c r="G233" s="69">
        <f t="shared" si="31"/>
        <v>0</v>
      </c>
      <c r="H233" s="62">
        <f t="shared" si="32"/>
        <v>625406.32555518334</v>
      </c>
      <c r="I233" s="70">
        <f t="shared" si="33"/>
        <v>1181924.616016868</v>
      </c>
    </row>
    <row r="234" spans="2:9" ht="15" customHeight="1" x14ac:dyDescent="0.25">
      <c r="B234" s="68">
        <f t="shared" si="1"/>
        <v>207</v>
      </c>
      <c r="C234" s="69">
        <f t="shared" si="28"/>
        <v>3076.5926399072341</v>
      </c>
      <c r="D234" s="69">
        <f t="shared" si="15"/>
        <v>11283.81717632986</v>
      </c>
      <c r="E234" s="69">
        <f t="shared" si="29"/>
        <v>191250</v>
      </c>
      <c r="F234" s="69">
        <f t="shared" si="30"/>
        <v>8207.2245364226255</v>
      </c>
      <c r="G234" s="69">
        <f t="shared" si="31"/>
        <v>0</v>
      </c>
      <c r="H234" s="62">
        <f t="shared" si="32"/>
        <v>639547.90121477761</v>
      </c>
      <c r="I234" s="70">
        <f t="shared" si="33"/>
        <v>1193139.6539625386</v>
      </c>
    </row>
    <row r="235" spans="2:9" ht="15" customHeight="1" x14ac:dyDescent="0.25">
      <c r="B235" s="68">
        <f t="shared" si="1"/>
        <v>208</v>
      </c>
      <c r="C235" s="69">
        <f t="shared" si="28"/>
        <v>3064.7316487390199</v>
      </c>
      <c r="D235" s="69">
        <f t="shared" si="15"/>
        <v>11283.81717632986</v>
      </c>
      <c r="E235" s="69">
        <f t="shared" si="29"/>
        <v>190000</v>
      </c>
      <c r="F235" s="69">
        <f t="shared" si="30"/>
        <v>8219.0855275908398</v>
      </c>
      <c r="G235" s="69">
        <f t="shared" si="31"/>
        <v>0</v>
      </c>
      <c r="H235" s="62">
        <f t="shared" si="32"/>
        <v>653835.52434874268</v>
      </c>
      <c r="I235" s="70">
        <f t="shared" si="33"/>
        <v>1204461.1090810292</v>
      </c>
    </row>
    <row r="236" spans="2:9" ht="15" customHeight="1" x14ac:dyDescent="0.25">
      <c r="B236" s="68">
        <f t="shared" si="1"/>
        <v>209</v>
      </c>
      <c r="C236" s="69">
        <f t="shared" si="28"/>
        <v>3052.8706575707765</v>
      </c>
      <c r="D236" s="69">
        <f t="shared" si="15"/>
        <v>11283.81717632986</v>
      </c>
      <c r="E236" s="69">
        <f t="shared" si="29"/>
        <v>188750</v>
      </c>
      <c r="F236" s="69">
        <f t="shared" si="30"/>
        <v>8230.9465187590831</v>
      </c>
      <c r="G236" s="69">
        <f t="shared" si="31"/>
        <v>0</v>
      </c>
      <c r="H236" s="62">
        <f t="shared" si="32"/>
        <v>668270.58077132155</v>
      </c>
      <c r="I236" s="70">
        <f t="shared" si="33"/>
        <v>1215889.9911428574</v>
      </c>
    </row>
    <row r="237" spans="2:9" ht="15" customHeight="1" x14ac:dyDescent="0.25">
      <c r="B237" s="68">
        <f t="shared" si="1"/>
        <v>210</v>
      </c>
      <c r="C237" s="69">
        <f t="shared" si="28"/>
        <v>3041.0096664025623</v>
      </c>
      <c r="D237" s="69">
        <f t="shared" si="15"/>
        <v>11283.81717632986</v>
      </c>
      <c r="E237" s="69">
        <f t="shared" si="29"/>
        <v>187500</v>
      </c>
      <c r="F237" s="69">
        <f t="shared" si="30"/>
        <v>8242.8075099272974</v>
      </c>
      <c r="G237" s="69">
        <f t="shared" si="31"/>
        <v>0</v>
      </c>
      <c r="H237" s="62">
        <f t="shared" si="32"/>
        <v>682854.46944646153</v>
      </c>
      <c r="I237" s="70">
        <f t="shared" si="33"/>
        <v>1227427.319500044</v>
      </c>
    </row>
    <row r="238" spans="2:9" ht="15" customHeight="1" x14ac:dyDescent="0.25">
      <c r="B238" s="68">
        <f t="shared" si="1"/>
        <v>211</v>
      </c>
      <c r="C238" s="69">
        <f t="shared" si="28"/>
        <v>3029.1486752343189</v>
      </c>
      <c r="D238" s="69">
        <f t="shared" si="15"/>
        <v>11283.81717632986</v>
      </c>
      <c r="E238" s="69">
        <f t="shared" si="29"/>
        <v>186250</v>
      </c>
      <c r="F238" s="69">
        <f t="shared" si="30"/>
        <v>8254.6685010955407</v>
      </c>
      <c r="G238" s="69">
        <f t="shared" si="31"/>
        <v>0</v>
      </c>
      <c r="H238" s="62">
        <f t="shared" si="32"/>
        <v>697588.60261258902</v>
      </c>
      <c r="I238" s="70">
        <f t="shared" si="33"/>
        <v>1239074.1231770301</v>
      </c>
    </row>
    <row r="239" spans="2:9" ht="15" customHeight="1" x14ac:dyDescent="0.25">
      <c r="B239" s="68">
        <f t="shared" si="1"/>
        <v>212</v>
      </c>
      <c r="C239" s="69">
        <f t="shared" si="28"/>
        <v>3017.2876840661047</v>
      </c>
      <c r="D239" s="69">
        <f t="shared" si="15"/>
        <v>11283.81717632986</v>
      </c>
      <c r="E239" s="69">
        <f t="shared" si="29"/>
        <v>185000</v>
      </c>
      <c r="F239" s="69">
        <f t="shared" si="30"/>
        <v>8266.5294922637549</v>
      </c>
      <c r="G239" s="69">
        <f t="shared" si="31"/>
        <v>0</v>
      </c>
      <c r="H239" s="62">
        <f t="shared" si="32"/>
        <v>712474.40590856876</v>
      </c>
      <c r="I239" s="70">
        <f t="shared" si="33"/>
        <v>1250831.4409624571</v>
      </c>
    </row>
    <row r="240" spans="2:9" ht="15" customHeight="1" x14ac:dyDescent="0.25">
      <c r="B240" s="68">
        <f t="shared" si="1"/>
        <v>213</v>
      </c>
      <c r="C240" s="69">
        <f t="shared" si="28"/>
        <v>3005.4266928978614</v>
      </c>
      <c r="D240" s="69">
        <f t="shared" si="15"/>
        <v>11283.81717632986</v>
      </c>
      <c r="E240" s="69">
        <f t="shared" si="29"/>
        <v>183750</v>
      </c>
      <c r="F240" s="69">
        <f t="shared" si="30"/>
        <v>8278.3904834319983</v>
      </c>
      <c r="G240" s="69">
        <f t="shared" si="31"/>
        <v>0</v>
      </c>
      <c r="H240" s="62">
        <f t="shared" si="32"/>
        <v>727513.31850085722</v>
      </c>
      <c r="I240" s="70">
        <f t="shared" si="33"/>
        <v>1262700.3215018159</v>
      </c>
    </row>
    <row r="241" spans="2:9" ht="15" customHeight="1" x14ac:dyDescent="0.25">
      <c r="B241" s="68">
        <f t="shared" si="1"/>
        <v>214</v>
      </c>
      <c r="C241" s="69">
        <f t="shared" si="28"/>
        <v>2993.5657017296471</v>
      </c>
      <c r="D241" s="69">
        <f t="shared" si="15"/>
        <v>11283.81717632986</v>
      </c>
      <c r="E241" s="69">
        <f t="shared" si="29"/>
        <v>182500</v>
      </c>
      <c r="F241" s="69">
        <f t="shared" si="30"/>
        <v>8290.2514746002125</v>
      </c>
      <c r="G241" s="69">
        <f t="shared" si="31"/>
        <v>0</v>
      </c>
      <c r="H241" s="62">
        <f t="shared" si="32"/>
        <v>742706.79321186338</v>
      </c>
      <c r="I241" s="70">
        <f t="shared" si="33"/>
        <v>1274681.8233909782</v>
      </c>
    </row>
    <row r="242" spans="2:9" ht="15" customHeight="1" x14ac:dyDescent="0.25">
      <c r="B242" s="68">
        <f t="shared" si="1"/>
        <v>215</v>
      </c>
      <c r="C242" s="69">
        <f t="shared" si="28"/>
        <v>2981.7047105614038</v>
      </c>
      <c r="D242" s="69">
        <f t="shared" si="15"/>
        <v>11283.81717632986</v>
      </c>
      <c r="E242" s="69">
        <f t="shared" si="29"/>
        <v>181250</v>
      </c>
      <c r="F242" s="69">
        <f t="shared" si="30"/>
        <v>8302.1124657684559</v>
      </c>
      <c r="G242" s="69">
        <f t="shared" si="31"/>
        <v>0</v>
      </c>
      <c r="H242" s="62">
        <f t="shared" si="32"/>
        <v>758056.29664952739</v>
      </c>
      <c r="I242" s="70">
        <f t="shared" si="33"/>
        <v>1286777.015270612</v>
      </c>
    </row>
    <row r="243" spans="2:9" ht="15" customHeight="1" x14ac:dyDescent="0.25">
      <c r="B243" s="68">
        <f t="shared" si="1"/>
        <v>216</v>
      </c>
      <c r="C243" s="69">
        <f t="shared" si="28"/>
        <v>2969.8437193931895</v>
      </c>
      <c r="D243" s="69">
        <f t="shared" si="15"/>
        <v>12329.827028575637</v>
      </c>
      <c r="E243" s="69">
        <f t="shared" si="29"/>
        <v>180000</v>
      </c>
      <c r="F243" s="69">
        <f t="shared" si="30"/>
        <v>9359.9833091824476</v>
      </c>
      <c r="G243" s="69">
        <f t="shared" si="31"/>
        <v>0</v>
      </c>
      <c r="H243" s="62">
        <f t="shared" si="32"/>
        <v>774609.31919037411</v>
      </c>
      <c r="I243" s="70">
        <f t="shared" si="33"/>
        <v>1298986.9759214956</v>
      </c>
    </row>
    <row r="244" spans="2:9" ht="15" customHeight="1" x14ac:dyDescent="0.25">
      <c r="B244" s="68">
        <f t="shared" si="1"/>
        <v>217</v>
      </c>
      <c r="C244" s="69">
        <f t="shared" si="28"/>
        <v>2957.9827282249462</v>
      </c>
      <c r="D244" s="69">
        <f t="shared" si="15"/>
        <v>12329.827028575637</v>
      </c>
      <c r="E244" s="69">
        <f t="shared" si="29"/>
        <v>178750</v>
      </c>
      <c r="F244" s="69">
        <f t="shared" si="30"/>
        <v>9371.8443003506909</v>
      </c>
      <c r="G244" s="69">
        <f t="shared" si="31"/>
        <v>0</v>
      </c>
      <c r="H244" s="62">
        <f t="shared" si="32"/>
        <v>791331.27092572057</v>
      </c>
      <c r="I244" s="70">
        <f t="shared" si="33"/>
        <v>1311312.7943607348</v>
      </c>
    </row>
    <row r="245" spans="2:9" ht="15" customHeight="1" x14ac:dyDescent="0.25">
      <c r="B245" s="68">
        <f t="shared" si="1"/>
        <v>218</v>
      </c>
      <c r="C245" s="69">
        <f t="shared" si="28"/>
        <v>2946.1217370567319</v>
      </c>
      <c r="D245" s="69">
        <f t="shared" si="15"/>
        <v>12329.827028575637</v>
      </c>
      <c r="E245" s="69">
        <f t="shared" si="29"/>
        <v>177500</v>
      </c>
      <c r="F245" s="69">
        <f t="shared" si="30"/>
        <v>9383.7052915189051</v>
      </c>
      <c r="G245" s="69">
        <f t="shared" si="31"/>
        <v>0</v>
      </c>
      <c r="H245" s="62">
        <f t="shared" si="32"/>
        <v>808223.75478971412</v>
      </c>
      <c r="I245" s="70">
        <f t="shared" si="33"/>
        <v>1323755.5699388932</v>
      </c>
    </row>
    <row r="246" spans="2:9" ht="15" customHeight="1" x14ac:dyDescent="0.25">
      <c r="B246" s="68">
        <f t="shared" si="1"/>
        <v>219</v>
      </c>
      <c r="C246" s="69">
        <f t="shared" si="28"/>
        <v>2934.2607458884886</v>
      </c>
      <c r="D246" s="69">
        <f t="shared" si="15"/>
        <v>12329.827028575637</v>
      </c>
      <c r="E246" s="69">
        <f t="shared" si="29"/>
        <v>176250</v>
      </c>
      <c r="F246" s="69">
        <f t="shared" si="30"/>
        <v>9395.5662826871485</v>
      </c>
      <c r="G246" s="69">
        <f t="shared" si="31"/>
        <v>0</v>
      </c>
      <c r="H246" s="62">
        <f t="shared" si="32"/>
        <v>825288.3889264121</v>
      </c>
      <c r="I246" s="70">
        <f t="shared" si="33"/>
        <v>1336316.4124380443</v>
      </c>
    </row>
    <row r="247" spans="2:9" ht="15" customHeight="1" x14ac:dyDescent="0.25">
      <c r="B247" s="68">
        <f t="shared" si="1"/>
        <v>220</v>
      </c>
      <c r="C247" s="69">
        <f t="shared" si="28"/>
        <v>2922.3997547202744</v>
      </c>
      <c r="D247" s="69">
        <f t="shared" si="15"/>
        <v>12329.827028575637</v>
      </c>
      <c r="E247" s="69">
        <f t="shared" si="29"/>
        <v>175000</v>
      </c>
      <c r="F247" s="69">
        <f t="shared" si="30"/>
        <v>9407.4272738553627</v>
      </c>
      <c r="G247" s="69">
        <f t="shared" si="31"/>
        <v>0</v>
      </c>
      <c r="H247" s="62">
        <f t="shared" si="32"/>
        <v>842526.80683410575</v>
      </c>
      <c r="I247" s="70">
        <f t="shared" si="33"/>
        <v>1348996.4421707538</v>
      </c>
    </row>
    <row r="248" spans="2:9" ht="15" customHeight="1" x14ac:dyDescent="0.25">
      <c r="B248" s="68">
        <f t="shared" si="1"/>
        <v>221</v>
      </c>
      <c r="C248" s="69">
        <f t="shared" si="28"/>
        <v>2910.538763552031</v>
      </c>
      <c r="D248" s="69">
        <f t="shared" si="15"/>
        <v>12329.827028575637</v>
      </c>
      <c r="E248" s="69">
        <f t="shared" si="29"/>
        <v>173750</v>
      </c>
      <c r="F248" s="69">
        <f t="shared" si="30"/>
        <v>9419.2882650236061</v>
      </c>
      <c r="G248" s="69">
        <f t="shared" si="31"/>
        <v>0</v>
      </c>
      <c r="H248" s="62">
        <f t="shared" si="32"/>
        <v>859940.65751101368</v>
      </c>
      <c r="I248" s="70">
        <f t="shared" si="33"/>
        <v>1361796.7900800013</v>
      </c>
    </row>
    <row r="249" spans="2:9" ht="15" customHeight="1" x14ac:dyDescent="0.25">
      <c r="B249" s="68">
        <f t="shared" si="1"/>
        <v>222</v>
      </c>
      <c r="C249" s="69">
        <f t="shared" si="28"/>
        <v>2898.6777723838168</v>
      </c>
      <c r="D249" s="69">
        <f t="shared" si="15"/>
        <v>12329.827028575637</v>
      </c>
      <c r="E249" s="69">
        <f t="shared" si="29"/>
        <v>172500</v>
      </c>
      <c r="F249" s="69">
        <f t="shared" si="30"/>
        <v>9431.1492561918203</v>
      </c>
      <c r="G249" s="69">
        <f t="shared" si="31"/>
        <v>0</v>
      </c>
      <c r="H249" s="62">
        <f t="shared" si="32"/>
        <v>877531.60560235672</v>
      </c>
      <c r="I249" s="70">
        <f t="shared" si="33"/>
        <v>1374718.5978400502</v>
      </c>
    </row>
    <row r="250" spans="2:9" ht="15" customHeight="1" x14ac:dyDescent="0.25">
      <c r="B250" s="68">
        <f t="shared" si="1"/>
        <v>223</v>
      </c>
      <c r="C250" s="69">
        <f t="shared" si="28"/>
        <v>2886.8167812155734</v>
      </c>
      <c r="D250" s="69">
        <f t="shared" si="15"/>
        <v>12329.827028575637</v>
      </c>
      <c r="E250" s="69">
        <f t="shared" si="29"/>
        <v>171250</v>
      </c>
      <c r="F250" s="69">
        <f t="shared" si="30"/>
        <v>9443.0102473600637</v>
      </c>
      <c r="G250" s="69">
        <f t="shared" si="31"/>
        <v>0</v>
      </c>
      <c r="H250" s="62">
        <f t="shared" si="32"/>
        <v>895301.3315488298</v>
      </c>
      <c r="I250" s="70">
        <f t="shared" si="33"/>
        <v>1387763.0179582748</v>
      </c>
    </row>
    <row r="251" spans="2:9" ht="15" customHeight="1" x14ac:dyDescent="0.25">
      <c r="B251" s="68">
        <f t="shared" si="1"/>
        <v>224</v>
      </c>
      <c r="C251" s="69">
        <f t="shared" si="28"/>
        <v>2874.9557900473592</v>
      </c>
      <c r="D251" s="69">
        <f t="shared" si="15"/>
        <v>12329.827028575637</v>
      </c>
      <c r="E251" s="69">
        <f t="shared" si="29"/>
        <v>170000</v>
      </c>
      <c r="F251" s="69">
        <f t="shared" si="30"/>
        <v>9454.8712385282779</v>
      </c>
      <c r="G251" s="69">
        <f t="shared" si="31"/>
        <v>0</v>
      </c>
      <c r="H251" s="62">
        <f t="shared" si="32"/>
        <v>913251.53173648135</v>
      </c>
      <c r="I251" s="70">
        <f t="shared" si="33"/>
        <v>1400931.2138779529</v>
      </c>
    </row>
    <row r="252" spans="2:9" ht="15" customHeight="1" x14ac:dyDescent="0.25">
      <c r="B252" s="68">
        <f t="shared" si="1"/>
        <v>225</v>
      </c>
      <c r="C252" s="69">
        <f t="shared" si="28"/>
        <v>2863.0947988791158</v>
      </c>
      <c r="D252" s="69">
        <f t="shared" si="15"/>
        <v>12329.827028575637</v>
      </c>
      <c r="E252" s="69">
        <f t="shared" si="29"/>
        <v>168750</v>
      </c>
      <c r="F252" s="69">
        <f t="shared" si="30"/>
        <v>9466.7322296965212</v>
      </c>
      <c r="G252" s="69">
        <f t="shared" si="31"/>
        <v>0</v>
      </c>
      <c r="H252" s="62">
        <f t="shared" si="32"/>
        <v>931383.91864801606</v>
      </c>
      <c r="I252" s="70">
        <f t="shared" si="33"/>
        <v>1414224.360082035</v>
      </c>
    </row>
    <row r="253" spans="2:9" ht="15" customHeight="1" x14ac:dyDescent="0.25">
      <c r="B253" s="68">
        <f t="shared" si="1"/>
        <v>226</v>
      </c>
      <c r="C253" s="69">
        <f t="shared" si="28"/>
        <v>2851.2338077109016</v>
      </c>
      <c r="D253" s="69">
        <f t="shared" si="15"/>
        <v>12329.827028575637</v>
      </c>
      <c r="E253" s="69">
        <f t="shared" si="29"/>
        <v>167500</v>
      </c>
      <c r="F253" s="69">
        <f t="shared" si="30"/>
        <v>9478.5932208647355</v>
      </c>
      <c r="G253" s="69">
        <f t="shared" si="31"/>
        <v>0</v>
      </c>
      <c r="H253" s="62">
        <f t="shared" si="32"/>
        <v>949700.22101553238</v>
      </c>
      <c r="I253" s="70">
        <f t="shared" si="33"/>
        <v>1427643.6421978965</v>
      </c>
    </row>
    <row r="254" spans="2:9" ht="15" customHeight="1" x14ac:dyDescent="0.25">
      <c r="B254" s="68">
        <f t="shared" si="1"/>
        <v>227</v>
      </c>
      <c r="C254" s="69">
        <f t="shared" si="28"/>
        <v>2839.3728165426583</v>
      </c>
      <c r="D254" s="69">
        <f t="shared" si="15"/>
        <v>12329.827028575637</v>
      </c>
      <c r="E254" s="69">
        <f t="shared" si="29"/>
        <v>166250</v>
      </c>
      <c r="F254" s="69">
        <f t="shared" si="30"/>
        <v>9490.4542120329788</v>
      </c>
      <c r="G254" s="69">
        <f t="shared" si="31"/>
        <v>0</v>
      </c>
      <c r="H254" s="62">
        <f t="shared" si="32"/>
        <v>968202.18397470948</v>
      </c>
      <c r="I254" s="70">
        <f t="shared" si="33"/>
        <v>1441190.2571030862</v>
      </c>
    </row>
    <row r="255" spans="2:9" ht="15" customHeight="1" x14ac:dyDescent="0.25">
      <c r="B255" s="68">
        <f t="shared" si="1"/>
        <v>228</v>
      </c>
      <c r="C255" s="69">
        <f t="shared" si="28"/>
        <v>2827.511825374444</v>
      </c>
      <c r="D255" s="69">
        <f t="shared" si="15"/>
        <v>13472.801994124598</v>
      </c>
      <c r="E255" s="69">
        <f t="shared" si="29"/>
        <v>165000</v>
      </c>
      <c r="F255" s="69">
        <f t="shared" si="30"/>
        <v>10645.290168750154</v>
      </c>
      <c r="G255" s="69">
        <f t="shared" si="31"/>
        <v>0</v>
      </c>
      <c r="H255" s="62">
        <f t="shared" si="32"/>
        <v>988034.54418600665</v>
      </c>
      <c r="I255" s="70">
        <f t="shared" si="33"/>
        <v>1454865.4130320759</v>
      </c>
    </row>
    <row r="256" spans="2:9" ht="15" customHeight="1" x14ac:dyDescent="0.25">
      <c r="B256" s="68">
        <f t="shared" si="1"/>
        <v>229</v>
      </c>
      <c r="C256" s="69">
        <f t="shared" si="28"/>
        <v>2815.6508342062007</v>
      </c>
      <c r="D256" s="69">
        <f t="shared" si="15"/>
        <v>13472.801994124598</v>
      </c>
      <c r="E256" s="69">
        <f t="shared" si="29"/>
        <v>163750</v>
      </c>
      <c r="F256" s="69">
        <f t="shared" si="30"/>
        <v>10657.151159918398</v>
      </c>
      <c r="G256" s="69">
        <f t="shared" si="31"/>
        <v>0</v>
      </c>
      <c r="H256" s="62">
        <f t="shared" si="32"/>
        <v>1008066.9505479212</v>
      </c>
      <c r="I256" s="70">
        <f t="shared" si="33"/>
        <v>1468670.329684024</v>
      </c>
    </row>
    <row r="257" spans="2:9" ht="15" customHeight="1" x14ac:dyDescent="0.25">
      <c r="B257" s="68">
        <f t="shared" si="1"/>
        <v>230</v>
      </c>
      <c r="C257" s="69">
        <f t="shared" si="28"/>
        <v>2803.7898430379864</v>
      </c>
      <c r="D257" s="69">
        <f t="shared" si="15"/>
        <v>13472.801994124598</v>
      </c>
      <c r="E257" s="69">
        <f t="shared" si="29"/>
        <v>162500</v>
      </c>
      <c r="F257" s="69">
        <f t="shared" si="30"/>
        <v>10669.012151086612</v>
      </c>
      <c r="G257" s="69">
        <f t="shared" si="31"/>
        <v>0</v>
      </c>
      <c r="H257" s="62">
        <f t="shared" si="32"/>
        <v>1028301.3012569536</v>
      </c>
      <c r="I257" s="70">
        <f t="shared" si="33"/>
        <v>1482606.2383315614</v>
      </c>
    </row>
    <row r="258" spans="2:9" ht="15" customHeight="1" x14ac:dyDescent="0.25">
      <c r="B258" s="68">
        <f t="shared" si="1"/>
        <v>231</v>
      </c>
      <c r="C258" s="69">
        <f t="shared" si="28"/>
        <v>2791.9288518697431</v>
      </c>
      <c r="D258" s="69">
        <f t="shared" si="15"/>
        <v>13472.801994124598</v>
      </c>
      <c r="E258" s="69">
        <f t="shared" si="29"/>
        <v>161250</v>
      </c>
      <c r="F258" s="69">
        <f t="shared" si="30"/>
        <v>10680.873142254855</v>
      </c>
      <c r="G258" s="69">
        <f t="shared" si="31"/>
        <v>0</v>
      </c>
      <c r="H258" s="62">
        <f t="shared" si="32"/>
        <v>1048739.512521198</v>
      </c>
      <c r="I258" s="70">
        <f t="shared" si="33"/>
        <v>1496674.3819306106</v>
      </c>
    </row>
    <row r="259" spans="2:9" ht="15" customHeight="1" x14ac:dyDescent="0.25">
      <c r="B259" s="68">
        <f t="shared" si="1"/>
        <v>232</v>
      </c>
      <c r="C259" s="69">
        <f t="shared" si="28"/>
        <v>2780.0678607015288</v>
      </c>
      <c r="D259" s="69">
        <f t="shared" si="15"/>
        <v>13472.801994124598</v>
      </c>
      <c r="E259" s="69">
        <f t="shared" si="29"/>
        <v>160000</v>
      </c>
      <c r="F259" s="69">
        <f t="shared" si="30"/>
        <v>10692.73413342307</v>
      </c>
      <c r="G259" s="69">
        <f t="shared" si="31"/>
        <v>0</v>
      </c>
      <c r="H259" s="62">
        <f t="shared" si="32"/>
        <v>1069383.5187312502</v>
      </c>
      <c r="I259" s="70">
        <f t="shared" si="33"/>
        <v>1510876.0152312452</v>
      </c>
    </row>
    <row r="260" spans="2:9" ht="15" customHeight="1" x14ac:dyDescent="0.25">
      <c r="B260" s="68">
        <f t="shared" si="1"/>
        <v>233</v>
      </c>
      <c r="C260" s="69">
        <f t="shared" si="28"/>
        <v>2768.2068695332855</v>
      </c>
      <c r="D260" s="69">
        <f t="shared" si="15"/>
        <v>13472.801994124598</v>
      </c>
      <c r="E260" s="69">
        <f t="shared" si="29"/>
        <v>158750</v>
      </c>
      <c r="F260" s="69">
        <f t="shared" si="30"/>
        <v>10704.595124591313</v>
      </c>
      <c r="G260" s="69">
        <f t="shared" si="31"/>
        <v>0</v>
      </c>
      <c r="H260" s="62">
        <f t="shared" si="32"/>
        <v>1090235.2726327381</v>
      </c>
      <c r="I260" s="70">
        <f t="shared" si="33"/>
        <v>1525212.4048896024</v>
      </c>
    </row>
    <row r="261" spans="2:9" ht="15" customHeight="1" x14ac:dyDescent="0.25">
      <c r="B261" s="68">
        <f t="shared" si="1"/>
        <v>234</v>
      </c>
      <c r="C261" s="69">
        <f t="shared" si="28"/>
        <v>2756.3458783650713</v>
      </c>
      <c r="D261" s="69">
        <f t="shared" si="15"/>
        <v>13472.801994124598</v>
      </c>
      <c r="E261" s="69">
        <f t="shared" si="29"/>
        <v>157500</v>
      </c>
      <c r="F261" s="69">
        <f t="shared" si="30"/>
        <v>10716.456115759527</v>
      </c>
      <c r="G261" s="69">
        <f t="shared" si="31"/>
        <v>0</v>
      </c>
      <c r="H261" s="62">
        <f t="shared" si="32"/>
        <v>1111296.7455004882</v>
      </c>
      <c r="I261" s="70">
        <f t="shared" si="33"/>
        <v>1539684.8295808574</v>
      </c>
    </row>
    <row r="262" spans="2:9" ht="15" customHeight="1" x14ac:dyDescent="0.25">
      <c r="B262" s="68">
        <f t="shared" si="1"/>
        <v>235</v>
      </c>
      <c r="C262" s="69">
        <f t="shared" si="28"/>
        <v>2744.4848871968279</v>
      </c>
      <c r="D262" s="69">
        <f t="shared" si="15"/>
        <v>13472.801994124598</v>
      </c>
      <c r="E262" s="69">
        <f t="shared" si="29"/>
        <v>156250</v>
      </c>
      <c r="F262" s="69">
        <f t="shared" si="30"/>
        <v>10728.317106927771</v>
      </c>
      <c r="G262" s="69">
        <f t="shared" si="31"/>
        <v>0</v>
      </c>
      <c r="H262" s="62">
        <f t="shared" si="32"/>
        <v>1132569.9273143462</v>
      </c>
      <c r="I262" s="70">
        <f t="shared" si="33"/>
        <v>1554294.5801132689</v>
      </c>
    </row>
    <row r="263" spans="2:9" ht="15" customHeight="1" x14ac:dyDescent="0.25">
      <c r="B263" s="68">
        <f t="shared" si="1"/>
        <v>236</v>
      </c>
      <c r="C263" s="69">
        <f t="shared" si="28"/>
        <v>2732.6238960286137</v>
      </c>
      <c r="D263" s="69">
        <f t="shared" si="15"/>
        <v>13472.801994124598</v>
      </c>
      <c r="E263" s="69">
        <f t="shared" si="29"/>
        <v>155000</v>
      </c>
      <c r="F263" s="69">
        <f t="shared" si="30"/>
        <v>10740.178098095985</v>
      </c>
      <c r="G263" s="69">
        <f t="shared" si="31"/>
        <v>0</v>
      </c>
      <c r="H263" s="62">
        <f t="shared" si="32"/>
        <v>1154056.8269366638</v>
      </c>
      <c r="I263" s="70">
        <f t="shared" si="33"/>
        <v>1569042.9595433085</v>
      </c>
    </row>
    <row r="264" spans="2:9" ht="15" customHeight="1" x14ac:dyDescent="0.25">
      <c r="B264" s="68">
        <f t="shared" si="1"/>
        <v>237</v>
      </c>
      <c r="C264" s="69">
        <f t="shared" si="28"/>
        <v>2720.7629048603703</v>
      </c>
      <c r="D264" s="69">
        <f t="shared" si="15"/>
        <v>13472.801994124598</v>
      </c>
      <c r="E264" s="69">
        <f t="shared" si="29"/>
        <v>153750</v>
      </c>
      <c r="F264" s="69">
        <f t="shared" si="30"/>
        <v>10752.039089264228</v>
      </c>
      <c r="G264" s="69">
        <f t="shared" si="31"/>
        <v>0</v>
      </c>
      <c r="H264" s="62">
        <f t="shared" si="32"/>
        <v>1175759.4722914719</v>
      </c>
      <c r="I264" s="70">
        <f t="shared" si="33"/>
        <v>1583931.2832918803</v>
      </c>
    </row>
    <row r="265" spans="2:9" ht="15" customHeight="1" x14ac:dyDescent="0.25">
      <c r="B265" s="68">
        <f t="shared" si="1"/>
        <v>238</v>
      </c>
      <c r="C265" s="69">
        <f t="shared" si="28"/>
        <v>2708.9019136921561</v>
      </c>
      <c r="D265" s="69">
        <f t="shared" si="15"/>
        <v>13472.801994124598</v>
      </c>
      <c r="E265" s="69">
        <f t="shared" si="29"/>
        <v>152500</v>
      </c>
      <c r="F265" s="69">
        <f t="shared" si="30"/>
        <v>10763.900080432442</v>
      </c>
      <c r="G265" s="69">
        <f t="shared" si="31"/>
        <v>0</v>
      </c>
      <c r="H265" s="62">
        <f t="shared" si="32"/>
        <v>1197679.9105453526</v>
      </c>
      <c r="I265" s="70">
        <f t="shared" si="33"/>
        <v>1598960.8792616453</v>
      </c>
    </row>
    <row r="266" spans="2:9" ht="15" customHeight="1" x14ac:dyDescent="0.25">
      <c r="B266" s="68">
        <f t="shared" si="1"/>
        <v>239</v>
      </c>
      <c r="C266" s="69">
        <f t="shared" si="28"/>
        <v>2697.0409225239127</v>
      </c>
      <c r="D266" s="69">
        <f t="shared" si="15"/>
        <v>13472.801994124598</v>
      </c>
      <c r="E266" s="69">
        <f t="shared" si="29"/>
        <v>151250</v>
      </c>
      <c r="F266" s="69">
        <f t="shared" si="30"/>
        <v>10775.761071600686</v>
      </c>
      <c r="G266" s="69">
        <f t="shared" si="31"/>
        <v>0</v>
      </c>
      <c r="H266" s="62">
        <f t="shared" si="32"/>
        <v>1219820.2082900282</v>
      </c>
      <c r="I266" s="70">
        <f t="shared" si="33"/>
        <v>1614133.0879554579</v>
      </c>
    </row>
    <row r="267" spans="2:9" ht="15" customHeight="1" x14ac:dyDescent="0.25">
      <c r="B267" s="68">
        <f t="shared" si="1"/>
        <v>240</v>
      </c>
      <c r="C267" s="69">
        <f t="shared" si="28"/>
        <v>2685.1799313556985</v>
      </c>
      <c r="D267" s="69">
        <f t="shared" si="15"/>
        <v>14721.730738979948</v>
      </c>
      <c r="E267" s="69">
        <f t="shared" si="29"/>
        <v>150000</v>
      </c>
      <c r="F267" s="69">
        <f t="shared" si="30"/>
        <v>12036.55080762425</v>
      </c>
      <c r="G267" s="69">
        <f t="shared" si="31"/>
        <v>0</v>
      </c>
      <c r="H267" s="62">
        <f t="shared" si="32"/>
        <v>1243431.3804715367</v>
      </c>
      <c r="I267" s="70">
        <f t="shared" si="33"/>
        <v>1629449.2625959264</v>
      </c>
    </row>
    <row r="268" spans="2:9" ht="15" customHeight="1" x14ac:dyDescent="0.25">
      <c r="B268" s="68">
        <f t="shared" si="1"/>
        <v>241</v>
      </c>
      <c r="C268" s="69">
        <f t="shared" si="28"/>
        <v>2673.3189401874552</v>
      </c>
      <c r="D268" s="69">
        <f t="shared" si="15"/>
        <v>14721.730738979948</v>
      </c>
      <c r="E268" s="69">
        <f t="shared" si="29"/>
        <v>148750</v>
      </c>
      <c r="F268" s="69">
        <f t="shared" si="30"/>
        <v>12048.411798792493</v>
      </c>
      <c r="G268" s="69">
        <f t="shared" si="31"/>
        <v>0</v>
      </c>
      <c r="H268" s="62">
        <f t="shared" si="32"/>
        <v>1267278.4551679862</v>
      </c>
      <c r="I268" s="70">
        <f t="shared" si="33"/>
        <v>1644910.7692461081</v>
      </c>
    </row>
    <row r="269" spans="2:9" ht="15" customHeight="1" x14ac:dyDescent="0.25">
      <c r="B269" s="68">
        <f t="shared" si="1"/>
        <v>242</v>
      </c>
      <c r="C269" s="69">
        <f t="shared" si="28"/>
        <v>2661.4579490192409</v>
      </c>
      <c r="D269" s="69">
        <f t="shared" si="15"/>
        <v>14721.730738979948</v>
      </c>
      <c r="E269" s="69">
        <f t="shared" si="29"/>
        <v>147500</v>
      </c>
      <c r="F269" s="69">
        <f t="shared" si="30"/>
        <v>12060.272789960707</v>
      </c>
      <c r="G269" s="69">
        <f t="shared" si="31"/>
        <v>0</v>
      </c>
      <c r="H269" s="62">
        <f t="shared" si="32"/>
        <v>1291363.6708094943</v>
      </c>
      <c r="I269" s="70">
        <f t="shared" si="33"/>
        <v>1660518.9869313501</v>
      </c>
    </row>
    <row r="270" spans="2:9" ht="15" customHeight="1" x14ac:dyDescent="0.25">
      <c r="B270" s="68">
        <f t="shared" si="1"/>
        <v>243</v>
      </c>
      <c r="C270" s="69">
        <f t="shared" si="28"/>
        <v>2649.5969578509976</v>
      </c>
      <c r="D270" s="69">
        <f t="shared" si="15"/>
        <v>14721.730738979948</v>
      </c>
      <c r="E270" s="69">
        <f t="shared" si="29"/>
        <v>146250</v>
      </c>
      <c r="F270" s="69">
        <f t="shared" si="30"/>
        <v>12072.13378112895</v>
      </c>
      <c r="G270" s="69">
        <f t="shared" si="31"/>
        <v>0</v>
      </c>
      <c r="H270" s="62">
        <f t="shared" si="32"/>
        <v>1315689.2870661777</v>
      </c>
      <c r="I270" s="70">
        <f t="shared" si="33"/>
        <v>1676275.3077622852</v>
      </c>
    </row>
    <row r="271" spans="2:9" ht="15" customHeight="1" x14ac:dyDescent="0.25">
      <c r="B271" s="68">
        <f t="shared" si="1"/>
        <v>244</v>
      </c>
      <c r="C271" s="69">
        <f t="shared" si="28"/>
        <v>2637.7359666827833</v>
      </c>
      <c r="D271" s="69">
        <f t="shared" si="15"/>
        <v>14721.730738979948</v>
      </c>
      <c r="E271" s="69">
        <f t="shared" si="29"/>
        <v>145000</v>
      </c>
      <c r="F271" s="69">
        <f t="shared" si="30"/>
        <v>12083.994772297165</v>
      </c>
      <c r="G271" s="69">
        <f t="shared" si="31"/>
        <v>0</v>
      </c>
      <c r="H271" s="62">
        <f t="shared" si="32"/>
        <v>1340257.5850496949</v>
      </c>
      <c r="I271" s="70">
        <f t="shared" si="33"/>
        <v>1692181.1370589961</v>
      </c>
    </row>
    <row r="272" spans="2:9" ht="15" customHeight="1" x14ac:dyDescent="0.25">
      <c r="B272" s="68">
        <f t="shared" si="1"/>
        <v>245</v>
      </c>
      <c r="C272" s="69">
        <f t="shared" si="28"/>
        <v>2625.87497551454</v>
      </c>
      <c r="D272" s="69">
        <f t="shared" si="15"/>
        <v>14721.730738979948</v>
      </c>
      <c r="E272" s="69">
        <f t="shared" si="29"/>
        <v>143750</v>
      </c>
      <c r="F272" s="69">
        <f t="shared" si="30"/>
        <v>12095.855763465408</v>
      </c>
      <c r="G272" s="69">
        <f t="shared" si="31"/>
        <v>0</v>
      </c>
      <c r="H272" s="62">
        <f t="shared" si="32"/>
        <v>1365070.8675167011</v>
      </c>
      <c r="I272" s="70">
        <f t="shared" si="33"/>
        <v>1708237.8934763563</v>
      </c>
    </row>
    <row r="273" spans="2:9" ht="15" customHeight="1" x14ac:dyDescent="0.25">
      <c r="B273" s="68">
        <f t="shared" si="1"/>
        <v>246</v>
      </c>
      <c r="C273" s="69">
        <f t="shared" si="28"/>
        <v>2614.0139843463257</v>
      </c>
      <c r="D273" s="69">
        <f t="shared" si="15"/>
        <v>14721.730738979948</v>
      </c>
      <c r="E273" s="69">
        <f t="shared" si="29"/>
        <v>142500</v>
      </c>
      <c r="F273" s="69">
        <f t="shared" si="30"/>
        <v>12107.716754633622</v>
      </c>
      <c r="G273" s="69">
        <f t="shared" si="31"/>
        <v>0</v>
      </c>
      <c r="H273" s="62">
        <f t="shared" si="32"/>
        <v>1390131.4590742325</v>
      </c>
      <c r="I273" s="70">
        <f t="shared" si="33"/>
        <v>1724447.0091305617</v>
      </c>
    </row>
    <row r="274" spans="2:9" ht="15" customHeight="1" x14ac:dyDescent="0.25">
      <c r="B274" s="68">
        <f t="shared" si="1"/>
        <v>247</v>
      </c>
      <c r="C274" s="69">
        <f t="shared" si="28"/>
        <v>2602.1529931780824</v>
      </c>
      <c r="D274" s="69">
        <f t="shared" si="15"/>
        <v>14721.730738979948</v>
      </c>
      <c r="E274" s="69">
        <f t="shared" si="29"/>
        <v>141250</v>
      </c>
      <c r="F274" s="69">
        <f t="shared" si="30"/>
        <v>12119.577745801866</v>
      </c>
      <c r="G274" s="69">
        <f t="shared" si="31"/>
        <v>0</v>
      </c>
      <c r="H274" s="62">
        <f t="shared" si="32"/>
        <v>1415441.7063870395</v>
      </c>
      <c r="I274" s="70">
        <f t="shared" si="33"/>
        <v>1740809.9297268626</v>
      </c>
    </row>
    <row r="275" spans="2:9" ht="15" customHeight="1" x14ac:dyDescent="0.25">
      <c r="B275" s="68">
        <f t="shared" si="1"/>
        <v>248</v>
      </c>
      <c r="C275" s="69">
        <f t="shared" si="28"/>
        <v>2590.2920020098682</v>
      </c>
      <c r="D275" s="69">
        <f t="shared" si="15"/>
        <v>14721.730738979948</v>
      </c>
      <c r="E275" s="69">
        <f t="shared" si="29"/>
        <v>140000</v>
      </c>
      <c r="F275" s="69">
        <f t="shared" si="30"/>
        <v>12131.43873697008</v>
      </c>
      <c r="G275" s="69">
        <f t="shared" si="31"/>
        <v>0</v>
      </c>
      <c r="H275" s="62">
        <f t="shared" si="32"/>
        <v>1441003.978386889</v>
      </c>
      <c r="I275" s="70">
        <f t="shared" si="33"/>
        <v>1757328.1146885068</v>
      </c>
    </row>
    <row r="276" spans="2:9" ht="15" customHeight="1" x14ac:dyDescent="0.25">
      <c r="B276" s="68">
        <f t="shared" si="1"/>
        <v>249</v>
      </c>
      <c r="C276" s="69">
        <f t="shared" si="28"/>
        <v>2578.4310108416248</v>
      </c>
      <c r="D276" s="69">
        <f t="shared" si="15"/>
        <v>14721.730738979948</v>
      </c>
      <c r="E276" s="69">
        <f t="shared" si="29"/>
        <v>138750</v>
      </c>
      <c r="F276" s="69">
        <f t="shared" si="30"/>
        <v>12143.299728138323</v>
      </c>
      <c r="G276" s="69">
        <f t="shared" si="31"/>
        <v>0</v>
      </c>
      <c r="H276" s="62">
        <f t="shared" si="32"/>
        <v>1466820.6664838509</v>
      </c>
      <c r="I276" s="70">
        <f t="shared" si="33"/>
        <v>1774003.0372869072</v>
      </c>
    </row>
    <row r="277" spans="2:9" ht="15" customHeight="1" x14ac:dyDescent="0.25">
      <c r="B277" s="68">
        <f t="shared" si="1"/>
        <v>250</v>
      </c>
      <c r="C277" s="69">
        <f t="shared" si="28"/>
        <v>2566.5700196734106</v>
      </c>
      <c r="D277" s="69">
        <f t="shared" si="15"/>
        <v>14721.730738979948</v>
      </c>
      <c r="E277" s="69">
        <f t="shared" si="29"/>
        <v>137500</v>
      </c>
      <c r="F277" s="69">
        <f t="shared" si="30"/>
        <v>12155.160719306537</v>
      </c>
      <c r="G277" s="69">
        <f t="shared" si="31"/>
        <v>0</v>
      </c>
      <c r="H277" s="62">
        <f t="shared" si="32"/>
        <v>1492894.1847795898</v>
      </c>
      <c r="I277" s="70">
        <f t="shared" si="33"/>
        <v>1790836.184773044</v>
      </c>
    </row>
    <row r="278" spans="2:9" ht="15" customHeight="1" x14ac:dyDescent="0.25">
      <c r="B278" s="68">
        <f t="shared" si="1"/>
        <v>251</v>
      </c>
      <c r="C278" s="69">
        <f t="shared" si="28"/>
        <v>2554.7090285051672</v>
      </c>
      <c r="D278" s="69">
        <f t="shared" si="15"/>
        <v>14721.730738979948</v>
      </c>
      <c r="E278" s="69">
        <f t="shared" si="29"/>
        <v>136250</v>
      </c>
      <c r="F278" s="69">
        <f t="shared" si="30"/>
        <v>12167.021710474781</v>
      </c>
      <c r="G278" s="69">
        <f t="shared" si="31"/>
        <v>0</v>
      </c>
      <c r="H278" s="62">
        <f t="shared" si="32"/>
        <v>1519226.9702826813</v>
      </c>
      <c r="I278" s="70">
        <f t="shared" si="33"/>
        <v>1807829.058510114</v>
      </c>
    </row>
    <row r="279" spans="2:9" ht="15" customHeight="1" x14ac:dyDescent="0.25">
      <c r="B279" s="68">
        <f t="shared" si="1"/>
        <v>252</v>
      </c>
      <c r="C279" s="69">
        <f t="shared" si="28"/>
        <v>2542.848037336953</v>
      </c>
      <c r="D279" s="69">
        <f t="shared" si="15"/>
        <v>16086.435178483389</v>
      </c>
      <c r="E279" s="69">
        <f t="shared" si="29"/>
        <v>135000</v>
      </c>
      <c r="F279" s="69">
        <f t="shared" si="30"/>
        <v>13543.587141146436</v>
      </c>
      <c r="G279" s="69">
        <f t="shared" si="31"/>
        <v>0</v>
      </c>
      <c r="H279" s="62">
        <f t="shared" si="32"/>
        <v>1547186.1875654741</v>
      </c>
      <c r="I279" s="70">
        <f t="shared" si="33"/>
        <v>1824983.1741074387</v>
      </c>
    </row>
    <row r="280" spans="2:9" ht="15" customHeight="1" x14ac:dyDescent="0.25">
      <c r="B280" s="68">
        <f t="shared" si="1"/>
        <v>253</v>
      </c>
      <c r="C280" s="69">
        <f t="shared" si="28"/>
        <v>2530.9870461687096</v>
      </c>
      <c r="D280" s="69">
        <f t="shared" si="15"/>
        <v>16086.435178483389</v>
      </c>
      <c r="E280" s="69">
        <f t="shared" si="29"/>
        <v>133750</v>
      </c>
      <c r="F280" s="69">
        <f t="shared" si="30"/>
        <v>13555.448132314679</v>
      </c>
      <c r="G280" s="69">
        <f t="shared" si="31"/>
        <v>0</v>
      </c>
      <c r="H280" s="62">
        <f t="shared" si="32"/>
        <v>1575422.5650628444</v>
      </c>
      <c r="I280" s="70">
        <f t="shared" si="33"/>
        <v>1842300.0615556422</v>
      </c>
    </row>
    <row r="281" spans="2:9" ht="15" customHeight="1" x14ac:dyDescent="0.25">
      <c r="B281" s="68">
        <f t="shared" si="1"/>
        <v>254</v>
      </c>
      <c r="C281" s="69">
        <f t="shared" si="28"/>
        <v>2519.1260550004954</v>
      </c>
      <c r="D281" s="69">
        <f t="shared" si="15"/>
        <v>16086.435178483389</v>
      </c>
      <c r="E281" s="69">
        <f t="shared" si="29"/>
        <v>132500</v>
      </c>
      <c r="F281" s="69">
        <f t="shared" si="30"/>
        <v>13567.309123482893</v>
      </c>
      <c r="G281" s="69">
        <f t="shared" si="31"/>
        <v>0</v>
      </c>
      <c r="H281" s="62">
        <f t="shared" si="32"/>
        <v>1603938.7326906782</v>
      </c>
      <c r="I281" s="70">
        <f t="shared" si="33"/>
        <v>1859781.2653631133</v>
      </c>
    </row>
    <row r="282" spans="2:9" ht="15" customHeight="1" x14ac:dyDescent="0.25">
      <c r="B282" s="68">
        <f t="shared" si="1"/>
        <v>255</v>
      </c>
      <c r="C282" s="69">
        <f t="shared" si="28"/>
        <v>2507.2650638322521</v>
      </c>
      <c r="D282" s="69">
        <f t="shared" si="15"/>
        <v>16086.435178483389</v>
      </c>
      <c r="E282" s="69">
        <f t="shared" si="29"/>
        <v>131250</v>
      </c>
      <c r="F282" s="69">
        <f t="shared" si="30"/>
        <v>13579.170114651137</v>
      </c>
      <c r="G282" s="69">
        <f t="shared" si="31"/>
        <v>0</v>
      </c>
      <c r="H282" s="62">
        <f t="shared" si="32"/>
        <v>1632737.3453195887</v>
      </c>
      <c r="I282" s="70">
        <f t="shared" si="33"/>
        <v>1877428.3446937606</v>
      </c>
    </row>
    <row r="283" spans="2:9" ht="15" customHeight="1" x14ac:dyDescent="0.25">
      <c r="B283" s="68">
        <f t="shared" ref="B283:B387" si="34">IFERROR(IF((B282+1)&gt;$F$5,"",B282+1),"")</f>
        <v>256</v>
      </c>
      <c r="C283" s="69">
        <f t="shared" si="28"/>
        <v>2495.4040726640378</v>
      </c>
      <c r="D283" s="69">
        <f t="shared" si="15"/>
        <v>16086.435178483389</v>
      </c>
      <c r="E283" s="69">
        <f t="shared" si="29"/>
        <v>130000</v>
      </c>
      <c r="F283" s="69">
        <f t="shared" si="30"/>
        <v>13591.031105819351</v>
      </c>
      <c r="G283" s="69">
        <f t="shared" si="31"/>
        <v>0</v>
      </c>
      <c r="H283" s="62">
        <f t="shared" si="32"/>
        <v>1661821.0830117064</v>
      </c>
      <c r="I283" s="70">
        <f t="shared" si="33"/>
        <v>1895242.8735060766</v>
      </c>
    </row>
    <row r="284" spans="2:9" ht="15" customHeight="1" x14ac:dyDescent="0.25">
      <c r="B284" s="68">
        <f t="shared" si="34"/>
        <v>257</v>
      </c>
      <c r="C284" s="69">
        <f t="shared" si="28"/>
        <v>2483.5430814957945</v>
      </c>
      <c r="D284" s="69">
        <f t="shared" si="15"/>
        <v>16086.435178483389</v>
      </c>
      <c r="E284" s="69">
        <f t="shared" si="29"/>
        <v>128750</v>
      </c>
      <c r="F284" s="69">
        <f t="shared" si="30"/>
        <v>13602.892096987594</v>
      </c>
      <c r="G284" s="69">
        <f t="shared" si="31"/>
        <v>0</v>
      </c>
      <c r="H284" s="62">
        <f t="shared" si="32"/>
        <v>1691192.6512597166</v>
      </c>
      <c r="I284" s="70">
        <f t="shared" si="33"/>
        <v>1913226.44069352</v>
      </c>
    </row>
    <row r="285" spans="2:9" ht="15" customHeight="1" x14ac:dyDescent="0.25">
      <c r="B285" s="68">
        <f t="shared" si="34"/>
        <v>258</v>
      </c>
      <c r="C285" s="69">
        <f t="shared" ref="C285:C348" si="35">IF(B285="","",(($C$3-$F$3)/$F$5)+(((E284*($F$6+1)^(1/12))-E284)))</f>
        <v>2471.6820903275657</v>
      </c>
      <c r="D285" s="69">
        <f t="shared" si="15"/>
        <v>16086.435178483389</v>
      </c>
      <c r="E285" s="69">
        <f t="shared" ref="E285:E348" si="36">IF(OR(E284=0,E284=""),"",E284-(($C$3-$F$3)/$F$5))</f>
        <v>127500</v>
      </c>
      <c r="F285" s="69">
        <f t="shared" ref="F285:F348" si="37">IF(B285="","",IF(D285&gt;C285,D285-C285,0))</f>
        <v>13614.753088155823</v>
      </c>
      <c r="G285" s="69">
        <f t="shared" ref="G285:G348" si="38">IF(B285="","",IF(C285&gt;D285,C285-D285,0))</f>
        <v>0</v>
      </c>
      <c r="H285" s="62">
        <f t="shared" ref="H285:H348" si="39">IF(B285="","",(H284*(($I$5+1)^(1/12)))+F285)</f>
        <v>1720854.7812281644</v>
      </c>
      <c r="I285" s="70">
        <f t="shared" ref="I285:I348" si="40">IF(B285="","",((I284*(($I$5+1)^(1/12)))+G285))</f>
        <v>1931380.65022623</v>
      </c>
    </row>
    <row r="286" spans="2:9" ht="15" customHeight="1" x14ac:dyDescent="0.25">
      <c r="B286" s="68">
        <f t="shared" si="34"/>
        <v>259</v>
      </c>
      <c r="C286" s="69">
        <f t="shared" si="35"/>
        <v>2459.8210991593369</v>
      </c>
      <c r="D286" s="69">
        <f t="shared" si="15"/>
        <v>16086.435178483389</v>
      </c>
      <c r="E286" s="69">
        <f t="shared" si="36"/>
        <v>126250</v>
      </c>
      <c r="F286" s="69">
        <f t="shared" si="37"/>
        <v>13626.614079324052</v>
      </c>
      <c r="G286" s="69">
        <f t="shared" si="38"/>
        <v>0</v>
      </c>
      <c r="H286" s="62">
        <f t="shared" si="39"/>
        <v>1750810.2299970498</v>
      </c>
      <c r="I286" s="70">
        <f t="shared" si="40"/>
        <v>1949707.121294087</v>
      </c>
    </row>
    <row r="287" spans="2:9" ht="15" customHeight="1" x14ac:dyDescent="0.25">
      <c r="B287" s="68">
        <f t="shared" si="34"/>
        <v>260</v>
      </c>
      <c r="C287" s="69">
        <f t="shared" si="35"/>
        <v>2447.9601079911081</v>
      </c>
      <c r="D287" s="69">
        <f t="shared" si="15"/>
        <v>16086.435178483389</v>
      </c>
      <c r="E287" s="69">
        <f t="shared" si="36"/>
        <v>125000</v>
      </c>
      <c r="F287" s="69">
        <f t="shared" si="37"/>
        <v>13638.475070492281</v>
      </c>
      <c r="G287" s="69">
        <f t="shared" si="38"/>
        <v>0</v>
      </c>
      <c r="H287" s="62">
        <f t="shared" si="39"/>
        <v>1781061.7808077338</v>
      </c>
      <c r="I287" s="70">
        <f t="shared" si="40"/>
        <v>1968207.4884511286</v>
      </c>
    </row>
    <row r="288" spans="2:9" ht="15" customHeight="1" x14ac:dyDescent="0.25">
      <c r="B288" s="68">
        <f t="shared" si="34"/>
        <v>261</v>
      </c>
      <c r="C288" s="69">
        <f t="shared" si="35"/>
        <v>2436.0991168228793</v>
      </c>
      <c r="D288" s="69">
        <f t="shared" si="15"/>
        <v>16086.435178483389</v>
      </c>
      <c r="E288" s="69">
        <f t="shared" si="36"/>
        <v>123750</v>
      </c>
      <c r="F288" s="69">
        <f t="shared" si="37"/>
        <v>13650.33606166051</v>
      </c>
      <c r="G288" s="69">
        <f t="shared" si="38"/>
        <v>0</v>
      </c>
      <c r="H288" s="62">
        <f t="shared" si="39"/>
        <v>1811612.2433111786</v>
      </c>
      <c r="I288" s="70">
        <f t="shared" si="40"/>
        <v>1986883.4017613372</v>
      </c>
    </row>
    <row r="289" spans="2:9" ht="15" customHeight="1" x14ac:dyDescent="0.25">
      <c r="B289" s="68">
        <f t="shared" si="34"/>
        <v>262</v>
      </c>
      <c r="C289" s="69">
        <f t="shared" si="35"/>
        <v>2424.2381256546505</v>
      </c>
      <c r="D289" s="69">
        <f t="shared" si="15"/>
        <v>16086.435178483389</v>
      </c>
      <c r="E289" s="69">
        <f t="shared" si="36"/>
        <v>122500</v>
      </c>
      <c r="F289" s="69">
        <f t="shared" si="37"/>
        <v>13662.197052828738</v>
      </c>
      <c r="G289" s="69">
        <f t="shared" si="38"/>
        <v>0</v>
      </c>
      <c r="H289" s="62">
        <f t="shared" si="39"/>
        <v>1842464.4538185426</v>
      </c>
      <c r="I289" s="70">
        <f t="shared" si="40"/>
        <v>2005736.5269458105</v>
      </c>
    </row>
    <row r="290" spans="2:9" ht="15" customHeight="1" x14ac:dyDescent="0.25">
      <c r="B290" s="68">
        <f t="shared" si="34"/>
        <v>263</v>
      </c>
      <c r="C290" s="69">
        <f t="shared" si="35"/>
        <v>2412.3771344864217</v>
      </c>
      <c r="D290" s="69">
        <f t="shared" si="15"/>
        <v>16086.435178483389</v>
      </c>
      <c r="E290" s="69">
        <f t="shared" si="36"/>
        <v>121250</v>
      </c>
      <c r="F290" s="69">
        <f t="shared" si="37"/>
        <v>13674.058043996967</v>
      </c>
      <c r="G290" s="69">
        <f t="shared" si="38"/>
        <v>0</v>
      </c>
      <c r="H290" s="62">
        <f t="shared" si="39"/>
        <v>1873621.2755541534</v>
      </c>
      <c r="I290" s="70">
        <f t="shared" si="40"/>
        <v>2024768.545531329</v>
      </c>
    </row>
    <row r="291" spans="2:9" ht="15" customHeight="1" x14ac:dyDescent="0.25">
      <c r="B291" s="68">
        <f t="shared" si="34"/>
        <v>264</v>
      </c>
      <c r="C291" s="69">
        <f t="shared" si="35"/>
        <v>2400.5161433181929</v>
      </c>
      <c r="D291" s="69">
        <f t="shared" si="15"/>
        <v>17577.647719528799</v>
      </c>
      <c r="E291" s="69">
        <f t="shared" si="36"/>
        <v>120000</v>
      </c>
      <c r="F291" s="69">
        <f t="shared" si="37"/>
        <v>15177.131576210606</v>
      </c>
      <c r="G291" s="69">
        <f t="shared" si="38"/>
        <v>0</v>
      </c>
      <c r="H291" s="62">
        <f t="shared" si="39"/>
        <v>1906576.8114519266</v>
      </c>
      <c r="I291" s="70">
        <f t="shared" si="40"/>
        <v>2043981.1550003327</v>
      </c>
    </row>
    <row r="292" spans="2:9" ht="15" customHeight="1" x14ac:dyDescent="0.25">
      <c r="B292" s="68">
        <f t="shared" si="34"/>
        <v>265</v>
      </c>
      <c r="C292" s="69">
        <f t="shared" si="35"/>
        <v>2388.6551521499641</v>
      </c>
      <c r="D292" s="69">
        <f t="shared" si="15"/>
        <v>17577.647719528799</v>
      </c>
      <c r="E292" s="69">
        <f t="shared" si="36"/>
        <v>118750</v>
      </c>
      <c r="F292" s="69">
        <f t="shared" si="37"/>
        <v>15188.992567378835</v>
      </c>
      <c r="G292" s="69">
        <f t="shared" si="38"/>
        <v>0</v>
      </c>
      <c r="H292" s="62">
        <f t="shared" si="39"/>
        <v>1939856.9165970504</v>
      </c>
      <c r="I292" s="70">
        <f t="shared" si="40"/>
        <v>2063376.0689423208</v>
      </c>
    </row>
    <row r="293" spans="2:9" ht="15" customHeight="1" x14ac:dyDescent="0.25">
      <c r="B293" s="68">
        <f t="shared" si="34"/>
        <v>266</v>
      </c>
      <c r="C293" s="69">
        <f t="shared" si="35"/>
        <v>2376.7941609817353</v>
      </c>
      <c r="D293" s="69">
        <f t="shared" si="15"/>
        <v>17577.647719528799</v>
      </c>
      <c r="E293" s="69">
        <f t="shared" si="36"/>
        <v>117500</v>
      </c>
      <c r="F293" s="69">
        <f t="shared" si="37"/>
        <v>15200.853558547064</v>
      </c>
      <c r="G293" s="69">
        <f t="shared" si="38"/>
        <v>0</v>
      </c>
      <c r="H293" s="62">
        <f t="shared" si="39"/>
        <v>1973464.6707599056</v>
      </c>
      <c r="I293" s="70">
        <f t="shared" si="40"/>
        <v>2082955.0172066884</v>
      </c>
    </row>
    <row r="294" spans="2:9" ht="15" customHeight="1" x14ac:dyDescent="0.25">
      <c r="B294" s="68">
        <f t="shared" si="34"/>
        <v>267</v>
      </c>
      <c r="C294" s="69">
        <f t="shared" si="35"/>
        <v>2364.9331698135065</v>
      </c>
      <c r="D294" s="69">
        <f t="shared" ref="D294:D387" si="41">IF(B294="","",IF(COUNTIFS(D282:D293,D293)=12,D293*($C$6+1),D293))</f>
        <v>17577.647719528799</v>
      </c>
      <c r="E294" s="69">
        <f t="shared" si="36"/>
        <v>116250</v>
      </c>
      <c r="F294" s="69">
        <f t="shared" si="37"/>
        <v>15212.714549715292</v>
      </c>
      <c r="G294" s="69">
        <f t="shared" si="38"/>
        <v>0</v>
      </c>
      <c r="H294" s="62">
        <f t="shared" si="39"/>
        <v>2007403.1829341769</v>
      </c>
      <c r="I294" s="70">
        <f t="shared" si="40"/>
        <v>2102719.7460570135</v>
      </c>
    </row>
    <row r="295" spans="2:9" ht="15" customHeight="1" x14ac:dyDescent="0.25">
      <c r="B295" s="68">
        <f t="shared" si="34"/>
        <v>268</v>
      </c>
      <c r="C295" s="69">
        <f t="shared" si="35"/>
        <v>2353.0721786452777</v>
      </c>
      <c r="D295" s="69">
        <f t="shared" si="41"/>
        <v>17577.647719528799</v>
      </c>
      <c r="E295" s="69">
        <f t="shared" si="36"/>
        <v>115000</v>
      </c>
      <c r="F295" s="69">
        <f t="shared" si="37"/>
        <v>15224.575540883521</v>
      </c>
      <c r="G295" s="69">
        <f t="shared" si="38"/>
        <v>0</v>
      </c>
      <c r="H295" s="62">
        <f t="shared" si="39"/>
        <v>2041675.5916141458</v>
      </c>
      <c r="I295" s="70">
        <f t="shared" si="40"/>
        <v>2122672.0183268078</v>
      </c>
    </row>
    <row r="296" spans="2:9" ht="15" customHeight="1" x14ac:dyDescent="0.25">
      <c r="B296" s="68">
        <f t="shared" si="34"/>
        <v>269</v>
      </c>
      <c r="C296" s="69">
        <f t="shared" si="35"/>
        <v>2341.211187477049</v>
      </c>
      <c r="D296" s="69">
        <f t="shared" si="41"/>
        <v>17577.647719528799</v>
      </c>
      <c r="E296" s="69">
        <f t="shared" si="36"/>
        <v>113750</v>
      </c>
      <c r="F296" s="69">
        <f t="shared" si="37"/>
        <v>15236.43653205175</v>
      </c>
      <c r="G296" s="69">
        <f t="shared" si="38"/>
        <v>0</v>
      </c>
      <c r="H296" s="62">
        <f t="shared" si="39"/>
        <v>2076285.0650746166</v>
      </c>
      <c r="I296" s="70">
        <f t="shared" si="40"/>
        <v>2142813.6135767442</v>
      </c>
    </row>
    <row r="297" spans="2:9" ht="15" customHeight="1" x14ac:dyDescent="0.25">
      <c r="B297" s="68">
        <f t="shared" si="34"/>
        <v>270</v>
      </c>
      <c r="C297" s="69">
        <f t="shared" si="35"/>
        <v>2329.3501963088202</v>
      </c>
      <c r="D297" s="69">
        <f t="shared" si="41"/>
        <v>17577.647719528799</v>
      </c>
      <c r="E297" s="69">
        <f t="shared" si="36"/>
        <v>112500</v>
      </c>
      <c r="F297" s="69">
        <f t="shared" si="37"/>
        <v>15248.297523219979</v>
      </c>
      <c r="G297" s="69">
        <f t="shared" si="38"/>
        <v>0</v>
      </c>
      <c r="H297" s="62">
        <f t="shared" si="39"/>
        <v>2111234.8016534969</v>
      </c>
      <c r="I297" s="70">
        <f t="shared" si="40"/>
        <v>2163146.3282533796</v>
      </c>
    </row>
    <row r="298" spans="2:9" ht="15" customHeight="1" x14ac:dyDescent="0.25">
      <c r="B298" s="68">
        <f t="shared" si="34"/>
        <v>271</v>
      </c>
      <c r="C298" s="69">
        <f t="shared" si="35"/>
        <v>2317.4892051405914</v>
      </c>
      <c r="D298" s="69">
        <f t="shared" si="41"/>
        <v>17577.647719528799</v>
      </c>
      <c r="E298" s="69">
        <f t="shared" si="36"/>
        <v>111250</v>
      </c>
      <c r="F298" s="69">
        <f t="shared" si="37"/>
        <v>15260.158514388208</v>
      </c>
      <c r="G298" s="69">
        <f t="shared" si="38"/>
        <v>0</v>
      </c>
      <c r="H298" s="62">
        <f t="shared" si="39"/>
        <v>2146528.0300370608</v>
      </c>
      <c r="I298" s="70">
        <f t="shared" si="40"/>
        <v>2183671.9758493793</v>
      </c>
    </row>
    <row r="299" spans="2:9" ht="15" customHeight="1" x14ac:dyDescent="0.25">
      <c r="B299" s="68">
        <f t="shared" si="34"/>
        <v>272</v>
      </c>
      <c r="C299" s="69">
        <f t="shared" si="35"/>
        <v>2305.6282139723626</v>
      </c>
      <c r="D299" s="69">
        <f t="shared" si="41"/>
        <v>17577.647719528799</v>
      </c>
      <c r="E299" s="69">
        <f t="shared" si="36"/>
        <v>110000</v>
      </c>
      <c r="F299" s="69">
        <f t="shared" si="37"/>
        <v>15272.019505556436</v>
      </c>
      <c r="G299" s="69">
        <f t="shared" si="38"/>
        <v>0</v>
      </c>
      <c r="H299" s="62">
        <f t="shared" si="39"/>
        <v>2182168.0095479172</v>
      </c>
      <c r="I299" s="70">
        <f t="shared" si="40"/>
        <v>2204392.3870652658</v>
      </c>
    </row>
    <row r="300" spans="2:9" ht="15" customHeight="1" x14ac:dyDescent="0.25">
      <c r="B300" s="68">
        <f t="shared" si="34"/>
        <v>273</v>
      </c>
      <c r="C300" s="69">
        <f t="shared" si="35"/>
        <v>2293.7672228041338</v>
      </c>
      <c r="D300" s="69">
        <f t="shared" si="41"/>
        <v>17577.647719528799</v>
      </c>
      <c r="E300" s="69">
        <f t="shared" si="36"/>
        <v>108750</v>
      </c>
      <c r="F300" s="69">
        <f t="shared" si="37"/>
        <v>15283.880496724665</v>
      </c>
      <c r="G300" s="69">
        <f t="shared" si="38"/>
        <v>0</v>
      </c>
      <c r="H300" s="62">
        <f t="shared" si="39"/>
        <v>2218158.030435713</v>
      </c>
      <c r="I300" s="70">
        <f t="shared" si="40"/>
        <v>2225309.4099726994</v>
      </c>
    </row>
    <row r="301" spans="2:9" ht="15" customHeight="1" x14ac:dyDescent="0.25">
      <c r="B301" s="68">
        <f t="shared" si="34"/>
        <v>274</v>
      </c>
      <c r="C301" s="69">
        <f t="shared" si="35"/>
        <v>2281.906231635905</v>
      </c>
      <c r="D301" s="69">
        <f t="shared" si="41"/>
        <v>17577.647719528799</v>
      </c>
      <c r="E301" s="69">
        <f t="shared" si="36"/>
        <v>107500</v>
      </c>
      <c r="F301" s="69">
        <f t="shared" si="37"/>
        <v>15295.741487892894</v>
      </c>
      <c r="G301" s="69">
        <f t="shared" si="38"/>
        <v>0</v>
      </c>
      <c r="H301" s="62">
        <f t="shared" si="39"/>
        <v>2254501.414170593</v>
      </c>
      <c r="I301" s="70">
        <f t="shared" si="40"/>
        <v>2246424.9101793095</v>
      </c>
    </row>
    <row r="302" spans="2:9" ht="15" customHeight="1" x14ac:dyDescent="0.25">
      <c r="B302" s="68">
        <f t="shared" si="34"/>
        <v>275</v>
      </c>
      <c r="C302" s="69">
        <f t="shared" si="35"/>
        <v>2270.0452404676762</v>
      </c>
      <c r="D302" s="69">
        <f t="shared" si="41"/>
        <v>17577.647719528799</v>
      </c>
      <c r="E302" s="69">
        <f t="shared" si="36"/>
        <v>106250</v>
      </c>
      <c r="F302" s="69">
        <f t="shared" si="37"/>
        <v>15307.602479061123</v>
      </c>
      <c r="G302" s="69">
        <f t="shared" si="38"/>
        <v>0</v>
      </c>
      <c r="H302" s="62">
        <f t="shared" si="39"/>
        <v>2291201.5137394434</v>
      </c>
      <c r="I302" s="70">
        <f t="shared" si="40"/>
        <v>2267740.7709950902</v>
      </c>
    </row>
    <row r="303" spans="2:9" ht="15" customHeight="1" x14ac:dyDescent="0.25">
      <c r="B303" s="68">
        <f t="shared" si="34"/>
        <v>276</v>
      </c>
      <c r="C303" s="69">
        <f t="shared" si="35"/>
        <v>2258.1842492994474</v>
      </c>
      <c r="D303" s="69">
        <f t="shared" si="41"/>
        <v>19207.095663129119</v>
      </c>
      <c r="E303" s="69">
        <f t="shared" si="36"/>
        <v>105000</v>
      </c>
      <c r="F303" s="69">
        <f t="shared" si="37"/>
        <v>16948.911413829672</v>
      </c>
      <c r="G303" s="69">
        <f t="shared" si="38"/>
        <v>0</v>
      </c>
      <c r="H303" s="62">
        <f t="shared" si="39"/>
        <v>2329891.16188855</v>
      </c>
      <c r="I303" s="70">
        <f t="shared" si="40"/>
        <v>2289258.8936003745</v>
      </c>
    </row>
    <row r="304" spans="2:9" ht="15" customHeight="1" x14ac:dyDescent="0.25">
      <c r="B304" s="68">
        <f t="shared" si="34"/>
        <v>277</v>
      </c>
      <c r="C304" s="69">
        <f t="shared" si="35"/>
        <v>2246.3232581312186</v>
      </c>
      <c r="D304" s="69">
        <f t="shared" si="41"/>
        <v>19207.095663129119</v>
      </c>
      <c r="E304" s="69">
        <f t="shared" si="36"/>
        <v>103750</v>
      </c>
      <c r="F304" s="69">
        <f t="shared" si="37"/>
        <v>16960.772404997901</v>
      </c>
      <c r="G304" s="69">
        <f t="shared" si="38"/>
        <v>0</v>
      </c>
      <c r="H304" s="62">
        <f t="shared" si="39"/>
        <v>2368959.7890888238</v>
      </c>
      <c r="I304" s="70">
        <f t="shared" si="40"/>
        <v>2310981.1972154011</v>
      </c>
    </row>
    <row r="305" spans="2:9" ht="15" customHeight="1" x14ac:dyDescent="0.25">
      <c r="B305" s="68">
        <f t="shared" si="34"/>
        <v>278</v>
      </c>
      <c r="C305" s="69">
        <f t="shared" si="35"/>
        <v>2234.4622669629898</v>
      </c>
      <c r="D305" s="69">
        <f t="shared" si="41"/>
        <v>19207.095663129119</v>
      </c>
      <c r="E305" s="69">
        <f t="shared" si="36"/>
        <v>102500</v>
      </c>
      <c r="F305" s="69">
        <f t="shared" si="37"/>
        <v>16972.633396166129</v>
      </c>
      <c r="G305" s="69">
        <f t="shared" si="38"/>
        <v>0</v>
      </c>
      <c r="H305" s="62">
        <f t="shared" si="39"/>
        <v>2408410.9913940071</v>
      </c>
      <c r="I305" s="70">
        <f t="shared" si="40"/>
        <v>2332909.6192714931</v>
      </c>
    </row>
    <row r="306" spans="2:9" ht="15" customHeight="1" x14ac:dyDescent="0.25">
      <c r="B306" s="68">
        <f t="shared" si="34"/>
        <v>279</v>
      </c>
      <c r="C306" s="69">
        <f t="shared" si="35"/>
        <v>2222.601275794761</v>
      </c>
      <c r="D306" s="69">
        <f t="shared" si="41"/>
        <v>19207.095663129119</v>
      </c>
      <c r="E306" s="69">
        <f t="shared" si="36"/>
        <v>101250</v>
      </c>
      <c r="F306" s="69">
        <f t="shared" si="37"/>
        <v>16984.494387334358</v>
      </c>
      <c r="G306" s="69">
        <f t="shared" si="38"/>
        <v>0</v>
      </c>
      <c r="H306" s="62">
        <f t="shared" si="39"/>
        <v>2448248.3989800531</v>
      </c>
      <c r="I306" s="70">
        <f t="shared" si="40"/>
        <v>2355046.1155838571</v>
      </c>
    </row>
    <row r="307" spans="2:9" ht="15" customHeight="1" x14ac:dyDescent="0.25">
      <c r="B307" s="68">
        <f t="shared" si="34"/>
        <v>280</v>
      </c>
      <c r="C307" s="69">
        <f t="shared" si="35"/>
        <v>2210.7402846265322</v>
      </c>
      <c r="D307" s="69">
        <f t="shared" si="41"/>
        <v>19207.095663129119</v>
      </c>
      <c r="E307" s="69">
        <f t="shared" si="36"/>
        <v>100000</v>
      </c>
      <c r="F307" s="69">
        <f t="shared" si="37"/>
        <v>16996.355378502587</v>
      </c>
      <c r="G307" s="69">
        <f t="shared" si="38"/>
        <v>0</v>
      </c>
      <c r="H307" s="62">
        <f t="shared" si="39"/>
        <v>2488475.6764689018</v>
      </c>
      <c r="I307" s="70">
        <f t="shared" si="40"/>
        <v>2377392.6605260265</v>
      </c>
    </row>
    <row r="308" spans="2:9" ht="15" customHeight="1" x14ac:dyDescent="0.25">
      <c r="B308" s="68">
        <f t="shared" si="34"/>
        <v>281</v>
      </c>
      <c r="C308" s="69">
        <f t="shared" si="35"/>
        <v>2198.8792934583034</v>
      </c>
      <c r="D308" s="69">
        <f t="shared" si="41"/>
        <v>19207.095663129119</v>
      </c>
      <c r="E308" s="69">
        <f t="shared" si="36"/>
        <v>98750</v>
      </c>
      <c r="F308" s="69">
        <f t="shared" si="37"/>
        <v>17008.216369670816</v>
      </c>
      <c r="G308" s="69">
        <f t="shared" si="38"/>
        <v>0</v>
      </c>
      <c r="H308" s="62">
        <f t="shared" si="39"/>
        <v>2529096.5232553324</v>
      </c>
      <c r="I308" s="70">
        <f t="shared" si="40"/>
        <v>2399951.2472059554</v>
      </c>
    </row>
    <row r="309" spans="2:9" ht="15" customHeight="1" x14ac:dyDescent="0.25">
      <c r="B309" s="68">
        <f t="shared" si="34"/>
        <v>282</v>
      </c>
      <c r="C309" s="69">
        <f t="shared" si="35"/>
        <v>2187.0183022900746</v>
      </c>
      <c r="D309" s="69">
        <f t="shared" si="41"/>
        <v>19207.095663129119</v>
      </c>
      <c r="E309" s="69">
        <f t="shared" si="36"/>
        <v>97500</v>
      </c>
      <c r="F309" s="69">
        <f t="shared" si="37"/>
        <v>17020.077360839045</v>
      </c>
      <c r="G309" s="69">
        <f t="shared" si="38"/>
        <v>0</v>
      </c>
      <c r="H309" s="62">
        <f t="shared" si="39"/>
        <v>2570114.6738369153</v>
      </c>
      <c r="I309" s="70">
        <f t="shared" si="40"/>
        <v>2422723.8876437871</v>
      </c>
    </row>
    <row r="310" spans="2:9" ht="15" customHeight="1" x14ac:dyDescent="0.25">
      <c r="B310" s="68">
        <f t="shared" si="34"/>
        <v>283</v>
      </c>
      <c r="C310" s="69">
        <f t="shared" si="35"/>
        <v>2175.1573111218459</v>
      </c>
      <c r="D310" s="69">
        <f t="shared" si="41"/>
        <v>19207.095663129119</v>
      </c>
      <c r="E310" s="69">
        <f t="shared" si="36"/>
        <v>96250</v>
      </c>
      <c r="F310" s="69">
        <f t="shared" si="37"/>
        <v>17031.938352007273</v>
      </c>
      <c r="G310" s="69">
        <f t="shared" si="38"/>
        <v>0</v>
      </c>
      <c r="H310" s="62">
        <f t="shared" si="39"/>
        <v>2611533.8981470945</v>
      </c>
      <c r="I310" s="70">
        <f t="shared" si="40"/>
        <v>2445712.6129513071</v>
      </c>
    </row>
    <row r="311" spans="2:9" ht="15" customHeight="1" x14ac:dyDescent="0.25">
      <c r="B311" s="68">
        <f t="shared" si="34"/>
        <v>284</v>
      </c>
      <c r="C311" s="69">
        <f t="shared" si="35"/>
        <v>2163.2963199536171</v>
      </c>
      <c r="D311" s="69">
        <f t="shared" si="41"/>
        <v>19207.095663129119</v>
      </c>
      <c r="E311" s="69">
        <f t="shared" si="36"/>
        <v>95000</v>
      </c>
      <c r="F311" s="69">
        <f t="shared" si="37"/>
        <v>17043.799343175502</v>
      </c>
      <c r="G311" s="69">
        <f t="shared" si="38"/>
        <v>0</v>
      </c>
      <c r="H311" s="62">
        <f t="shared" si="39"/>
        <v>2653358.0018914323</v>
      </c>
      <c r="I311" s="70">
        <f t="shared" si="40"/>
        <v>2468919.4735131003</v>
      </c>
    </row>
    <row r="312" spans="2:9" ht="15" customHeight="1" x14ac:dyDescent="0.25">
      <c r="B312" s="68">
        <f t="shared" si="34"/>
        <v>285</v>
      </c>
      <c r="C312" s="69">
        <f t="shared" si="35"/>
        <v>2151.4353287853883</v>
      </c>
      <c r="D312" s="69">
        <f t="shared" si="41"/>
        <v>19207.095663129119</v>
      </c>
      <c r="E312" s="69">
        <f t="shared" si="36"/>
        <v>93750</v>
      </c>
      <c r="F312" s="69">
        <f t="shared" si="37"/>
        <v>17055.660334343731</v>
      </c>
      <c r="G312" s="69">
        <f t="shared" si="38"/>
        <v>0</v>
      </c>
      <c r="H312" s="62">
        <f t="shared" si="39"/>
        <v>2695590.8268870427</v>
      </c>
      <c r="I312" s="70">
        <f t="shared" si="40"/>
        <v>2492346.5391694261</v>
      </c>
    </row>
    <row r="313" spans="2:9" ht="15" customHeight="1" x14ac:dyDescent="0.25">
      <c r="B313" s="68">
        <f t="shared" si="34"/>
        <v>286</v>
      </c>
      <c r="C313" s="69">
        <f t="shared" si="35"/>
        <v>2139.5743376171595</v>
      </c>
      <c r="D313" s="69">
        <f t="shared" si="41"/>
        <v>19207.095663129119</v>
      </c>
      <c r="E313" s="69">
        <f t="shared" si="36"/>
        <v>92500</v>
      </c>
      <c r="F313" s="69">
        <f t="shared" si="37"/>
        <v>17067.52132551196</v>
      </c>
      <c r="G313" s="69">
        <f t="shared" si="38"/>
        <v>0</v>
      </c>
      <c r="H313" s="62">
        <f t="shared" si="39"/>
        <v>2738236.251405247</v>
      </c>
      <c r="I313" s="70">
        <f t="shared" si="40"/>
        <v>2515995.8994008293</v>
      </c>
    </row>
    <row r="314" spans="2:9" ht="15" customHeight="1" x14ac:dyDescent="0.25">
      <c r="B314" s="68">
        <f t="shared" si="34"/>
        <v>287</v>
      </c>
      <c r="C314" s="69">
        <f t="shared" si="35"/>
        <v>2127.7133464489307</v>
      </c>
      <c r="D314" s="69">
        <f t="shared" si="41"/>
        <v>19207.095663129119</v>
      </c>
      <c r="E314" s="69">
        <f t="shared" si="36"/>
        <v>91250</v>
      </c>
      <c r="F314" s="69">
        <f t="shared" si="37"/>
        <v>17079.382316680189</v>
      </c>
      <c r="G314" s="69">
        <f t="shared" si="38"/>
        <v>0</v>
      </c>
      <c r="H314" s="62">
        <f t="shared" si="39"/>
        <v>2781298.1905174805</v>
      </c>
      <c r="I314" s="70">
        <f t="shared" si="40"/>
        <v>2539869.6635145037</v>
      </c>
    </row>
    <row r="315" spans="2:9" ht="15" customHeight="1" x14ac:dyDescent="0.25">
      <c r="B315" s="68">
        <f t="shared" si="34"/>
        <v>288</v>
      </c>
      <c r="C315" s="69">
        <f t="shared" si="35"/>
        <v>2115.8523552807019</v>
      </c>
      <c r="D315" s="69">
        <f t="shared" si="41"/>
        <v>20987.593431101188</v>
      </c>
      <c r="E315" s="69">
        <f t="shared" si="36"/>
        <v>90000</v>
      </c>
      <c r="F315" s="69">
        <f t="shared" si="37"/>
        <v>18871.741075820486</v>
      </c>
      <c r="G315" s="69">
        <f t="shared" si="38"/>
        <v>0</v>
      </c>
      <c r="H315" s="62">
        <f t="shared" si="39"/>
        <v>2826561.0942124515</v>
      </c>
      <c r="I315" s="70">
        <f t="shared" si="40"/>
        <v>2563969.9608324221</v>
      </c>
    </row>
    <row r="316" spans="2:9" ht="15" customHeight="1" x14ac:dyDescent="0.25">
      <c r="B316" s="68">
        <f t="shared" si="34"/>
        <v>289</v>
      </c>
      <c r="C316" s="69">
        <f t="shared" si="35"/>
        <v>2103.9913641124731</v>
      </c>
      <c r="D316" s="69">
        <f t="shared" si="41"/>
        <v>20987.593431101188</v>
      </c>
      <c r="E316" s="69">
        <f t="shared" si="36"/>
        <v>88750</v>
      </c>
      <c r="F316" s="69">
        <f t="shared" si="37"/>
        <v>18883.602066988715</v>
      </c>
      <c r="G316" s="69">
        <f t="shared" si="38"/>
        <v>0</v>
      </c>
      <c r="H316" s="62">
        <f t="shared" si="39"/>
        <v>2872265.3492193706</v>
      </c>
      <c r="I316" s="70">
        <f t="shared" si="40"/>
        <v>2588298.9408812518</v>
      </c>
    </row>
    <row r="317" spans="2:9" ht="15" customHeight="1" x14ac:dyDescent="0.25">
      <c r="B317" s="68">
        <f t="shared" si="34"/>
        <v>290</v>
      </c>
      <c r="C317" s="69">
        <f t="shared" si="35"/>
        <v>2092.1303729442443</v>
      </c>
      <c r="D317" s="69">
        <f t="shared" si="41"/>
        <v>20987.593431101188</v>
      </c>
      <c r="E317" s="69">
        <f t="shared" si="36"/>
        <v>87500</v>
      </c>
      <c r="F317" s="69">
        <f t="shared" si="37"/>
        <v>18895.463058156944</v>
      </c>
      <c r="G317" s="69">
        <f t="shared" si="38"/>
        <v>0</v>
      </c>
      <c r="H317" s="62">
        <f t="shared" si="39"/>
        <v>2918415.1434294479</v>
      </c>
      <c r="I317" s="70">
        <f t="shared" si="40"/>
        <v>2612858.7735840748</v>
      </c>
    </row>
    <row r="318" spans="2:9" ht="15" customHeight="1" x14ac:dyDescent="0.25">
      <c r="B318" s="68">
        <f t="shared" si="34"/>
        <v>291</v>
      </c>
      <c r="C318" s="69">
        <f t="shared" si="35"/>
        <v>2080.2693817760155</v>
      </c>
      <c r="D318" s="69">
        <f t="shared" si="41"/>
        <v>20987.593431101188</v>
      </c>
      <c r="E318" s="69">
        <f t="shared" si="36"/>
        <v>86250</v>
      </c>
      <c r="F318" s="69">
        <f t="shared" si="37"/>
        <v>18907.324049325172</v>
      </c>
      <c r="G318" s="69">
        <f t="shared" si="38"/>
        <v>0</v>
      </c>
      <c r="H318" s="62">
        <f t="shared" si="39"/>
        <v>2965014.7044719267</v>
      </c>
      <c r="I318" s="70">
        <f t="shared" si="40"/>
        <v>2637651.6494539226</v>
      </c>
    </row>
    <row r="319" spans="2:9" ht="15" customHeight="1" x14ac:dyDescent="0.25">
      <c r="B319" s="68">
        <f t="shared" si="34"/>
        <v>292</v>
      </c>
      <c r="C319" s="69">
        <f t="shared" si="35"/>
        <v>2068.4083906077867</v>
      </c>
      <c r="D319" s="69">
        <f t="shared" si="41"/>
        <v>20987.593431101188</v>
      </c>
      <c r="E319" s="69">
        <f t="shared" si="36"/>
        <v>85000</v>
      </c>
      <c r="F319" s="69">
        <f t="shared" si="37"/>
        <v>18919.185040493401</v>
      </c>
      <c r="G319" s="69">
        <f t="shared" si="38"/>
        <v>0</v>
      </c>
      <c r="H319" s="62">
        <f t="shared" si="39"/>
        <v>3012068.3000911484</v>
      </c>
      <c r="I319" s="70">
        <f t="shared" si="40"/>
        <v>2662679.7797891526</v>
      </c>
    </row>
    <row r="320" spans="2:9" ht="15" customHeight="1" x14ac:dyDescent="0.25">
      <c r="B320" s="68">
        <f t="shared" si="34"/>
        <v>293</v>
      </c>
      <c r="C320" s="69">
        <f t="shared" si="35"/>
        <v>2056.5473994395579</v>
      </c>
      <c r="D320" s="69">
        <f t="shared" si="41"/>
        <v>20987.593431101188</v>
      </c>
      <c r="E320" s="69">
        <f t="shared" si="36"/>
        <v>83750</v>
      </c>
      <c r="F320" s="69">
        <f t="shared" si="37"/>
        <v>18931.04603166163</v>
      </c>
      <c r="G320" s="69">
        <f t="shared" si="38"/>
        <v>0</v>
      </c>
      <c r="H320" s="62">
        <f t="shared" si="39"/>
        <v>3059580.2385271965</v>
      </c>
      <c r="I320" s="70">
        <f t="shared" si="40"/>
        <v>2687945.3968706732</v>
      </c>
    </row>
    <row r="321" spans="2:9" ht="15" customHeight="1" x14ac:dyDescent="0.25">
      <c r="B321" s="68">
        <f t="shared" si="34"/>
        <v>294</v>
      </c>
      <c r="C321" s="69">
        <f t="shared" si="35"/>
        <v>2044.6864082713291</v>
      </c>
      <c r="D321" s="69">
        <f t="shared" si="41"/>
        <v>20987.593431101188</v>
      </c>
      <c r="E321" s="69">
        <f t="shared" si="36"/>
        <v>82500</v>
      </c>
      <c r="F321" s="69">
        <f t="shared" si="37"/>
        <v>18942.907022829859</v>
      </c>
      <c r="G321" s="69">
        <f t="shared" si="38"/>
        <v>0</v>
      </c>
      <c r="H321" s="62">
        <f t="shared" si="39"/>
        <v>3107554.8689001529</v>
      </c>
      <c r="I321" s="70">
        <f t="shared" si="40"/>
        <v>2713450.7541610445</v>
      </c>
    </row>
    <row r="322" spans="2:9" ht="15" customHeight="1" x14ac:dyDescent="0.25">
      <c r="B322" s="68">
        <f t="shared" si="34"/>
        <v>295</v>
      </c>
      <c r="C322" s="69">
        <f t="shared" si="35"/>
        <v>2032.8254171031003</v>
      </c>
      <c r="D322" s="69">
        <f t="shared" si="41"/>
        <v>20987.593431101188</v>
      </c>
      <c r="E322" s="69">
        <f t="shared" si="36"/>
        <v>81250</v>
      </c>
      <c r="F322" s="69">
        <f t="shared" si="37"/>
        <v>18954.768013998088</v>
      </c>
      <c r="G322" s="69">
        <f t="shared" si="38"/>
        <v>0</v>
      </c>
      <c r="H322" s="62">
        <f t="shared" si="39"/>
        <v>3155996.5815979997</v>
      </c>
      <c r="I322" s="70">
        <f t="shared" si="40"/>
        <v>2739198.1265054666</v>
      </c>
    </row>
    <row r="323" spans="2:9" ht="15" customHeight="1" x14ac:dyDescent="0.25">
      <c r="B323" s="68">
        <f t="shared" si="34"/>
        <v>296</v>
      </c>
      <c r="C323" s="69">
        <f t="shared" si="35"/>
        <v>2020.9644259348715</v>
      </c>
      <c r="D323" s="69">
        <f t="shared" si="41"/>
        <v>20987.593431101188</v>
      </c>
      <c r="E323" s="69">
        <f t="shared" si="36"/>
        <v>80000</v>
      </c>
      <c r="F323" s="69">
        <f t="shared" si="37"/>
        <v>18966.629005166316</v>
      </c>
      <c r="G323" s="69">
        <f t="shared" si="38"/>
        <v>0</v>
      </c>
      <c r="H323" s="62">
        <f t="shared" si="39"/>
        <v>3204909.8086682013</v>
      </c>
      <c r="I323" s="70">
        <f t="shared" si="40"/>
        <v>2765189.810334675</v>
      </c>
    </row>
    <row r="324" spans="2:9" ht="15" customHeight="1" x14ac:dyDescent="0.25">
      <c r="B324" s="68">
        <f t="shared" si="34"/>
        <v>297</v>
      </c>
      <c r="C324" s="69">
        <f t="shared" si="35"/>
        <v>2009.1034347666427</v>
      </c>
      <c r="D324" s="69">
        <f t="shared" si="41"/>
        <v>20987.593431101188</v>
      </c>
      <c r="E324" s="69">
        <f t="shared" si="36"/>
        <v>78750</v>
      </c>
      <c r="F324" s="69">
        <f t="shared" si="37"/>
        <v>18978.489996334545</v>
      </c>
      <c r="G324" s="69">
        <f t="shared" si="38"/>
        <v>0</v>
      </c>
      <c r="H324" s="62">
        <f t="shared" si="39"/>
        <v>3254299.0242130025</v>
      </c>
      <c r="I324" s="70">
        <f t="shared" si="40"/>
        <v>2791428.1238697595</v>
      </c>
    </row>
    <row r="325" spans="2:9" ht="15" customHeight="1" x14ac:dyDescent="0.25">
      <c r="B325" s="68">
        <f t="shared" si="34"/>
        <v>298</v>
      </c>
      <c r="C325" s="69">
        <f t="shared" si="35"/>
        <v>1997.242443598414</v>
      </c>
      <c r="D325" s="69">
        <f t="shared" si="41"/>
        <v>20987.593431101188</v>
      </c>
      <c r="E325" s="69">
        <f t="shared" si="36"/>
        <v>77500</v>
      </c>
      <c r="F325" s="69">
        <f t="shared" si="37"/>
        <v>18990.350987502774</v>
      </c>
      <c r="G325" s="69">
        <f t="shared" si="38"/>
        <v>0</v>
      </c>
      <c r="H325" s="62">
        <f t="shared" si="39"/>
        <v>3304168.7447884781</v>
      </c>
      <c r="I325" s="70">
        <f t="shared" si="40"/>
        <v>2817915.4073289311</v>
      </c>
    </row>
    <row r="326" spans="2:9" ht="15" customHeight="1" x14ac:dyDescent="0.25">
      <c r="B326" s="68">
        <f t="shared" si="34"/>
        <v>299</v>
      </c>
      <c r="C326" s="69">
        <f t="shared" si="35"/>
        <v>1985.3814524301852</v>
      </c>
      <c r="D326" s="69">
        <f t="shared" si="41"/>
        <v>20987.593431101188</v>
      </c>
      <c r="E326" s="69">
        <f t="shared" si="36"/>
        <v>76250</v>
      </c>
      <c r="F326" s="69">
        <f t="shared" si="37"/>
        <v>19002.211978671003</v>
      </c>
      <c r="G326" s="69">
        <f t="shared" si="38"/>
        <v>0</v>
      </c>
      <c r="H326" s="62">
        <f t="shared" si="39"/>
        <v>3354523.5298073683</v>
      </c>
      <c r="I326" s="70">
        <f t="shared" si="40"/>
        <v>2844654.0231362465</v>
      </c>
    </row>
    <row r="327" spans="2:9" ht="15" customHeight="1" x14ac:dyDescent="0.25">
      <c r="B327" s="68">
        <f t="shared" si="34"/>
        <v>300</v>
      </c>
      <c r="C327" s="69">
        <f t="shared" si="35"/>
        <v>1973.5204612619564</v>
      </c>
      <c r="D327" s="69">
        <f t="shared" si="41"/>
        <v>22933.143342164269</v>
      </c>
      <c r="E327" s="69">
        <f t="shared" si="36"/>
        <v>75000</v>
      </c>
      <c r="F327" s="69">
        <f t="shared" si="37"/>
        <v>20959.622880902312</v>
      </c>
      <c r="G327" s="69">
        <f t="shared" si="38"/>
        <v>0</v>
      </c>
      <c r="H327" s="62">
        <f t="shared" si="39"/>
        <v>3407313.531856799</v>
      </c>
      <c r="I327" s="70">
        <f t="shared" si="40"/>
        <v>2871646.356132315</v>
      </c>
    </row>
    <row r="328" spans="2:9" ht="15" customHeight="1" x14ac:dyDescent="0.25">
      <c r="B328" s="68">
        <f t="shared" si="34"/>
        <v>301</v>
      </c>
      <c r="C328" s="69">
        <f t="shared" si="35"/>
        <v>1961.6594700937276</v>
      </c>
      <c r="D328" s="69">
        <f t="shared" si="41"/>
        <v>22933.143342164269</v>
      </c>
      <c r="E328" s="69">
        <f t="shared" si="36"/>
        <v>73750</v>
      </c>
      <c r="F328" s="69">
        <f t="shared" si="37"/>
        <v>20971.483872070541</v>
      </c>
      <c r="G328" s="69">
        <f t="shared" si="38"/>
        <v>0</v>
      </c>
      <c r="H328" s="62">
        <f t="shared" si="39"/>
        <v>3460616.3082958614</v>
      </c>
      <c r="I328" s="70">
        <f t="shared" si="40"/>
        <v>2898894.8137870044</v>
      </c>
    </row>
    <row r="329" spans="2:9" ht="15" customHeight="1" x14ac:dyDescent="0.25">
      <c r="B329" s="68">
        <f t="shared" si="34"/>
        <v>302</v>
      </c>
      <c r="C329" s="69">
        <f t="shared" si="35"/>
        <v>1949.7984789254988</v>
      </c>
      <c r="D329" s="69">
        <f t="shared" si="41"/>
        <v>22933.143342164269</v>
      </c>
      <c r="E329" s="69">
        <f t="shared" si="36"/>
        <v>72500</v>
      </c>
      <c r="F329" s="69">
        <f t="shared" si="37"/>
        <v>20983.34486323877</v>
      </c>
      <c r="G329" s="69">
        <f t="shared" si="38"/>
        <v>0</v>
      </c>
      <c r="H329" s="62">
        <f t="shared" si="39"/>
        <v>3514436.7247345606</v>
      </c>
      <c r="I329" s="70">
        <f t="shared" si="40"/>
        <v>2926401.826414166</v>
      </c>
    </row>
    <row r="330" spans="2:9" ht="15" customHeight="1" x14ac:dyDescent="0.25">
      <c r="B330" s="68">
        <f t="shared" si="34"/>
        <v>303</v>
      </c>
      <c r="C330" s="69">
        <f t="shared" si="35"/>
        <v>1937.93748775727</v>
      </c>
      <c r="D330" s="69">
        <f t="shared" si="41"/>
        <v>22933.143342164269</v>
      </c>
      <c r="E330" s="69">
        <f t="shared" si="36"/>
        <v>71250</v>
      </c>
      <c r="F330" s="69">
        <f t="shared" si="37"/>
        <v>20995.205854406999</v>
      </c>
      <c r="G330" s="69">
        <f t="shared" si="38"/>
        <v>0</v>
      </c>
      <c r="H330" s="62">
        <f t="shared" si="39"/>
        <v>3568779.6929516681</v>
      </c>
      <c r="I330" s="70">
        <f t="shared" si="40"/>
        <v>2954169.8473883956</v>
      </c>
    </row>
    <row r="331" spans="2:9" ht="15" customHeight="1" x14ac:dyDescent="0.25">
      <c r="B331" s="68">
        <f t="shared" si="34"/>
        <v>304</v>
      </c>
      <c r="C331" s="69">
        <f t="shared" si="35"/>
        <v>1926.0764965890412</v>
      </c>
      <c r="D331" s="69">
        <f t="shared" si="41"/>
        <v>22933.143342164269</v>
      </c>
      <c r="E331" s="69">
        <f t="shared" si="36"/>
        <v>70000</v>
      </c>
      <c r="F331" s="69">
        <f t="shared" si="37"/>
        <v>21007.066845575227</v>
      </c>
      <c r="G331" s="69">
        <f t="shared" si="38"/>
        <v>0</v>
      </c>
      <c r="H331" s="62">
        <f t="shared" si="39"/>
        <v>3623650.1713328068</v>
      </c>
      <c r="I331" s="70">
        <f t="shared" si="40"/>
        <v>2982201.3533638529</v>
      </c>
    </row>
    <row r="332" spans="2:9" ht="15" customHeight="1" x14ac:dyDescent="0.25">
      <c r="B332" s="68">
        <f t="shared" si="34"/>
        <v>305</v>
      </c>
      <c r="C332" s="69">
        <f t="shared" si="35"/>
        <v>1914.2155054208124</v>
      </c>
      <c r="D332" s="69">
        <f t="shared" si="41"/>
        <v>22933.143342164269</v>
      </c>
      <c r="E332" s="69">
        <f t="shared" si="36"/>
        <v>68750</v>
      </c>
      <c r="F332" s="69">
        <f t="shared" si="37"/>
        <v>21018.927836743456</v>
      </c>
      <c r="G332" s="69">
        <f t="shared" si="38"/>
        <v>0</v>
      </c>
      <c r="H332" s="62">
        <f t="shared" si="39"/>
        <v>3679053.1653126939</v>
      </c>
      <c r="I332" s="70">
        <f t="shared" si="40"/>
        <v>3010498.8444951558</v>
      </c>
    </row>
    <row r="333" spans="2:9" ht="15" customHeight="1" x14ac:dyDescent="0.25">
      <c r="B333" s="68">
        <f t="shared" si="34"/>
        <v>306</v>
      </c>
      <c r="C333" s="69">
        <f t="shared" si="35"/>
        <v>1902.3545142525836</v>
      </c>
      <c r="D333" s="69">
        <f t="shared" si="41"/>
        <v>22933.143342164269</v>
      </c>
      <c r="E333" s="69">
        <f t="shared" si="36"/>
        <v>67500</v>
      </c>
      <c r="F333" s="69">
        <f t="shared" si="37"/>
        <v>21030.788827911685</v>
      </c>
      <c r="G333" s="69">
        <f t="shared" si="38"/>
        <v>0</v>
      </c>
      <c r="H333" s="62">
        <f t="shared" si="39"/>
        <v>3734993.7278215797</v>
      </c>
      <c r="I333" s="70">
        <f t="shared" si="40"/>
        <v>3039064.844660372</v>
      </c>
    </row>
    <row r="334" spans="2:9" ht="15" customHeight="1" x14ac:dyDescent="0.25">
      <c r="B334" s="68">
        <f t="shared" si="34"/>
        <v>307</v>
      </c>
      <c r="C334" s="69">
        <f t="shared" si="35"/>
        <v>1890.4935230843548</v>
      </c>
      <c r="D334" s="69">
        <f t="shared" si="41"/>
        <v>22933.143342164269</v>
      </c>
      <c r="E334" s="69">
        <f t="shared" si="36"/>
        <v>66250</v>
      </c>
      <c r="F334" s="69">
        <f t="shared" si="37"/>
        <v>21042.649819079914</v>
      </c>
      <c r="G334" s="69">
        <f t="shared" si="38"/>
        <v>0</v>
      </c>
      <c r="H334" s="62">
        <f t="shared" si="39"/>
        <v>3791476.9597359248</v>
      </c>
      <c r="I334" s="70">
        <f t="shared" si="40"/>
        <v>3067901.901686125</v>
      </c>
    </row>
    <row r="335" spans="2:9" ht="15" customHeight="1" x14ac:dyDescent="0.25">
      <c r="B335" s="68">
        <f t="shared" si="34"/>
        <v>308</v>
      </c>
      <c r="C335" s="69">
        <f t="shared" si="35"/>
        <v>1878.632531916126</v>
      </c>
      <c r="D335" s="69">
        <f t="shared" si="41"/>
        <v>22933.143342164269</v>
      </c>
      <c r="E335" s="69">
        <f t="shared" si="36"/>
        <v>65000</v>
      </c>
      <c r="F335" s="69">
        <f t="shared" si="37"/>
        <v>21054.510810248143</v>
      </c>
      <c r="G335" s="69">
        <f t="shared" si="38"/>
        <v>0</v>
      </c>
      <c r="H335" s="62">
        <f t="shared" si="39"/>
        <v>3848508.0103333495</v>
      </c>
      <c r="I335" s="70">
        <f t="shared" si="40"/>
        <v>3097012.5875748382</v>
      </c>
    </row>
    <row r="336" spans="2:9" ht="15" customHeight="1" x14ac:dyDescent="0.25">
      <c r="B336" s="68">
        <f t="shared" si="34"/>
        <v>309</v>
      </c>
      <c r="C336" s="69">
        <f t="shared" si="35"/>
        <v>1866.7715407478972</v>
      </c>
      <c r="D336" s="69">
        <f t="shared" si="41"/>
        <v>22933.143342164269</v>
      </c>
      <c r="E336" s="69">
        <f t="shared" si="36"/>
        <v>63750</v>
      </c>
      <c r="F336" s="69">
        <f t="shared" si="37"/>
        <v>21066.371801416371</v>
      </c>
      <c r="G336" s="69">
        <f t="shared" si="38"/>
        <v>0</v>
      </c>
      <c r="H336" s="62">
        <f t="shared" si="39"/>
        <v>3906092.0777519033</v>
      </c>
      <c r="I336" s="70">
        <f t="shared" si="40"/>
        <v>3126399.4987341329</v>
      </c>
    </row>
    <row r="337" spans="2:9" ht="15" customHeight="1" x14ac:dyDescent="0.25">
      <c r="B337" s="68">
        <f t="shared" si="34"/>
        <v>310</v>
      </c>
      <c r="C337" s="69">
        <f t="shared" si="35"/>
        <v>1854.9105495796684</v>
      </c>
      <c r="D337" s="69">
        <f t="shared" si="41"/>
        <v>22933.143342164269</v>
      </c>
      <c r="E337" s="69">
        <f t="shared" si="36"/>
        <v>62500</v>
      </c>
      <c r="F337" s="69">
        <f t="shared" si="37"/>
        <v>21078.2327925846</v>
      </c>
      <c r="G337" s="69">
        <f t="shared" si="38"/>
        <v>0</v>
      </c>
      <c r="H337" s="62">
        <f t="shared" si="39"/>
        <v>3964234.409453691</v>
      </c>
      <c r="I337" s="70">
        <f t="shared" si="40"/>
        <v>3156065.2562084054</v>
      </c>
    </row>
    <row r="338" spans="2:9" ht="15" customHeight="1" x14ac:dyDescent="0.25">
      <c r="B338" s="68">
        <f t="shared" si="34"/>
        <v>311</v>
      </c>
      <c r="C338" s="69">
        <f t="shared" si="35"/>
        <v>1843.0495584114396</v>
      </c>
      <c r="D338" s="69">
        <f t="shared" si="41"/>
        <v>22933.143342164269</v>
      </c>
      <c r="E338" s="69">
        <f t="shared" si="36"/>
        <v>61250</v>
      </c>
      <c r="F338" s="69">
        <f t="shared" si="37"/>
        <v>21090.093783752829</v>
      </c>
      <c r="G338" s="69">
        <f t="shared" si="38"/>
        <v>0</v>
      </c>
      <c r="H338" s="62">
        <f t="shared" si="39"/>
        <v>4022940.302692899</v>
      </c>
      <c r="I338" s="70">
        <f t="shared" si="40"/>
        <v>3186012.5059125987</v>
      </c>
    </row>
    <row r="339" spans="2:9" ht="15" customHeight="1" x14ac:dyDescent="0.25">
      <c r="B339" s="68">
        <f t="shared" si="34"/>
        <v>312</v>
      </c>
      <c r="C339" s="69">
        <f t="shared" si="35"/>
        <v>1831.1885672432109</v>
      </c>
      <c r="D339" s="69">
        <f t="shared" si="41"/>
        <v>25059.045729982896</v>
      </c>
      <c r="E339" s="69">
        <f t="shared" si="36"/>
        <v>60000</v>
      </c>
      <c r="F339" s="69">
        <f t="shared" si="37"/>
        <v>23227.857162739685</v>
      </c>
      <c r="G339" s="69">
        <f t="shared" si="38"/>
        <v>0</v>
      </c>
      <c r="H339" s="62">
        <f t="shared" si="39"/>
        <v>4084341.0073760804</v>
      </c>
      <c r="I339" s="70">
        <f t="shared" si="40"/>
        <v>3216243.9188681953</v>
      </c>
    </row>
    <row r="340" spans="2:9" ht="15" customHeight="1" x14ac:dyDescent="0.25">
      <c r="B340" s="68">
        <f t="shared" si="34"/>
        <v>313</v>
      </c>
      <c r="C340" s="69">
        <f t="shared" si="35"/>
        <v>1819.3275760749821</v>
      </c>
      <c r="D340" s="69">
        <f t="shared" si="41"/>
        <v>25059.045729982896</v>
      </c>
      <c r="E340" s="69">
        <f t="shared" si="36"/>
        <v>58750</v>
      </c>
      <c r="F340" s="69">
        <f t="shared" si="37"/>
        <v>23239.718153907914</v>
      </c>
      <c r="G340" s="69">
        <f t="shared" si="38"/>
        <v>0</v>
      </c>
      <c r="H340" s="62">
        <f t="shared" si="39"/>
        <v>4146336.1916232063</v>
      </c>
      <c r="I340" s="70">
        <f t="shared" si="40"/>
        <v>3246762.1914414475</v>
      </c>
    </row>
    <row r="341" spans="2:9" ht="15" customHeight="1" x14ac:dyDescent="0.25">
      <c r="B341" s="68">
        <f t="shared" si="34"/>
        <v>314</v>
      </c>
      <c r="C341" s="69">
        <f t="shared" si="35"/>
        <v>1807.4665849067533</v>
      </c>
      <c r="D341" s="69">
        <f t="shared" si="41"/>
        <v>25059.045729982896</v>
      </c>
      <c r="E341" s="69">
        <f t="shared" si="36"/>
        <v>57500</v>
      </c>
      <c r="F341" s="69">
        <f t="shared" si="37"/>
        <v>23251.579145076143</v>
      </c>
      <c r="G341" s="69">
        <f t="shared" si="38"/>
        <v>0</v>
      </c>
      <c r="H341" s="62">
        <f t="shared" si="39"/>
        <v>4208931.4963277625</v>
      </c>
      <c r="I341" s="70">
        <f t="shared" si="40"/>
        <v>3277570.0455838684</v>
      </c>
    </row>
    <row r="342" spans="2:9" ht="15" customHeight="1" x14ac:dyDescent="0.25">
      <c r="B342" s="68">
        <f t="shared" si="34"/>
        <v>315</v>
      </c>
      <c r="C342" s="69">
        <f t="shared" si="35"/>
        <v>1795.6055937385245</v>
      </c>
      <c r="D342" s="69">
        <f t="shared" si="41"/>
        <v>25059.045729982896</v>
      </c>
      <c r="E342" s="69">
        <f t="shared" si="36"/>
        <v>56250</v>
      </c>
      <c r="F342" s="69">
        <f t="shared" si="37"/>
        <v>23263.440136244371</v>
      </c>
      <c r="G342" s="69">
        <f t="shared" si="38"/>
        <v>0</v>
      </c>
      <c r="H342" s="62">
        <f t="shared" si="39"/>
        <v>4272132.6159085063</v>
      </c>
      <c r="I342" s="70">
        <f t="shared" si="40"/>
        <v>3308670.2290750057</v>
      </c>
    </row>
    <row r="343" spans="2:9" ht="15" customHeight="1" x14ac:dyDescent="0.25">
      <c r="B343" s="68">
        <f t="shared" si="34"/>
        <v>316</v>
      </c>
      <c r="C343" s="69">
        <f t="shared" si="35"/>
        <v>1783.7446025702957</v>
      </c>
      <c r="D343" s="69">
        <f t="shared" si="41"/>
        <v>25059.045729982896</v>
      </c>
      <c r="E343" s="69">
        <f t="shared" si="36"/>
        <v>55000</v>
      </c>
      <c r="F343" s="69">
        <f t="shared" si="37"/>
        <v>23275.3011274126</v>
      </c>
      <c r="G343" s="69">
        <f t="shared" si="38"/>
        <v>0</v>
      </c>
      <c r="H343" s="62">
        <f t="shared" si="39"/>
        <v>4335945.2988173533</v>
      </c>
      <c r="I343" s="70">
        <f t="shared" si="40"/>
        <v>3340065.515767518</v>
      </c>
    </row>
    <row r="344" spans="2:9" ht="15" customHeight="1" x14ac:dyDescent="0.25">
      <c r="B344" s="68">
        <f t="shared" si="34"/>
        <v>317</v>
      </c>
      <c r="C344" s="69">
        <f t="shared" si="35"/>
        <v>1771.8836114020669</v>
      </c>
      <c r="D344" s="69">
        <f t="shared" si="41"/>
        <v>25059.045729982896</v>
      </c>
      <c r="E344" s="69">
        <f t="shared" si="36"/>
        <v>53750</v>
      </c>
      <c r="F344" s="69">
        <f t="shared" si="37"/>
        <v>23287.162118580829</v>
      </c>
      <c r="G344" s="69">
        <f t="shared" si="38"/>
        <v>0</v>
      </c>
      <c r="H344" s="62">
        <f t="shared" si="39"/>
        <v>4400375.348052091</v>
      </c>
      <c r="I344" s="70">
        <f t="shared" si="40"/>
        <v>3371758.7058345773</v>
      </c>
    </row>
    <row r="345" spans="2:9" ht="15" customHeight="1" x14ac:dyDescent="0.25">
      <c r="B345" s="68">
        <f t="shared" si="34"/>
        <v>318</v>
      </c>
      <c r="C345" s="69">
        <f t="shared" si="35"/>
        <v>1760.0226202338381</v>
      </c>
      <c r="D345" s="69">
        <f t="shared" si="41"/>
        <v>25059.045729982896</v>
      </c>
      <c r="E345" s="69">
        <f t="shared" si="36"/>
        <v>52500</v>
      </c>
      <c r="F345" s="69">
        <f t="shared" si="37"/>
        <v>23299.023109749058</v>
      </c>
      <c r="G345" s="69">
        <f t="shared" si="38"/>
        <v>0</v>
      </c>
      <c r="H345" s="62">
        <f t="shared" si="39"/>
        <v>4465428.62167395</v>
      </c>
      <c r="I345" s="70">
        <f t="shared" si="40"/>
        <v>3403752.6260196194</v>
      </c>
    </row>
    <row r="346" spans="2:9" ht="15" customHeight="1" x14ac:dyDescent="0.25">
      <c r="B346" s="68">
        <f t="shared" si="34"/>
        <v>319</v>
      </c>
      <c r="C346" s="69">
        <f t="shared" si="35"/>
        <v>1748.1616290656093</v>
      </c>
      <c r="D346" s="69">
        <f t="shared" si="41"/>
        <v>25059.045729982896</v>
      </c>
      <c r="E346" s="69">
        <f t="shared" si="36"/>
        <v>51250</v>
      </c>
      <c r="F346" s="69">
        <f t="shared" si="37"/>
        <v>23310.884100917287</v>
      </c>
      <c r="G346" s="69">
        <f t="shared" si="38"/>
        <v>0</v>
      </c>
      <c r="H346" s="62">
        <f t="shared" si="39"/>
        <v>4531111.0333300922</v>
      </c>
      <c r="I346" s="70">
        <f t="shared" si="40"/>
        <v>3436050.1298884628</v>
      </c>
    </row>
    <row r="347" spans="2:9" ht="15" customHeight="1" x14ac:dyDescent="0.25">
      <c r="B347" s="68">
        <f t="shared" si="34"/>
        <v>320</v>
      </c>
      <c r="C347" s="69">
        <f t="shared" si="35"/>
        <v>1736.3006378973805</v>
      </c>
      <c r="D347" s="69">
        <f t="shared" si="41"/>
        <v>25059.045729982896</v>
      </c>
      <c r="E347" s="69">
        <f t="shared" si="36"/>
        <v>50000</v>
      </c>
      <c r="F347" s="69">
        <f t="shared" si="37"/>
        <v>23322.745092085515</v>
      </c>
      <c r="G347" s="69">
        <f t="shared" si="38"/>
        <v>0</v>
      </c>
      <c r="H347" s="62">
        <f t="shared" si="39"/>
        <v>4597428.552781052</v>
      </c>
      <c r="I347" s="70">
        <f t="shared" si="40"/>
        <v>3468654.0980838216</v>
      </c>
    </row>
    <row r="348" spans="2:9" ht="15" customHeight="1" x14ac:dyDescent="0.25">
      <c r="B348" s="68">
        <f t="shared" si="34"/>
        <v>321</v>
      </c>
      <c r="C348" s="69">
        <f t="shared" si="35"/>
        <v>1724.4396467291517</v>
      </c>
      <c r="D348" s="69">
        <f t="shared" si="41"/>
        <v>25059.045729982896</v>
      </c>
      <c r="E348" s="69">
        <f t="shared" si="36"/>
        <v>48750</v>
      </c>
      <c r="F348" s="69">
        <f t="shared" si="37"/>
        <v>23334.606083253744</v>
      </c>
      <c r="G348" s="69">
        <f t="shared" si="38"/>
        <v>0</v>
      </c>
      <c r="H348" s="62">
        <f t="shared" si="39"/>
        <v>4664387.2064331844</v>
      </c>
      <c r="I348" s="70">
        <f t="shared" si="40"/>
        <v>3501567.4385822318</v>
      </c>
    </row>
    <row r="349" spans="2:9" ht="15" customHeight="1" x14ac:dyDescent="0.25">
      <c r="B349" s="68">
        <f t="shared" si="34"/>
        <v>322</v>
      </c>
      <c r="C349" s="69">
        <f t="shared" ref="C349:C387" si="42">IF(B349="","",(($C$3-$F$3)/$F$5)+(((E348*($F$6+1)^(1/12))-E348)))</f>
        <v>1712.5786555609229</v>
      </c>
      <c r="D349" s="69">
        <f t="shared" si="41"/>
        <v>25059.045729982896</v>
      </c>
      <c r="E349" s="69">
        <f t="shared" ref="E349:E387" si="43">IF(OR(E348=0,E348=""),"",E348-(($C$3-$F$3)/$F$5))</f>
        <v>47500</v>
      </c>
      <c r="F349" s="69">
        <f t="shared" ref="F349:F387" si="44">IF(B349="","",IF(D349&gt;C349,D349-C349,0))</f>
        <v>23346.467074421973</v>
      </c>
      <c r="G349" s="69">
        <f t="shared" ref="G349:G387" si="45">IF(B349="","",IF(C349&gt;D349,C349-D349,0))</f>
        <v>0</v>
      </c>
      <c r="H349" s="62">
        <f t="shared" ref="H349:H387" si="46">IF(B349="","",(H348*(($I$5+1)^(1/12)))+F349)</f>
        <v>4731993.0778761692</v>
      </c>
      <c r="I349" s="70">
        <f t="shared" ref="I349:I387" si="47">IF(B349="","",((I348*(($I$5+1)^(1/12)))+G349))</f>
        <v>3534793.0869534169</v>
      </c>
    </row>
    <row r="350" spans="2:9" ht="15" customHeight="1" x14ac:dyDescent="0.25">
      <c r="B350" s="68">
        <f t="shared" si="34"/>
        <v>323</v>
      </c>
      <c r="C350" s="69">
        <f t="shared" si="42"/>
        <v>1700.7176643926941</v>
      </c>
      <c r="D350" s="69">
        <f t="shared" si="41"/>
        <v>25059.045729982896</v>
      </c>
      <c r="E350" s="69">
        <f t="shared" si="43"/>
        <v>46250</v>
      </c>
      <c r="F350" s="69">
        <f t="shared" si="44"/>
        <v>23358.328065590202</v>
      </c>
      <c r="G350" s="69">
        <f t="shared" si="45"/>
        <v>0</v>
      </c>
      <c r="H350" s="62">
        <f t="shared" si="46"/>
        <v>4800252.3084256062</v>
      </c>
      <c r="I350" s="70">
        <f t="shared" si="47"/>
        <v>3568334.0066221133</v>
      </c>
    </row>
    <row r="351" spans="2:9" ht="15" customHeight="1" x14ac:dyDescent="0.25">
      <c r="B351" s="68">
        <f t="shared" si="34"/>
        <v>324</v>
      </c>
      <c r="C351" s="69">
        <f t="shared" si="42"/>
        <v>1688.8566732244653</v>
      </c>
      <c r="D351" s="69">
        <f t="shared" si="41"/>
        <v>27382.019269152312</v>
      </c>
      <c r="E351" s="69">
        <f t="shared" si="43"/>
        <v>45000</v>
      </c>
      <c r="F351" s="69">
        <f t="shared" si="44"/>
        <v>25693.162595927846</v>
      </c>
      <c r="G351" s="69">
        <f t="shared" si="45"/>
        <v>0</v>
      </c>
      <c r="H351" s="62">
        <f t="shared" si="46"/>
        <v>4871494.0712099392</v>
      </c>
      <c r="I351" s="70">
        <f t="shared" si="47"/>
        <v>3602193.1891323817</v>
      </c>
    </row>
    <row r="352" spans="2:9" ht="15" customHeight="1" x14ac:dyDescent="0.25">
      <c r="B352" s="68">
        <f t="shared" si="34"/>
        <v>325</v>
      </c>
      <c r="C352" s="69">
        <f t="shared" si="42"/>
        <v>1676.9956820562365</v>
      </c>
      <c r="D352" s="69">
        <f t="shared" si="41"/>
        <v>27382.019269152312</v>
      </c>
      <c r="E352" s="69">
        <f t="shared" si="43"/>
        <v>43750</v>
      </c>
      <c r="F352" s="69">
        <f t="shared" si="44"/>
        <v>25705.023587096075</v>
      </c>
      <c r="G352" s="69">
        <f t="shared" si="45"/>
        <v>0</v>
      </c>
      <c r="H352" s="62">
        <f t="shared" si="46"/>
        <v>4943423.6933207959</v>
      </c>
      <c r="I352" s="70">
        <f t="shared" si="47"/>
        <v>3636373.6544144242</v>
      </c>
    </row>
    <row r="353" spans="2:9" ht="15" customHeight="1" x14ac:dyDescent="0.25">
      <c r="B353" s="68">
        <f t="shared" si="34"/>
        <v>326</v>
      </c>
      <c r="C353" s="69">
        <f t="shared" si="42"/>
        <v>1665.1346908880078</v>
      </c>
      <c r="D353" s="69">
        <f t="shared" si="41"/>
        <v>27382.019269152312</v>
      </c>
      <c r="E353" s="69">
        <f t="shared" si="43"/>
        <v>42500</v>
      </c>
      <c r="F353" s="69">
        <f t="shared" si="44"/>
        <v>25716.884578264304</v>
      </c>
      <c r="G353" s="69">
        <f t="shared" si="45"/>
        <v>0</v>
      </c>
      <c r="H353" s="62">
        <f t="shared" si="46"/>
        <v>5016047.7017128933</v>
      </c>
      <c r="I353" s="70">
        <f t="shared" si="47"/>
        <v>3670878.4510539356</v>
      </c>
    </row>
    <row r="354" spans="2:9" ht="15" customHeight="1" x14ac:dyDescent="0.25">
      <c r="B354" s="68">
        <f t="shared" si="34"/>
        <v>327</v>
      </c>
      <c r="C354" s="69">
        <f t="shared" si="42"/>
        <v>1653.273699719779</v>
      </c>
      <c r="D354" s="69">
        <f t="shared" si="41"/>
        <v>27382.019269152312</v>
      </c>
      <c r="E354" s="69">
        <f t="shared" si="43"/>
        <v>41250</v>
      </c>
      <c r="F354" s="69">
        <f t="shared" si="44"/>
        <v>25728.745569432533</v>
      </c>
      <c r="G354" s="69">
        <f t="shared" si="45"/>
        <v>0</v>
      </c>
      <c r="H354" s="62">
        <f t="shared" si="46"/>
        <v>5089372.6852738699</v>
      </c>
      <c r="I354" s="70">
        <f t="shared" si="47"/>
        <v>3705710.6565640094</v>
      </c>
    </row>
    <row r="355" spans="2:9" ht="15" customHeight="1" x14ac:dyDescent="0.25">
      <c r="B355" s="68">
        <f t="shared" si="34"/>
        <v>328</v>
      </c>
      <c r="C355" s="69">
        <f t="shared" si="42"/>
        <v>1641.4127085515502</v>
      </c>
      <c r="D355" s="69">
        <f t="shared" si="41"/>
        <v>27382.019269152312</v>
      </c>
      <c r="E355" s="69">
        <f t="shared" si="43"/>
        <v>40000</v>
      </c>
      <c r="F355" s="69">
        <f t="shared" si="44"/>
        <v>25740.606560600761</v>
      </c>
      <c r="G355" s="69">
        <f t="shared" si="45"/>
        <v>0</v>
      </c>
      <c r="H355" s="62">
        <f t="shared" si="46"/>
        <v>5163405.2954119574</v>
      </c>
      <c r="I355" s="70">
        <f t="shared" si="47"/>
        <v>3740873.377659623</v>
      </c>
    </row>
    <row r="356" spans="2:9" ht="15" customHeight="1" x14ac:dyDescent="0.25">
      <c r="B356" s="68">
        <f t="shared" si="34"/>
        <v>329</v>
      </c>
      <c r="C356" s="69">
        <f t="shared" si="42"/>
        <v>1629.5517173833214</v>
      </c>
      <c r="D356" s="69">
        <f t="shared" si="41"/>
        <v>27382.019269152312</v>
      </c>
      <c r="E356" s="69">
        <f t="shared" si="43"/>
        <v>38750</v>
      </c>
      <c r="F356" s="69">
        <f t="shared" si="44"/>
        <v>25752.46755176899</v>
      </c>
      <c r="G356" s="69">
        <f t="shared" si="45"/>
        <v>0</v>
      </c>
      <c r="H356" s="62">
        <f t="shared" si="46"/>
        <v>5238152.2466492197</v>
      </c>
      <c r="I356" s="70">
        <f t="shared" si="47"/>
        <v>3776369.7505347296</v>
      </c>
    </row>
    <row r="357" spans="2:9" ht="15" customHeight="1" x14ac:dyDescent="0.25">
      <c r="B357" s="68">
        <f t="shared" si="34"/>
        <v>330</v>
      </c>
      <c r="C357" s="69">
        <f t="shared" si="42"/>
        <v>1617.6907262150926</v>
      </c>
      <c r="D357" s="69">
        <f t="shared" si="41"/>
        <v>27382.019269152312</v>
      </c>
      <c r="E357" s="69">
        <f t="shared" si="43"/>
        <v>37500</v>
      </c>
      <c r="F357" s="69">
        <f t="shared" si="44"/>
        <v>25764.328542937219</v>
      </c>
      <c r="G357" s="69">
        <f t="shared" si="45"/>
        <v>0</v>
      </c>
      <c r="H357" s="62">
        <f t="shared" si="46"/>
        <v>5313620.3172204327</v>
      </c>
      <c r="I357" s="70">
        <f t="shared" si="47"/>
        <v>3812202.9411419765</v>
      </c>
    </row>
    <row r="358" spans="2:9" ht="15" customHeight="1" x14ac:dyDescent="0.25">
      <c r="B358" s="68">
        <f t="shared" si="34"/>
        <v>331</v>
      </c>
      <c r="C358" s="69">
        <f t="shared" si="42"/>
        <v>1605.8297350468638</v>
      </c>
      <c r="D358" s="69">
        <f t="shared" si="41"/>
        <v>27382.019269152312</v>
      </c>
      <c r="E358" s="69">
        <f t="shared" si="43"/>
        <v>36250</v>
      </c>
      <c r="F358" s="69">
        <f t="shared" si="44"/>
        <v>25776.189534105448</v>
      </c>
      <c r="G358" s="69">
        <f t="shared" si="45"/>
        <v>0</v>
      </c>
      <c r="H358" s="62">
        <f t="shared" si="46"/>
        <v>5389816.3496776363</v>
      </c>
      <c r="I358" s="70">
        <f t="shared" si="47"/>
        <v>3848376.1454750812</v>
      </c>
    </row>
    <row r="359" spans="2:9" ht="15" customHeight="1" x14ac:dyDescent="0.25">
      <c r="B359" s="68">
        <f t="shared" si="34"/>
        <v>332</v>
      </c>
      <c r="C359" s="69">
        <f t="shared" si="42"/>
        <v>1593.968743878635</v>
      </c>
      <c r="D359" s="69">
        <f t="shared" si="41"/>
        <v>27382.019269152312</v>
      </c>
      <c r="E359" s="69">
        <f t="shared" si="43"/>
        <v>35000</v>
      </c>
      <c r="F359" s="69">
        <f t="shared" si="44"/>
        <v>25788.050525273677</v>
      </c>
      <c r="G359" s="69">
        <f t="shared" si="45"/>
        <v>0</v>
      </c>
      <c r="H359" s="62">
        <f t="shared" si="46"/>
        <v>5466747.2515004314</v>
      </c>
      <c r="I359" s="70">
        <f t="shared" si="47"/>
        <v>3884892.5898538833</v>
      </c>
    </row>
    <row r="360" spans="2:9" ht="15" customHeight="1" x14ac:dyDescent="0.25">
      <c r="B360" s="68">
        <f t="shared" si="34"/>
        <v>333</v>
      </c>
      <c r="C360" s="69">
        <f t="shared" si="42"/>
        <v>1582.1077527104062</v>
      </c>
      <c r="D360" s="69">
        <f t="shared" si="41"/>
        <v>27382.019269152312</v>
      </c>
      <c r="E360" s="69">
        <f t="shared" si="43"/>
        <v>33750</v>
      </c>
      <c r="F360" s="69">
        <f t="shared" si="44"/>
        <v>25799.911516441905</v>
      </c>
      <c r="G360" s="69">
        <f t="shared" si="45"/>
        <v>0</v>
      </c>
      <c r="H360" s="62">
        <f t="shared" si="46"/>
        <v>5544419.9957120623</v>
      </c>
      <c r="I360" s="70">
        <f t="shared" si="47"/>
        <v>3921755.5312121026</v>
      </c>
    </row>
    <row r="361" spans="2:9" ht="15" customHeight="1" x14ac:dyDescent="0.25">
      <c r="B361" s="68">
        <f t="shared" si="34"/>
        <v>334</v>
      </c>
      <c r="C361" s="69">
        <f t="shared" si="42"/>
        <v>1570.2467615421774</v>
      </c>
      <c r="D361" s="69">
        <f t="shared" si="41"/>
        <v>27382.019269152312</v>
      </c>
      <c r="E361" s="69">
        <f t="shared" si="43"/>
        <v>32500</v>
      </c>
      <c r="F361" s="69">
        <f t="shared" si="44"/>
        <v>25811.772507610134</v>
      </c>
      <c r="G361" s="69">
        <f t="shared" si="45"/>
        <v>0</v>
      </c>
      <c r="H361" s="62">
        <f t="shared" si="46"/>
        <v>5622841.6215013461</v>
      </c>
      <c r="I361" s="70">
        <f t="shared" si="47"/>
        <v>3958968.2573878299</v>
      </c>
    </row>
    <row r="362" spans="2:9" ht="15" customHeight="1" x14ac:dyDescent="0.25">
      <c r="B362" s="68">
        <f t="shared" si="34"/>
        <v>335</v>
      </c>
      <c r="C362" s="69">
        <f t="shared" si="42"/>
        <v>1558.3857703739486</v>
      </c>
      <c r="D362" s="69">
        <f t="shared" si="41"/>
        <v>27382.019269152312</v>
      </c>
      <c r="E362" s="69">
        <f t="shared" si="43"/>
        <v>31250</v>
      </c>
      <c r="F362" s="69">
        <f t="shared" si="44"/>
        <v>25823.633498778363</v>
      </c>
      <c r="G362" s="69">
        <f t="shared" si="45"/>
        <v>0</v>
      </c>
      <c r="H362" s="62">
        <f t="shared" si="46"/>
        <v>5702019.2348505063</v>
      </c>
      <c r="I362" s="70">
        <f t="shared" si="47"/>
        <v>3996534.0874167699</v>
      </c>
    </row>
    <row r="363" spans="2:9" ht="15" customHeight="1" x14ac:dyDescent="0.25">
      <c r="B363" s="68">
        <f t="shared" si="34"/>
        <v>336</v>
      </c>
      <c r="C363" s="69">
        <f t="shared" si="42"/>
        <v>1546.5247792057198</v>
      </c>
      <c r="D363" s="69">
        <f t="shared" si="41"/>
        <v>29920.332455402731</v>
      </c>
      <c r="E363" s="69">
        <f t="shared" si="43"/>
        <v>30000</v>
      </c>
      <c r="F363" s="69">
        <f t="shared" si="44"/>
        <v>28373.807676197011</v>
      </c>
      <c r="G363" s="69">
        <f t="shared" si="45"/>
        <v>0</v>
      </c>
      <c r="H363" s="62">
        <f t="shared" si="46"/>
        <v>5784498.3223552098</v>
      </c>
      <c r="I363" s="70">
        <f t="shared" si="47"/>
        <v>4034456.3718282706</v>
      </c>
    </row>
    <row r="364" spans="2:9" ht="15" customHeight="1" x14ac:dyDescent="0.25">
      <c r="B364" s="68">
        <f t="shared" si="34"/>
        <v>337</v>
      </c>
      <c r="C364" s="69">
        <f t="shared" si="42"/>
        <v>1534.663788037491</v>
      </c>
      <c r="D364" s="69">
        <f t="shared" si="41"/>
        <v>29920.332455402731</v>
      </c>
      <c r="E364" s="69">
        <f t="shared" si="43"/>
        <v>28750</v>
      </c>
      <c r="F364" s="69">
        <f t="shared" si="44"/>
        <v>28385.66866736524</v>
      </c>
      <c r="G364" s="69">
        <f t="shared" si="45"/>
        <v>0</v>
      </c>
      <c r="H364" s="62">
        <f t="shared" si="46"/>
        <v>5867771.8978338465</v>
      </c>
      <c r="I364" s="70">
        <f t="shared" si="47"/>
        <v>4072738.4929441581</v>
      </c>
    </row>
    <row r="365" spans="2:9" ht="15" customHeight="1" x14ac:dyDescent="0.25">
      <c r="B365" s="68">
        <f t="shared" si="34"/>
        <v>338</v>
      </c>
      <c r="C365" s="69">
        <f t="shared" si="42"/>
        <v>1522.8027968692622</v>
      </c>
      <c r="D365" s="69">
        <f t="shared" si="41"/>
        <v>29920.332455402731</v>
      </c>
      <c r="E365" s="69">
        <f t="shared" si="43"/>
        <v>27500</v>
      </c>
      <c r="F365" s="69">
        <f t="shared" si="44"/>
        <v>28397.529658533469</v>
      </c>
      <c r="G365" s="69">
        <f t="shared" si="45"/>
        <v>0</v>
      </c>
      <c r="H365" s="62">
        <f t="shared" si="46"/>
        <v>5951847.5000182912</v>
      </c>
      <c r="I365" s="70">
        <f t="shared" si="47"/>
        <v>4111383.8651804109</v>
      </c>
    </row>
    <row r="366" spans="2:9" ht="15" customHeight="1" x14ac:dyDescent="0.25">
      <c r="B366" s="68">
        <f t="shared" si="34"/>
        <v>339</v>
      </c>
      <c r="C366" s="69">
        <f t="shared" si="42"/>
        <v>1510.9418057010334</v>
      </c>
      <c r="D366" s="69">
        <f t="shared" si="41"/>
        <v>29920.332455402731</v>
      </c>
      <c r="E366" s="69">
        <f t="shared" si="43"/>
        <v>26250</v>
      </c>
      <c r="F366" s="69">
        <f t="shared" si="44"/>
        <v>28409.390649701698</v>
      </c>
      <c r="G366" s="69">
        <f t="shared" si="45"/>
        <v>0</v>
      </c>
      <c r="H366" s="62">
        <f t="shared" si="46"/>
        <v>6036732.7391738817</v>
      </c>
      <c r="I366" s="70">
        <f t="shared" si="47"/>
        <v>4150395.9353516935</v>
      </c>
    </row>
    <row r="367" spans="2:9" ht="15" customHeight="1" x14ac:dyDescent="0.25">
      <c r="B367" s="68">
        <f t="shared" si="34"/>
        <v>340</v>
      </c>
      <c r="C367" s="69">
        <f t="shared" si="42"/>
        <v>1499.0808145328047</v>
      </c>
      <c r="D367" s="69">
        <f t="shared" si="41"/>
        <v>29920.332455402731</v>
      </c>
      <c r="E367" s="69">
        <f t="shared" si="43"/>
        <v>25000</v>
      </c>
      <c r="F367" s="69">
        <f t="shared" si="44"/>
        <v>28421.251640869927</v>
      </c>
      <c r="G367" s="69">
        <f t="shared" si="45"/>
        <v>0</v>
      </c>
      <c r="H367" s="62">
        <f t="shared" si="46"/>
        <v>6122435.297778191</v>
      </c>
      <c r="I367" s="70">
        <f t="shared" si="47"/>
        <v>4189778.1829787809</v>
      </c>
    </row>
    <row r="368" spans="2:9" ht="15" customHeight="1" x14ac:dyDescent="0.25">
      <c r="B368" s="68">
        <f t="shared" si="34"/>
        <v>341</v>
      </c>
      <c r="C368" s="69">
        <f t="shared" si="42"/>
        <v>1487.2198233645759</v>
      </c>
      <c r="D368" s="69">
        <f t="shared" si="41"/>
        <v>29920.332455402731</v>
      </c>
      <c r="E368" s="69">
        <f t="shared" si="43"/>
        <v>23750</v>
      </c>
      <c r="F368" s="69">
        <f t="shared" si="44"/>
        <v>28433.112632038155</v>
      </c>
      <c r="G368" s="69">
        <f t="shared" si="45"/>
        <v>0</v>
      </c>
      <c r="H368" s="62">
        <f t="shared" si="46"/>
        <v>6208962.9312062282</v>
      </c>
      <c r="I368" s="70">
        <f t="shared" si="47"/>
        <v>4229534.1205989001</v>
      </c>
    </row>
    <row r="369" spans="2:9" ht="15" customHeight="1" x14ac:dyDescent="0.25">
      <c r="B369" s="68">
        <f t="shared" si="34"/>
        <v>342</v>
      </c>
      <c r="C369" s="69">
        <f t="shared" si="42"/>
        <v>1475.3588321963471</v>
      </c>
      <c r="D369" s="69">
        <f t="shared" si="41"/>
        <v>29920.332455402731</v>
      </c>
      <c r="E369" s="69">
        <f t="shared" si="43"/>
        <v>22500</v>
      </c>
      <c r="F369" s="69">
        <f t="shared" si="44"/>
        <v>28444.973623206384</v>
      </c>
      <c r="G369" s="69">
        <f t="shared" si="45"/>
        <v>0</v>
      </c>
      <c r="H369" s="62">
        <f t="shared" si="46"/>
        <v>6296323.468422153</v>
      </c>
      <c r="I369" s="70">
        <f t="shared" si="47"/>
        <v>4269667.2940790169</v>
      </c>
    </row>
    <row r="370" spans="2:9" ht="15" customHeight="1" x14ac:dyDescent="0.25">
      <c r="B370" s="68">
        <f t="shared" si="34"/>
        <v>343</v>
      </c>
      <c r="C370" s="69">
        <f t="shared" si="42"/>
        <v>1463.4978410281183</v>
      </c>
      <c r="D370" s="69">
        <f t="shared" si="41"/>
        <v>29920.332455402731</v>
      </c>
      <c r="E370" s="69">
        <f t="shared" si="43"/>
        <v>21250</v>
      </c>
      <c r="F370" s="69">
        <f t="shared" si="44"/>
        <v>28456.834614374613</v>
      </c>
      <c r="G370" s="69">
        <f t="shared" si="45"/>
        <v>0</v>
      </c>
      <c r="H370" s="62">
        <f t="shared" si="46"/>
        <v>6384524.8126775408</v>
      </c>
      <c r="I370" s="70">
        <f t="shared" si="47"/>
        <v>4310181.2829320943</v>
      </c>
    </row>
    <row r="371" spans="2:9" ht="15" customHeight="1" x14ac:dyDescent="0.25">
      <c r="B371" s="68">
        <f t="shared" si="34"/>
        <v>344</v>
      </c>
      <c r="C371" s="69">
        <f t="shared" si="42"/>
        <v>1451.6368498598895</v>
      </c>
      <c r="D371" s="69">
        <f t="shared" si="41"/>
        <v>29920.332455402731</v>
      </c>
      <c r="E371" s="69">
        <f t="shared" si="43"/>
        <v>20000</v>
      </c>
      <c r="F371" s="69">
        <f t="shared" si="44"/>
        <v>28468.695605542842</v>
      </c>
      <c r="G371" s="69">
        <f t="shared" si="45"/>
        <v>0</v>
      </c>
      <c r="H371" s="62">
        <f t="shared" si="46"/>
        <v>6473574.9422162883</v>
      </c>
      <c r="I371" s="70">
        <f t="shared" si="47"/>
        <v>4351079.7006363524</v>
      </c>
    </row>
    <row r="372" spans="2:9" ht="15" customHeight="1" x14ac:dyDescent="0.25">
      <c r="B372" s="68">
        <f t="shared" si="34"/>
        <v>345</v>
      </c>
      <c r="C372" s="69">
        <f t="shared" si="42"/>
        <v>1439.7758586916607</v>
      </c>
      <c r="D372" s="69">
        <f t="shared" si="41"/>
        <v>29920.332455402731</v>
      </c>
      <c r="E372" s="69">
        <f t="shared" si="43"/>
        <v>18750</v>
      </c>
      <c r="F372" s="69">
        <f t="shared" si="44"/>
        <v>28480.556596711071</v>
      </c>
      <c r="G372" s="69">
        <f t="shared" si="45"/>
        <v>0</v>
      </c>
      <c r="H372" s="62">
        <f t="shared" si="46"/>
        <v>6563481.9109861953</v>
      </c>
      <c r="I372" s="70">
        <f t="shared" si="47"/>
        <v>4392366.1949575581</v>
      </c>
    </row>
    <row r="373" spans="2:9" ht="15" customHeight="1" x14ac:dyDescent="0.25">
      <c r="B373" s="68">
        <f t="shared" si="34"/>
        <v>346</v>
      </c>
      <c r="C373" s="69">
        <f t="shared" si="42"/>
        <v>1427.9148675234319</v>
      </c>
      <c r="D373" s="69">
        <f t="shared" si="41"/>
        <v>29920.332455402731</v>
      </c>
      <c r="E373" s="69">
        <f t="shared" si="43"/>
        <v>17500</v>
      </c>
      <c r="F373" s="69">
        <f t="shared" si="44"/>
        <v>28492.417587879299</v>
      </c>
      <c r="G373" s="69">
        <f t="shared" si="45"/>
        <v>0</v>
      </c>
      <c r="H373" s="62">
        <f t="shared" si="46"/>
        <v>6654253.8493573042</v>
      </c>
      <c r="I373" s="70">
        <f t="shared" si="47"/>
        <v>4434044.4482743731</v>
      </c>
    </row>
    <row r="374" spans="2:9" ht="15" customHeight="1" x14ac:dyDescent="0.25">
      <c r="B374" s="68">
        <f t="shared" si="34"/>
        <v>347</v>
      </c>
      <c r="C374" s="69">
        <f t="shared" si="42"/>
        <v>1416.0538763552031</v>
      </c>
      <c r="D374" s="69">
        <f t="shared" si="41"/>
        <v>29920.332455402731</v>
      </c>
      <c r="E374" s="69">
        <f t="shared" si="43"/>
        <v>16250</v>
      </c>
      <c r="F374" s="69">
        <f t="shared" si="44"/>
        <v>28504.278579047528</v>
      </c>
      <c r="G374" s="69">
        <f t="shared" si="45"/>
        <v>0</v>
      </c>
      <c r="H374" s="62">
        <f t="shared" si="46"/>
        <v>6745898.9648470553</v>
      </c>
      <c r="I374" s="70">
        <f t="shared" si="47"/>
        <v>4476118.1779067861</v>
      </c>
    </row>
    <row r="375" spans="2:9" ht="15" customHeight="1" x14ac:dyDescent="0.25">
      <c r="B375" s="68">
        <f t="shared" si="34"/>
        <v>348</v>
      </c>
      <c r="C375" s="69">
        <f t="shared" si="42"/>
        <v>1404.1928851869743</v>
      </c>
      <c r="D375" s="69">
        <f t="shared" si="41"/>
        <v>32693.947274018563</v>
      </c>
      <c r="E375" s="69">
        <f t="shared" si="43"/>
        <v>15000</v>
      </c>
      <c r="F375" s="69">
        <f t="shared" si="44"/>
        <v>31289.754388831589</v>
      </c>
      <c r="G375" s="69">
        <f t="shared" si="45"/>
        <v>0</v>
      </c>
      <c r="H375" s="62">
        <f t="shared" si="46"/>
        <v>6841199.1576709384</v>
      </c>
      <c r="I375" s="70">
        <f t="shared" si="47"/>
        <v>4518591.1364476671</v>
      </c>
    </row>
    <row r="376" spans="2:9" ht="15" customHeight="1" x14ac:dyDescent="0.25">
      <c r="B376" s="68">
        <f t="shared" si="34"/>
        <v>349</v>
      </c>
      <c r="C376" s="69">
        <f t="shared" si="42"/>
        <v>1392.3318940187455</v>
      </c>
      <c r="D376" s="69">
        <f t="shared" si="41"/>
        <v>32693.947274018563</v>
      </c>
      <c r="E376" s="69">
        <f t="shared" si="43"/>
        <v>13750</v>
      </c>
      <c r="F376" s="69">
        <f t="shared" si="44"/>
        <v>31301.615379999817</v>
      </c>
      <c r="G376" s="69">
        <f t="shared" si="45"/>
        <v>0</v>
      </c>
      <c r="H376" s="62">
        <f t="shared" si="46"/>
        <v>6937415.4952823212</v>
      </c>
      <c r="I376" s="70">
        <f t="shared" si="47"/>
        <v>4561467.1120974617</v>
      </c>
    </row>
    <row r="377" spans="2:9" ht="15" customHeight="1" x14ac:dyDescent="0.25">
      <c r="B377" s="68">
        <f t="shared" si="34"/>
        <v>350</v>
      </c>
      <c r="C377" s="69">
        <f t="shared" si="42"/>
        <v>1380.4709028505167</v>
      </c>
      <c r="D377" s="69">
        <f t="shared" si="41"/>
        <v>32693.947274018563</v>
      </c>
      <c r="E377" s="69">
        <f t="shared" si="43"/>
        <v>12500</v>
      </c>
      <c r="F377" s="69">
        <f t="shared" si="44"/>
        <v>31313.476371168046</v>
      </c>
      <c r="G377" s="69">
        <f t="shared" si="45"/>
        <v>0</v>
      </c>
      <c r="H377" s="62">
        <f t="shared" si="46"/>
        <v>7034556.6707893908</v>
      </c>
      <c r="I377" s="70">
        <f t="shared" si="47"/>
        <v>4604749.9290020652</v>
      </c>
    </row>
    <row r="378" spans="2:9" ht="15" customHeight="1" x14ac:dyDescent="0.25">
      <c r="B378" s="68">
        <f t="shared" si="34"/>
        <v>351</v>
      </c>
      <c r="C378" s="69">
        <f t="shared" si="42"/>
        <v>1368.6099116822879</v>
      </c>
      <c r="D378" s="69">
        <f t="shared" si="41"/>
        <v>32693.947274018563</v>
      </c>
      <c r="E378" s="69">
        <f t="shared" si="43"/>
        <v>11250</v>
      </c>
      <c r="F378" s="69">
        <f t="shared" si="44"/>
        <v>31325.337362336275</v>
      </c>
      <c r="G378" s="69">
        <f t="shared" si="45"/>
        <v>0</v>
      </c>
      <c r="H378" s="62">
        <f t="shared" si="46"/>
        <v>7132631.4597874368</v>
      </c>
      <c r="I378" s="70">
        <f t="shared" si="47"/>
        <v>4648443.4475939022</v>
      </c>
    </row>
    <row r="379" spans="2:9" ht="15" customHeight="1" x14ac:dyDescent="0.25">
      <c r="B379" s="68">
        <f t="shared" si="34"/>
        <v>352</v>
      </c>
      <c r="C379" s="69">
        <f t="shared" si="42"/>
        <v>1356.7489205140591</v>
      </c>
      <c r="D379" s="69">
        <f t="shared" si="41"/>
        <v>32693.947274018563</v>
      </c>
      <c r="E379" s="69">
        <f t="shared" si="43"/>
        <v>10000</v>
      </c>
      <c r="F379" s="69">
        <f t="shared" si="44"/>
        <v>31337.198353504504</v>
      </c>
      <c r="G379" s="69">
        <f t="shared" si="45"/>
        <v>0</v>
      </c>
      <c r="H379" s="62">
        <f t="shared" si="46"/>
        <v>7231648.7211415572</v>
      </c>
      <c r="I379" s="70">
        <f t="shared" si="47"/>
        <v>4692551.5649362402</v>
      </c>
    </row>
    <row r="380" spans="2:9" ht="15" customHeight="1" x14ac:dyDescent="0.25">
      <c r="B380" s="68">
        <f t="shared" si="34"/>
        <v>353</v>
      </c>
      <c r="C380" s="69">
        <f t="shared" si="42"/>
        <v>1344.8879293458303</v>
      </c>
      <c r="D380" s="69">
        <f t="shared" si="41"/>
        <v>32693.947274018563</v>
      </c>
      <c r="E380" s="69">
        <f t="shared" si="43"/>
        <v>8750</v>
      </c>
      <c r="F380" s="69">
        <f t="shared" si="44"/>
        <v>31349.059344672733</v>
      </c>
      <c r="G380" s="69">
        <f t="shared" si="45"/>
        <v>0</v>
      </c>
      <c r="H380" s="62">
        <f t="shared" si="46"/>
        <v>7331617.3977767844</v>
      </c>
      <c r="I380" s="70">
        <f t="shared" si="47"/>
        <v>4737078.2150707738</v>
      </c>
    </row>
    <row r="381" spans="2:9" ht="15" customHeight="1" x14ac:dyDescent="0.25">
      <c r="B381" s="68">
        <f t="shared" si="34"/>
        <v>354</v>
      </c>
      <c r="C381" s="69">
        <f t="shared" si="42"/>
        <v>1333.0269381776016</v>
      </c>
      <c r="D381" s="69">
        <f t="shared" si="41"/>
        <v>32693.947274018563</v>
      </c>
      <c r="E381" s="69">
        <f t="shared" si="43"/>
        <v>7500</v>
      </c>
      <c r="F381" s="69">
        <f t="shared" si="44"/>
        <v>31360.920335840961</v>
      </c>
      <c r="G381" s="69">
        <f t="shared" si="45"/>
        <v>0</v>
      </c>
      <c r="H381" s="62">
        <f t="shared" si="46"/>
        <v>7432546.5174757158</v>
      </c>
      <c r="I381" s="70">
        <f t="shared" si="47"/>
        <v>4782027.3693685047</v>
      </c>
    </row>
    <row r="382" spans="2:9" ht="15" customHeight="1" x14ac:dyDescent="0.25">
      <c r="B382" s="68">
        <f t="shared" si="34"/>
        <v>355</v>
      </c>
      <c r="C382" s="69">
        <f t="shared" si="42"/>
        <v>1321.1659470093728</v>
      </c>
      <c r="D382" s="69">
        <f t="shared" si="41"/>
        <v>32693.947274018563</v>
      </c>
      <c r="E382" s="69">
        <f t="shared" si="43"/>
        <v>6250</v>
      </c>
      <c r="F382" s="69">
        <f t="shared" si="44"/>
        <v>31372.78132700919</v>
      </c>
      <c r="G382" s="69">
        <f t="shared" si="45"/>
        <v>0</v>
      </c>
      <c r="H382" s="62">
        <f t="shared" si="46"/>
        <v>7534445.1936837081</v>
      </c>
      <c r="I382" s="70">
        <f t="shared" si="47"/>
        <v>4827403.0368839512</v>
      </c>
    </row>
    <row r="383" spans="2:9" ht="15" customHeight="1" x14ac:dyDescent="0.25">
      <c r="B383" s="68">
        <f t="shared" si="34"/>
        <v>356</v>
      </c>
      <c r="C383" s="69">
        <f t="shared" si="42"/>
        <v>1309.304955841144</v>
      </c>
      <c r="D383" s="69">
        <f t="shared" si="41"/>
        <v>32693.947274018563</v>
      </c>
      <c r="E383" s="69">
        <f t="shared" si="43"/>
        <v>5000</v>
      </c>
      <c r="F383" s="69">
        <f t="shared" si="44"/>
        <v>31384.642318177419</v>
      </c>
      <c r="G383" s="69">
        <f t="shared" si="45"/>
        <v>0</v>
      </c>
      <c r="H383" s="62">
        <f t="shared" si="46"/>
        <v>7637322.6263217144</v>
      </c>
      <c r="I383" s="70">
        <f t="shared" si="47"/>
        <v>4873209.2647127202</v>
      </c>
    </row>
    <row r="384" spans="2:9" ht="15" customHeight="1" x14ac:dyDescent="0.25">
      <c r="B384" s="68">
        <f t="shared" si="34"/>
        <v>357</v>
      </c>
      <c r="C384" s="69">
        <f t="shared" si="42"/>
        <v>1297.4439646729152</v>
      </c>
      <c r="D384" s="69">
        <f t="shared" si="41"/>
        <v>32693.947274018563</v>
      </c>
      <c r="E384" s="69">
        <f t="shared" si="43"/>
        <v>3750</v>
      </c>
      <c r="F384" s="69">
        <f t="shared" si="44"/>
        <v>31396.503309345648</v>
      </c>
      <c r="G384" s="69">
        <f t="shared" si="45"/>
        <v>0</v>
      </c>
      <c r="H384" s="62">
        <f t="shared" si="46"/>
        <v>7741188.102606833</v>
      </c>
      <c r="I384" s="70">
        <f t="shared" si="47"/>
        <v>4919450.1383524705</v>
      </c>
    </row>
    <row r="385" spans="2:9" ht="15" customHeight="1" x14ac:dyDescent="0.25">
      <c r="B385" s="68">
        <f t="shared" si="34"/>
        <v>358</v>
      </c>
      <c r="C385" s="69">
        <f t="shared" si="42"/>
        <v>1285.5829735046864</v>
      </c>
      <c r="D385" s="69">
        <f t="shared" si="41"/>
        <v>32693.947274018563</v>
      </c>
      <c r="E385" s="69">
        <f t="shared" si="43"/>
        <v>2500</v>
      </c>
      <c r="F385" s="69">
        <f t="shared" si="44"/>
        <v>31408.364300513877</v>
      </c>
      <c r="G385" s="69">
        <f t="shared" si="45"/>
        <v>0</v>
      </c>
      <c r="H385" s="62">
        <f t="shared" si="46"/>
        <v>7846050.9978806404</v>
      </c>
      <c r="I385" s="70">
        <f t="shared" si="47"/>
        <v>4966129.7820673026</v>
      </c>
    </row>
    <row r="386" spans="2:9" ht="15" customHeight="1" x14ac:dyDescent="0.25">
      <c r="B386" s="68">
        <f t="shared" si="34"/>
        <v>359</v>
      </c>
      <c r="C386" s="69">
        <f t="shared" si="42"/>
        <v>1273.7219823364576</v>
      </c>
      <c r="D386" s="69">
        <f t="shared" si="41"/>
        <v>32693.947274018563</v>
      </c>
      <c r="E386" s="69">
        <f t="shared" si="43"/>
        <v>1250</v>
      </c>
      <c r="F386" s="69">
        <f t="shared" si="44"/>
        <v>31420.225291682105</v>
      </c>
      <c r="G386" s="69">
        <f t="shared" si="45"/>
        <v>0</v>
      </c>
      <c r="H386" s="62">
        <f t="shared" si="46"/>
        <v>7951920.7764453907</v>
      </c>
      <c r="I386" s="70">
        <f t="shared" si="47"/>
        <v>5013252.3592556054</v>
      </c>
    </row>
    <row r="387" spans="2:9" ht="15" customHeight="1" x14ac:dyDescent="0.25">
      <c r="B387" s="68">
        <f t="shared" si="34"/>
        <v>360</v>
      </c>
      <c r="C387" s="69">
        <f t="shared" si="42"/>
        <v>1261.8609911682288</v>
      </c>
      <c r="D387" s="69">
        <f t="shared" si="41"/>
        <v>35724.676186320081</v>
      </c>
      <c r="E387" s="69">
        <f t="shared" si="43"/>
        <v>0</v>
      </c>
      <c r="F387" s="69">
        <f t="shared" si="44"/>
        <v>34462.815195151852</v>
      </c>
      <c r="G387" s="69">
        <f t="shared" si="45"/>
        <v>0</v>
      </c>
      <c r="H387" s="62">
        <f t="shared" si="46"/>
        <v>8061837.721320441</v>
      </c>
      <c r="I387" s="70">
        <f t="shared" si="47"/>
        <v>5060822.0728213917</v>
      </c>
    </row>
    <row r="388" spans="2:9" ht="15" customHeight="1" x14ac:dyDescent="0.25">
      <c r="B388" s="68"/>
      <c r="C388" s="69"/>
      <c r="D388" s="69"/>
      <c r="E388" s="69"/>
      <c r="F388" s="69"/>
      <c r="G388" s="69"/>
      <c r="H388" s="62"/>
      <c r="I388" s="70"/>
    </row>
    <row r="389" spans="2:9" ht="15" customHeight="1" x14ac:dyDescent="0.25">
      <c r="B389" s="68"/>
      <c r="C389" s="69"/>
      <c r="D389" s="69"/>
      <c r="E389" s="69"/>
      <c r="F389" s="69"/>
      <c r="G389" s="69"/>
      <c r="H389" s="62"/>
      <c r="I389" s="70"/>
    </row>
    <row r="390" spans="2:9" ht="15" customHeight="1" x14ac:dyDescent="0.25">
      <c r="B390" s="68"/>
      <c r="C390" s="69"/>
      <c r="D390" s="69"/>
      <c r="E390" s="69"/>
      <c r="F390" s="69"/>
      <c r="G390" s="69"/>
      <c r="H390" s="62"/>
      <c r="I390" s="70"/>
    </row>
    <row r="391" spans="2:9" ht="15" customHeight="1" x14ac:dyDescent="0.25">
      <c r="B391" s="68"/>
      <c r="C391" s="69"/>
      <c r="D391" s="69"/>
      <c r="E391" s="69"/>
      <c r="F391" s="69"/>
      <c r="G391" s="69"/>
      <c r="H391" s="62"/>
      <c r="I391" s="70"/>
    </row>
    <row r="392" spans="2:9" ht="15" customHeight="1" x14ac:dyDescent="0.25">
      <c r="B392" s="68"/>
      <c r="C392" s="69"/>
      <c r="D392" s="69"/>
      <c r="E392" s="69"/>
      <c r="F392" s="69"/>
      <c r="G392" s="69"/>
      <c r="H392" s="62"/>
      <c r="I392" s="70"/>
    </row>
    <row r="393" spans="2:9" ht="15" customHeight="1" x14ac:dyDescent="0.25">
      <c r="B393" s="68"/>
      <c r="C393" s="69"/>
      <c r="D393" s="69"/>
      <c r="E393" s="69"/>
      <c r="F393" s="69"/>
      <c r="G393" s="69"/>
      <c r="H393" s="62"/>
      <c r="I393" s="70"/>
    </row>
    <row r="394" spans="2:9" ht="15" customHeight="1" x14ac:dyDescent="0.25">
      <c r="B394" s="68"/>
      <c r="C394" s="69"/>
      <c r="D394" s="69"/>
      <c r="E394" s="69"/>
      <c r="F394" s="69"/>
      <c r="G394" s="69"/>
      <c r="H394" s="62"/>
      <c r="I394" s="70"/>
    </row>
    <row r="395" spans="2:9" ht="15" customHeight="1" x14ac:dyDescent="0.25">
      <c r="B395" s="68"/>
      <c r="C395" s="69"/>
      <c r="D395" s="69"/>
      <c r="E395" s="69"/>
      <c r="F395" s="69"/>
      <c r="G395" s="69"/>
      <c r="H395" s="62"/>
      <c r="I395" s="70"/>
    </row>
    <row r="396" spans="2:9" ht="15" customHeight="1" x14ac:dyDescent="0.25">
      <c r="B396" s="68"/>
      <c r="C396" s="69"/>
      <c r="D396" s="69"/>
      <c r="E396" s="69"/>
      <c r="F396" s="69"/>
      <c r="G396" s="69"/>
      <c r="H396" s="62"/>
      <c r="I396" s="70"/>
    </row>
    <row r="397" spans="2:9" ht="15" customHeight="1" x14ac:dyDescent="0.25">
      <c r="B397" s="68"/>
      <c r="C397" s="69"/>
      <c r="D397" s="69"/>
      <c r="E397" s="69"/>
      <c r="F397" s="69"/>
      <c r="G397" s="69"/>
      <c r="H397" s="62"/>
      <c r="I397" s="70"/>
    </row>
    <row r="398" spans="2:9" ht="15" customHeight="1" x14ac:dyDescent="0.25">
      <c r="B398" s="68"/>
      <c r="C398" s="69"/>
      <c r="D398" s="69"/>
      <c r="E398" s="69"/>
      <c r="F398" s="69"/>
      <c r="G398" s="69"/>
      <c r="H398" s="62"/>
      <c r="I398" s="70"/>
    </row>
    <row r="399" spans="2:9" ht="15" customHeight="1" x14ac:dyDescent="0.25">
      <c r="B399" s="68"/>
      <c r="C399" s="69"/>
      <c r="D399" s="69"/>
      <c r="E399" s="69"/>
      <c r="F399" s="69"/>
      <c r="G399" s="69"/>
      <c r="H399" s="62"/>
      <c r="I399" s="70"/>
    </row>
    <row r="400" spans="2:9" ht="15" customHeight="1" x14ac:dyDescent="0.25">
      <c r="B400" s="68"/>
      <c r="C400" s="69"/>
      <c r="D400" s="69"/>
      <c r="E400" s="69"/>
      <c r="F400" s="69"/>
      <c r="G400" s="69"/>
      <c r="H400" s="62"/>
      <c r="I400" s="70"/>
    </row>
    <row r="401" spans="2:9" ht="15" customHeight="1" x14ac:dyDescent="0.25">
      <c r="B401" s="68"/>
      <c r="C401" s="69"/>
      <c r="D401" s="69"/>
      <c r="E401" s="69"/>
      <c r="F401" s="69"/>
      <c r="G401" s="69"/>
      <c r="H401" s="62"/>
      <c r="I401" s="70"/>
    </row>
    <row r="402" spans="2:9" ht="15" customHeight="1" x14ac:dyDescent="0.25">
      <c r="B402" s="68"/>
      <c r="C402" s="69"/>
      <c r="D402" s="69"/>
      <c r="E402" s="69"/>
      <c r="F402" s="69"/>
      <c r="G402" s="69"/>
      <c r="H402" s="62"/>
      <c r="I402" s="70"/>
    </row>
    <row r="403" spans="2:9" ht="15" customHeight="1" x14ac:dyDescent="0.25">
      <c r="B403" s="68"/>
      <c r="C403" s="69"/>
      <c r="D403" s="69"/>
      <c r="E403" s="69"/>
      <c r="F403" s="69"/>
      <c r="G403" s="69"/>
      <c r="H403" s="62"/>
      <c r="I403" s="70"/>
    </row>
    <row r="404" spans="2:9" ht="15" customHeight="1" x14ac:dyDescent="0.25">
      <c r="B404" s="68"/>
      <c r="C404" s="69"/>
      <c r="D404" s="69"/>
      <c r="E404" s="69"/>
      <c r="F404" s="69"/>
      <c r="G404" s="69"/>
      <c r="H404" s="62"/>
      <c r="I404" s="70"/>
    </row>
    <row r="405" spans="2:9" ht="15" customHeight="1" x14ac:dyDescent="0.25">
      <c r="B405" s="68"/>
      <c r="C405" s="69"/>
      <c r="D405" s="69"/>
      <c r="E405" s="69"/>
      <c r="F405" s="69"/>
      <c r="G405" s="69"/>
      <c r="H405" s="62"/>
      <c r="I405" s="70"/>
    </row>
    <row r="406" spans="2:9" ht="15" customHeight="1" x14ac:dyDescent="0.25">
      <c r="B406" s="68"/>
      <c r="C406" s="69"/>
      <c r="D406" s="69"/>
      <c r="E406" s="69"/>
      <c r="F406" s="69"/>
      <c r="G406" s="69"/>
      <c r="H406" s="62"/>
      <c r="I406" s="70"/>
    </row>
    <row r="407" spans="2:9" ht="15" customHeight="1" x14ac:dyDescent="0.25">
      <c r="B407" s="68"/>
      <c r="C407" s="69"/>
      <c r="D407" s="69"/>
      <c r="E407" s="69"/>
      <c r="F407" s="69"/>
      <c r="G407" s="69"/>
      <c r="H407" s="62"/>
      <c r="I407" s="70"/>
    </row>
    <row r="408" spans="2:9" ht="15" customHeight="1" x14ac:dyDescent="0.25">
      <c r="B408" s="68"/>
      <c r="C408" s="69"/>
      <c r="D408" s="69"/>
      <c r="E408" s="69"/>
      <c r="F408" s="69"/>
      <c r="G408" s="69"/>
      <c r="H408" s="62"/>
      <c r="I408" s="70"/>
    </row>
    <row r="409" spans="2:9" ht="15" customHeight="1" x14ac:dyDescent="0.25">
      <c r="B409" s="68"/>
      <c r="C409" s="69"/>
      <c r="D409" s="69"/>
      <c r="E409" s="69"/>
      <c r="F409" s="69"/>
      <c r="G409" s="69"/>
      <c r="H409" s="62"/>
      <c r="I409" s="70"/>
    </row>
    <row r="410" spans="2:9" ht="15" customHeight="1" x14ac:dyDescent="0.25">
      <c r="B410" s="68"/>
      <c r="C410" s="69"/>
      <c r="D410" s="69"/>
      <c r="E410" s="69"/>
      <c r="F410" s="69"/>
      <c r="G410" s="69"/>
      <c r="H410" s="62"/>
      <c r="I410" s="70"/>
    </row>
    <row r="411" spans="2:9" ht="15" customHeight="1" x14ac:dyDescent="0.25">
      <c r="B411" s="68"/>
      <c r="C411" s="69"/>
      <c r="D411" s="69"/>
      <c r="E411" s="69"/>
      <c r="F411" s="69"/>
      <c r="G411" s="69"/>
      <c r="H411" s="62"/>
      <c r="I411" s="70"/>
    </row>
    <row r="412" spans="2:9" ht="15" customHeight="1" x14ac:dyDescent="0.25">
      <c r="B412" s="68"/>
      <c r="C412" s="69"/>
      <c r="D412" s="69"/>
      <c r="E412" s="69"/>
      <c r="F412" s="69"/>
      <c r="G412" s="69"/>
      <c r="H412" s="62"/>
      <c r="I412" s="70"/>
    </row>
    <row r="413" spans="2:9" ht="15" customHeight="1" x14ac:dyDescent="0.25">
      <c r="B413" s="68"/>
      <c r="C413" s="69"/>
      <c r="D413" s="69"/>
      <c r="E413" s="69"/>
      <c r="F413" s="69"/>
      <c r="G413" s="69"/>
      <c r="H413" s="62"/>
      <c r="I413" s="70"/>
    </row>
    <row r="414" spans="2:9" ht="15" customHeight="1" x14ac:dyDescent="0.25">
      <c r="B414" s="68"/>
      <c r="C414" s="69"/>
      <c r="D414" s="69"/>
      <c r="E414" s="69"/>
      <c r="F414" s="69"/>
      <c r="G414" s="69"/>
      <c r="H414" s="62"/>
      <c r="I414" s="70"/>
    </row>
    <row r="415" spans="2:9" ht="15" customHeight="1" x14ac:dyDescent="0.25">
      <c r="B415" s="68"/>
      <c r="C415" s="69"/>
      <c r="D415" s="69"/>
      <c r="E415" s="69"/>
      <c r="F415" s="69"/>
      <c r="G415" s="69"/>
      <c r="H415" s="62"/>
      <c r="I415" s="70"/>
    </row>
    <row r="416" spans="2:9" ht="15" customHeight="1" x14ac:dyDescent="0.25">
      <c r="B416" s="68"/>
      <c r="C416" s="69"/>
      <c r="D416" s="69"/>
      <c r="E416" s="69"/>
      <c r="F416" s="69"/>
      <c r="G416" s="69"/>
      <c r="H416" s="62"/>
      <c r="I416" s="70"/>
    </row>
    <row r="417" spans="2:9" ht="15" customHeight="1" x14ac:dyDescent="0.25">
      <c r="B417" s="68"/>
      <c r="C417" s="69"/>
      <c r="D417" s="69"/>
      <c r="E417" s="69"/>
      <c r="F417" s="69"/>
      <c r="G417" s="69"/>
      <c r="H417" s="62"/>
      <c r="I417" s="70"/>
    </row>
    <row r="418" spans="2:9" ht="15" customHeight="1" x14ac:dyDescent="0.25">
      <c r="B418" s="68"/>
      <c r="C418" s="69"/>
      <c r="D418" s="69"/>
      <c r="E418" s="69"/>
      <c r="F418" s="69"/>
      <c r="G418" s="69"/>
      <c r="H418" s="62"/>
      <c r="I418" s="70"/>
    </row>
    <row r="419" spans="2:9" ht="15" customHeight="1" x14ac:dyDescent="0.25">
      <c r="B419" s="68"/>
      <c r="C419" s="69"/>
      <c r="D419" s="69"/>
      <c r="E419" s="69"/>
      <c r="F419" s="69"/>
      <c r="G419" s="69"/>
      <c r="H419" s="62"/>
      <c r="I419" s="70"/>
    </row>
    <row r="420" spans="2:9" ht="15" customHeight="1" x14ac:dyDescent="0.25">
      <c r="B420" s="68"/>
      <c r="C420" s="69"/>
      <c r="D420" s="69"/>
      <c r="E420" s="69"/>
      <c r="F420" s="69"/>
      <c r="G420" s="69"/>
      <c r="H420" s="62"/>
      <c r="I420" s="70"/>
    </row>
    <row r="421" spans="2:9" ht="15" customHeight="1" x14ac:dyDescent="0.25">
      <c r="B421" s="68"/>
      <c r="C421" s="69"/>
      <c r="D421" s="69"/>
      <c r="E421" s="69"/>
      <c r="F421" s="69"/>
      <c r="G421" s="69"/>
      <c r="H421" s="62"/>
      <c r="I421" s="70"/>
    </row>
    <row r="422" spans="2:9" ht="15" customHeight="1" x14ac:dyDescent="0.25">
      <c r="B422" s="68"/>
      <c r="C422" s="69"/>
      <c r="D422" s="69"/>
      <c r="E422" s="69"/>
      <c r="F422" s="69"/>
      <c r="G422" s="69"/>
      <c r="H422" s="62"/>
      <c r="I422" s="70"/>
    </row>
    <row r="423" spans="2:9" ht="15" customHeight="1" x14ac:dyDescent="0.25">
      <c r="B423" s="68"/>
      <c r="C423" s="69"/>
      <c r="D423" s="69"/>
      <c r="E423" s="69"/>
      <c r="F423" s="69"/>
      <c r="G423" s="69"/>
      <c r="H423" s="62"/>
      <c r="I423" s="70"/>
    </row>
    <row r="424" spans="2:9" ht="15" customHeight="1" x14ac:dyDescent="0.25">
      <c r="B424" s="68"/>
      <c r="C424" s="69"/>
      <c r="D424" s="69"/>
      <c r="E424" s="69"/>
      <c r="F424" s="69"/>
      <c r="G424" s="69"/>
      <c r="H424" s="62"/>
      <c r="I424" s="70"/>
    </row>
    <row r="425" spans="2:9" ht="15" customHeight="1" x14ac:dyDescent="0.25">
      <c r="B425" s="68"/>
      <c r="C425" s="69"/>
      <c r="D425" s="69"/>
      <c r="E425" s="69"/>
      <c r="F425" s="69"/>
      <c r="G425" s="69"/>
      <c r="H425" s="62"/>
      <c r="I425" s="70"/>
    </row>
    <row r="426" spans="2:9" ht="15" customHeight="1" x14ac:dyDescent="0.25">
      <c r="B426" s="68"/>
      <c r="C426" s="69"/>
      <c r="D426" s="69"/>
      <c r="E426" s="69"/>
      <c r="F426" s="69"/>
      <c r="G426" s="69"/>
      <c r="H426" s="62"/>
      <c r="I426" s="70"/>
    </row>
    <row r="427" spans="2:9" ht="15" customHeight="1" x14ac:dyDescent="0.25">
      <c r="B427" s="68"/>
      <c r="C427" s="69"/>
      <c r="D427" s="69"/>
      <c r="E427" s="69"/>
      <c r="F427" s="69"/>
      <c r="G427" s="69"/>
      <c r="H427" s="62"/>
      <c r="I427" s="70"/>
    </row>
    <row r="428" spans="2:9" ht="15" customHeight="1" x14ac:dyDescent="0.25">
      <c r="B428" s="68"/>
      <c r="C428" s="69"/>
      <c r="D428" s="69"/>
      <c r="E428" s="69"/>
      <c r="F428" s="69"/>
      <c r="G428" s="69"/>
      <c r="H428" s="62"/>
      <c r="I428" s="70"/>
    </row>
    <row r="429" spans="2:9" ht="15" customHeight="1" x14ac:dyDescent="0.25">
      <c r="B429" s="68"/>
      <c r="C429" s="69"/>
      <c r="D429" s="69"/>
      <c r="E429" s="69"/>
      <c r="F429" s="69"/>
      <c r="G429" s="69"/>
      <c r="H429" s="62"/>
      <c r="I429" s="70"/>
    </row>
    <row r="430" spans="2:9" ht="15" customHeight="1" x14ac:dyDescent="0.25">
      <c r="B430" s="68"/>
      <c r="C430" s="69"/>
      <c r="D430" s="69"/>
      <c r="E430" s="69"/>
      <c r="F430" s="69"/>
      <c r="G430" s="69"/>
      <c r="H430" s="62"/>
      <c r="I430" s="70"/>
    </row>
    <row r="431" spans="2:9" ht="15" customHeight="1" x14ac:dyDescent="0.25">
      <c r="B431" s="68"/>
      <c r="C431" s="69"/>
      <c r="D431" s="69"/>
      <c r="E431" s="69"/>
      <c r="F431" s="69"/>
      <c r="G431" s="69"/>
      <c r="H431" s="62"/>
      <c r="I431" s="70"/>
    </row>
    <row r="432" spans="2:9" ht="15" customHeight="1" x14ac:dyDescent="0.25">
      <c r="B432" s="68"/>
      <c r="C432" s="69"/>
      <c r="D432" s="69"/>
      <c r="E432" s="69"/>
      <c r="F432" s="69"/>
      <c r="G432" s="69"/>
      <c r="H432" s="62"/>
      <c r="I432" s="70"/>
    </row>
    <row r="433" spans="2:9" ht="15" customHeight="1" x14ac:dyDescent="0.25">
      <c r="B433" s="68"/>
      <c r="C433" s="69"/>
      <c r="D433" s="69"/>
      <c r="E433" s="69"/>
      <c r="F433" s="69"/>
      <c r="G433" s="69"/>
      <c r="H433" s="62"/>
      <c r="I433" s="70"/>
    </row>
    <row r="434" spans="2:9" ht="15" customHeight="1" x14ac:dyDescent="0.25">
      <c r="B434" s="68"/>
      <c r="C434" s="69"/>
      <c r="D434" s="69"/>
      <c r="E434" s="69"/>
      <c r="F434" s="69"/>
      <c r="G434" s="69"/>
      <c r="H434" s="62"/>
      <c r="I434" s="70"/>
    </row>
    <row r="435" spans="2:9" ht="15" customHeight="1" x14ac:dyDescent="0.25">
      <c r="B435" s="68"/>
      <c r="C435" s="69"/>
      <c r="D435" s="69"/>
      <c r="E435" s="69"/>
      <c r="F435" s="69"/>
      <c r="G435" s="69"/>
      <c r="H435" s="62"/>
      <c r="I435" s="70"/>
    </row>
    <row r="436" spans="2:9" ht="15" customHeight="1" x14ac:dyDescent="0.25">
      <c r="B436" s="68"/>
      <c r="C436" s="69"/>
      <c r="D436" s="69"/>
      <c r="E436" s="69"/>
      <c r="F436" s="69"/>
      <c r="G436" s="69"/>
      <c r="H436" s="62"/>
      <c r="I436" s="70"/>
    </row>
    <row r="437" spans="2:9" ht="15" customHeight="1" x14ac:dyDescent="0.25">
      <c r="B437" s="68"/>
      <c r="C437" s="69"/>
      <c r="D437" s="69"/>
      <c r="E437" s="69"/>
      <c r="F437" s="69"/>
      <c r="G437" s="69"/>
      <c r="H437" s="62"/>
      <c r="I437" s="70"/>
    </row>
    <row r="438" spans="2:9" ht="15" customHeight="1" x14ac:dyDescent="0.25">
      <c r="B438" s="68"/>
      <c r="C438" s="69"/>
      <c r="D438" s="69"/>
      <c r="E438" s="69"/>
      <c r="F438" s="69"/>
      <c r="G438" s="69"/>
      <c r="H438" s="62"/>
      <c r="I438" s="70"/>
    </row>
    <row r="439" spans="2:9" ht="15" customHeight="1" x14ac:dyDescent="0.25">
      <c r="B439" s="68"/>
      <c r="C439" s="69"/>
      <c r="D439" s="69"/>
      <c r="E439" s="69"/>
      <c r="F439" s="69"/>
      <c r="G439" s="69"/>
      <c r="H439" s="62"/>
      <c r="I439" s="70"/>
    </row>
    <row r="440" spans="2:9" ht="15" customHeight="1" x14ac:dyDescent="0.25">
      <c r="B440" s="68"/>
      <c r="C440" s="69"/>
      <c r="D440" s="69"/>
      <c r="E440" s="69"/>
      <c r="F440" s="69"/>
      <c r="G440" s="69"/>
      <c r="H440" s="62"/>
      <c r="I440" s="70"/>
    </row>
    <row r="441" spans="2:9" ht="15" customHeight="1" x14ac:dyDescent="0.25">
      <c r="B441" s="68"/>
      <c r="C441" s="69"/>
      <c r="D441" s="69"/>
      <c r="E441" s="69"/>
      <c r="F441" s="69"/>
      <c r="G441" s="69"/>
      <c r="H441" s="62"/>
      <c r="I441" s="70"/>
    </row>
    <row r="442" spans="2:9" ht="15" customHeight="1" x14ac:dyDescent="0.25">
      <c r="B442" s="68"/>
      <c r="C442" s="69"/>
      <c r="D442" s="69"/>
      <c r="E442" s="69"/>
      <c r="F442" s="69"/>
      <c r="G442" s="69"/>
      <c r="H442" s="62"/>
      <c r="I442" s="70"/>
    </row>
    <row r="443" spans="2:9" ht="15" customHeight="1" x14ac:dyDescent="0.25">
      <c r="B443" s="68"/>
      <c r="C443" s="69"/>
      <c r="D443" s="69"/>
      <c r="E443" s="69"/>
      <c r="F443" s="69"/>
      <c r="G443" s="69"/>
      <c r="H443" s="62"/>
      <c r="I443" s="70"/>
    </row>
    <row r="444" spans="2:9" ht="15" customHeight="1" x14ac:dyDescent="0.25">
      <c r="B444" s="68"/>
      <c r="C444" s="69"/>
      <c r="D444" s="69"/>
      <c r="E444" s="69"/>
      <c r="F444" s="69"/>
      <c r="G444" s="69"/>
      <c r="H444" s="62"/>
      <c r="I444" s="70"/>
    </row>
    <row r="445" spans="2:9" ht="15" customHeight="1" x14ac:dyDescent="0.25">
      <c r="B445" s="68"/>
      <c r="C445" s="69"/>
      <c r="D445" s="69"/>
      <c r="E445" s="69"/>
      <c r="F445" s="69"/>
      <c r="G445" s="69"/>
      <c r="H445" s="62"/>
      <c r="I445" s="70"/>
    </row>
    <row r="446" spans="2:9" ht="15" customHeight="1" x14ac:dyDescent="0.25">
      <c r="B446" s="68"/>
      <c r="C446" s="69"/>
      <c r="D446" s="69"/>
      <c r="E446" s="69"/>
      <c r="F446" s="69"/>
      <c r="G446" s="69"/>
      <c r="H446" s="62"/>
      <c r="I446" s="70"/>
    </row>
    <row r="447" spans="2:9" ht="15" customHeight="1" thickBot="1" x14ac:dyDescent="0.3">
      <c r="B447" s="71"/>
      <c r="C447" s="72"/>
      <c r="D447" s="72"/>
      <c r="E447" s="72"/>
      <c r="F447" s="72"/>
      <c r="G447" s="72"/>
      <c r="H447" s="73"/>
      <c r="I447" s="74"/>
    </row>
  </sheetData>
  <mergeCells count="2">
    <mergeCell ref="B10:E12"/>
    <mergeCell ref="G10:I12"/>
  </mergeCells>
  <pageMargins left="0.511811024" right="0.511811024" top="0.78740157499999996" bottom="0.78740157499999996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1:J424"/>
  <sheetViews>
    <sheetView showGridLines="0" zoomScaleNormal="100" workbookViewId="0">
      <pane ySplit="3" topLeftCell="A4" activePane="bottomLeft" state="frozen"/>
      <selection activeCell="C20" sqref="C20"/>
      <selection pane="bottomLeft" activeCell="J15" sqref="J15"/>
    </sheetView>
  </sheetViews>
  <sheetFormatPr defaultColWidth="4.6640625" defaultRowHeight="16.8" customHeight="1" x14ac:dyDescent="0.25"/>
  <cols>
    <col min="1" max="1" width="1.44140625" style="15" customWidth="1"/>
    <col min="2" max="2" width="5.109375" style="15" bestFit="1" customWidth="1"/>
    <col min="3" max="3" width="19" style="15" bestFit="1" customWidth="1"/>
    <col min="4" max="4" width="12.88671875" style="15" bestFit="1" customWidth="1"/>
    <col min="5" max="5" width="14.33203125" style="15" bestFit="1" customWidth="1"/>
    <col min="6" max="6" width="12.88671875" style="15" customWidth="1"/>
    <col min="7" max="7" width="16" style="15" customWidth="1"/>
    <col min="8" max="8" width="4.21875" style="15" customWidth="1"/>
    <col min="9" max="9" width="24.33203125" style="15" bestFit="1" customWidth="1"/>
    <col min="10" max="10" width="17.44140625" style="15" bestFit="1" customWidth="1"/>
    <col min="11" max="16384" width="4.6640625" style="15"/>
  </cols>
  <sheetData>
    <row r="1" spans="2:10" ht="16.8" customHeight="1" x14ac:dyDescent="0.25">
      <c r="B1" s="93" t="s">
        <v>57</v>
      </c>
      <c r="C1" s="94"/>
      <c r="D1" s="94"/>
      <c r="E1" s="94"/>
      <c r="F1" s="94"/>
      <c r="G1" s="95"/>
    </row>
    <row r="3" spans="2:10" ht="16.8" customHeight="1" x14ac:dyDescent="0.25">
      <c r="B3" s="11" t="s">
        <v>38</v>
      </c>
      <c r="C3" s="12" t="s">
        <v>46</v>
      </c>
      <c r="D3" s="12" t="s">
        <v>47</v>
      </c>
      <c r="E3" s="12" t="s">
        <v>48</v>
      </c>
      <c r="F3" s="12" t="s">
        <v>49</v>
      </c>
      <c r="G3" s="13" t="s">
        <v>12</v>
      </c>
      <c r="H3" s="9"/>
      <c r="I3" s="14"/>
      <c r="J3" s="14"/>
    </row>
    <row r="4" spans="2:10" ht="16.8" customHeight="1" x14ac:dyDescent="0.25">
      <c r="B4" s="16">
        <v>0</v>
      </c>
      <c r="C4" s="17">
        <f>J8</f>
        <v>450000</v>
      </c>
      <c r="D4" s="18">
        <v>0</v>
      </c>
      <c r="E4" s="18">
        <v>0</v>
      </c>
      <c r="F4" s="18">
        <v>0</v>
      </c>
      <c r="G4" s="18">
        <v>0</v>
      </c>
      <c r="H4" s="19"/>
      <c r="I4" s="14"/>
      <c r="J4" s="14"/>
    </row>
    <row r="5" spans="2:10" ht="16.8" customHeight="1" x14ac:dyDescent="0.25">
      <c r="B5" s="20">
        <v>1</v>
      </c>
      <c r="C5" s="21">
        <f>IFERROR(C4-E5,0)</f>
        <v>449852.55634311674</v>
      </c>
      <c r="D5" s="21">
        <f t="shared" ref="D5:D68" si="0">IFERROR(-PMT($J$10,$J$11-B4,C4)+G5,0)</f>
        <v>4417.4004774456553</v>
      </c>
      <c r="E5" s="21">
        <f t="shared" ref="E5:E68" si="1">IFERROR(D5-F5-G5,0)</f>
        <v>147.44365688328435</v>
      </c>
      <c r="F5" s="21">
        <f t="shared" ref="F5:F68" si="2">IFERROR(+C4*$J$10,0)</f>
        <v>4269.9568205623709</v>
      </c>
      <c r="G5" s="21">
        <f t="shared" ref="G5:G68" si="3">G4</f>
        <v>0</v>
      </c>
      <c r="H5" s="19"/>
      <c r="I5" s="22" t="s">
        <v>50</v>
      </c>
      <c r="J5" s="23">
        <f>'Preencha Aqui'!C5</f>
        <v>500000</v>
      </c>
    </row>
    <row r="6" spans="2:10" ht="16.8" customHeight="1" x14ac:dyDescent="0.25">
      <c r="B6" s="20">
        <f t="shared" ref="B6:B260" si="4">+B5+1</f>
        <v>2</v>
      </c>
      <c r="C6" s="21">
        <f>IF((IFERROR(C5-E6,0)-H5)&lt;0,0,IFERROR(C5-E6,0)-H5)</f>
        <v>449703.71362390375</v>
      </c>
      <c r="D6" s="21">
        <f t="shared" si="0"/>
        <v>4417.4004774456553</v>
      </c>
      <c r="E6" s="21">
        <f t="shared" si="1"/>
        <v>148.84271921296749</v>
      </c>
      <c r="F6" s="21">
        <f t="shared" si="2"/>
        <v>4268.5577582326878</v>
      </c>
      <c r="G6" s="21">
        <f t="shared" si="3"/>
        <v>0</v>
      </c>
      <c r="H6" s="19"/>
      <c r="I6" s="22" t="s">
        <v>2</v>
      </c>
      <c r="J6" s="23">
        <f>'Preencha Aqui'!C6</f>
        <v>0</v>
      </c>
    </row>
    <row r="7" spans="2:10" ht="16.8" customHeight="1" x14ac:dyDescent="0.25">
      <c r="B7" s="20">
        <f t="shared" si="4"/>
        <v>3</v>
      </c>
      <c r="C7" s="21">
        <f>IF((IFERROR(C6-E7,0)-H7)&lt;0,0,IFERROR(C6-$E$7,0)-H7)</f>
        <v>449553.45856694836</v>
      </c>
      <c r="D7" s="21">
        <f t="shared" si="0"/>
        <v>4417.4004774456553</v>
      </c>
      <c r="E7" s="21">
        <f t="shared" si="1"/>
        <v>150.2550569553996</v>
      </c>
      <c r="F7" s="21">
        <f t="shared" si="2"/>
        <v>4267.1454204902557</v>
      </c>
      <c r="G7" s="21">
        <f t="shared" si="3"/>
        <v>0</v>
      </c>
      <c r="H7" s="19"/>
      <c r="I7" s="22" t="s">
        <v>3</v>
      </c>
      <c r="J7" s="23">
        <f>'Preencha Aqui'!C7</f>
        <v>50000</v>
      </c>
    </row>
    <row r="8" spans="2:10" ht="16.8" customHeight="1" x14ac:dyDescent="0.25">
      <c r="B8" s="20">
        <f t="shared" si="4"/>
        <v>4</v>
      </c>
      <c r="C8" s="23">
        <f t="shared" ref="C8:C71" si="5">IF((IFERROR(C7-E8,0)-H8)&lt;0,0,IFERROR(C7-E8,0)-H8)</f>
        <v>449401.77777087013</v>
      </c>
      <c r="D8" s="21">
        <f t="shared" si="0"/>
        <v>4417.4004774456553</v>
      </c>
      <c r="E8" s="21">
        <f t="shared" si="1"/>
        <v>151.68079607822347</v>
      </c>
      <c r="F8" s="21">
        <f t="shared" si="2"/>
        <v>4265.7196813674318</v>
      </c>
      <c r="G8" s="21">
        <f t="shared" si="3"/>
        <v>0</v>
      </c>
      <c r="H8" s="19"/>
      <c r="I8" s="22" t="s">
        <v>51</v>
      </c>
      <c r="J8" s="23">
        <f>'Preencha Aqui'!C8</f>
        <v>450000</v>
      </c>
    </row>
    <row r="9" spans="2:10" ht="16.8" customHeight="1" x14ac:dyDescent="0.25">
      <c r="B9" s="20">
        <f t="shared" si="4"/>
        <v>5</v>
      </c>
      <c r="C9" s="23">
        <f t="shared" si="5"/>
        <v>449248.65770712576</v>
      </c>
      <c r="D9" s="21">
        <f t="shared" si="0"/>
        <v>4417.4004774456553</v>
      </c>
      <c r="E9" s="21">
        <f t="shared" si="1"/>
        <v>153.1200637443626</v>
      </c>
      <c r="F9" s="21">
        <f t="shared" si="2"/>
        <v>4264.2804137012927</v>
      </c>
      <c r="G9" s="21">
        <f t="shared" si="3"/>
        <v>0</v>
      </c>
      <c r="H9" s="19"/>
      <c r="I9" s="22" t="s">
        <v>7</v>
      </c>
      <c r="J9" s="80">
        <f>'Preencha Aqui'!C10</f>
        <v>0.12</v>
      </c>
    </row>
    <row r="10" spans="2:10" ht="16.8" customHeight="1" x14ac:dyDescent="0.25">
      <c r="B10" s="24">
        <f t="shared" si="4"/>
        <v>6</v>
      </c>
      <c r="C10" s="23">
        <f t="shared" si="5"/>
        <v>449094.08471880242</v>
      </c>
      <c r="D10" s="21">
        <f t="shared" si="0"/>
        <v>4417.4004774456553</v>
      </c>
      <c r="E10" s="23">
        <f t="shared" si="1"/>
        <v>154.57298832336346</v>
      </c>
      <c r="F10" s="23">
        <f t="shared" si="2"/>
        <v>4262.8274891222918</v>
      </c>
      <c r="G10" s="21">
        <f t="shared" si="3"/>
        <v>0</v>
      </c>
      <c r="H10" s="19"/>
      <c r="I10" s="22" t="s">
        <v>6</v>
      </c>
      <c r="J10" s="81">
        <f>'Preencha Aqui'!D10</f>
        <v>9.4887929345830457E-3</v>
      </c>
    </row>
    <row r="11" spans="2:10" ht="16.8" customHeight="1" x14ac:dyDescent="0.25">
      <c r="B11" s="20">
        <f t="shared" si="4"/>
        <v>7</v>
      </c>
      <c r="C11" s="23">
        <f t="shared" si="5"/>
        <v>448938.04501939955</v>
      </c>
      <c r="D11" s="21">
        <f t="shared" si="0"/>
        <v>4417.4004774456553</v>
      </c>
      <c r="E11" s="21">
        <f t="shared" si="1"/>
        <v>156.03969940284333</v>
      </c>
      <c r="F11" s="21">
        <f t="shared" si="2"/>
        <v>4261.3607780428119</v>
      </c>
      <c r="G11" s="21">
        <f t="shared" si="3"/>
        <v>0</v>
      </c>
      <c r="H11" s="19"/>
      <c r="I11" s="22" t="s">
        <v>8</v>
      </c>
      <c r="J11" s="24">
        <f>'Preencha Aqui'!C11</f>
        <v>360</v>
      </c>
    </row>
    <row r="12" spans="2:10" ht="16.8" customHeight="1" x14ac:dyDescent="0.25">
      <c r="B12" s="20">
        <f t="shared" si="4"/>
        <v>8</v>
      </c>
      <c r="C12" s="23">
        <f t="shared" si="5"/>
        <v>448780.52469159948</v>
      </c>
      <c r="D12" s="21">
        <f t="shared" si="0"/>
        <v>4417.4004774456553</v>
      </c>
      <c r="E12" s="21">
        <f t="shared" si="1"/>
        <v>157.52032780005175</v>
      </c>
      <c r="F12" s="21">
        <f t="shared" si="2"/>
        <v>4259.8801496456035</v>
      </c>
      <c r="G12" s="21">
        <f t="shared" si="3"/>
        <v>0</v>
      </c>
      <c r="H12" s="19"/>
      <c r="I12" s="22" t="s">
        <v>52</v>
      </c>
      <c r="J12" s="23">
        <f>SUM(F4:F424)</f>
        <v>1140264.1718804357</v>
      </c>
    </row>
    <row r="13" spans="2:10" ht="16.8" customHeight="1" x14ac:dyDescent="0.25">
      <c r="B13" s="20">
        <f t="shared" si="4"/>
        <v>9</v>
      </c>
      <c r="C13" s="23">
        <f t="shared" si="5"/>
        <v>448621.50968602597</v>
      </c>
      <c r="D13" s="21">
        <f t="shared" si="0"/>
        <v>4417.4004774456553</v>
      </c>
      <c r="E13" s="21">
        <f t="shared" si="1"/>
        <v>159.01500557353393</v>
      </c>
      <c r="F13" s="21">
        <f t="shared" si="2"/>
        <v>4258.3854718721213</v>
      </c>
      <c r="G13" s="21">
        <f t="shared" si="3"/>
        <v>0</v>
      </c>
      <c r="H13" s="19"/>
      <c r="I13" s="22" t="s">
        <v>53</v>
      </c>
      <c r="J13" s="23">
        <f>SUM(D4:D424)</f>
        <v>1590264.1718804413</v>
      </c>
    </row>
    <row r="14" spans="2:10" ht="16.8" customHeight="1" x14ac:dyDescent="0.25">
      <c r="B14" s="20">
        <f t="shared" si="4"/>
        <v>10</v>
      </c>
      <c r="C14" s="23">
        <f t="shared" si="5"/>
        <v>448460.98581999104</v>
      </c>
      <c r="D14" s="21">
        <f t="shared" si="0"/>
        <v>4417.4004774456553</v>
      </c>
      <c r="E14" s="21">
        <f t="shared" si="1"/>
        <v>160.52386603491232</v>
      </c>
      <c r="F14" s="21">
        <f t="shared" si="2"/>
        <v>4256.876611410743</v>
      </c>
      <c r="G14" s="21">
        <f t="shared" si="3"/>
        <v>0</v>
      </c>
      <c r="H14" s="19"/>
      <c r="I14" s="25"/>
      <c r="J14" s="25"/>
    </row>
    <row r="15" spans="2:10" ht="16.8" customHeight="1" x14ac:dyDescent="0.25">
      <c r="B15" s="20">
        <f t="shared" si="4"/>
        <v>11</v>
      </c>
      <c r="C15" s="23">
        <f t="shared" si="5"/>
        <v>448298.93877623026</v>
      </c>
      <c r="D15" s="21">
        <f t="shared" si="0"/>
        <v>4417.4004774456553</v>
      </c>
      <c r="E15" s="21">
        <f t="shared" si="1"/>
        <v>162.04704376077643</v>
      </c>
      <c r="F15" s="21">
        <f t="shared" si="2"/>
        <v>4255.3534336848788</v>
      </c>
      <c r="G15" s="21">
        <f t="shared" si="3"/>
        <v>0</v>
      </c>
      <c r="H15" s="19"/>
      <c r="I15" s="25"/>
      <c r="J15" s="25"/>
    </row>
    <row r="16" spans="2:10" ht="16.8" customHeight="1" x14ac:dyDescent="0.25">
      <c r="B16" s="20">
        <f t="shared" si="4"/>
        <v>12</v>
      </c>
      <c r="C16" s="23">
        <f t="shared" si="5"/>
        <v>448135.35410162556</v>
      </c>
      <c r="D16" s="21">
        <f t="shared" si="0"/>
        <v>4417.4004774456553</v>
      </c>
      <c r="E16" s="21">
        <f t="shared" si="1"/>
        <v>163.58467460468455</v>
      </c>
      <c r="F16" s="21">
        <f t="shared" si="2"/>
        <v>4253.8158028409707</v>
      </c>
      <c r="G16" s="21">
        <f t="shared" si="3"/>
        <v>0</v>
      </c>
      <c r="H16" s="19"/>
      <c r="I16" s="25"/>
      <c r="J16" s="26"/>
    </row>
    <row r="17" spans="2:10" ht="16.8" customHeight="1" x14ac:dyDescent="0.25">
      <c r="B17" s="20">
        <f t="shared" si="4"/>
        <v>13</v>
      </c>
      <c r="C17" s="23">
        <f t="shared" si="5"/>
        <v>447970.2172059163</v>
      </c>
      <c r="D17" s="21">
        <f t="shared" si="0"/>
        <v>4417.4004774456553</v>
      </c>
      <c r="E17" s="21">
        <f t="shared" si="1"/>
        <v>165.13689570927909</v>
      </c>
      <c r="F17" s="21">
        <f t="shared" si="2"/>
        <v>4252.2635817363762</v>
      </c>
      <c r="G17" s="21">
        <f t="shared" si="3"/>
        <v>0</v>
      </c>
      <c r="H17" s="19"/>
      <c r="I17" s="25"/>
      <c r="J17" s="25"/>
    </row>
    <row r="18" spans="2:10" ht="16.8" customHeight="1" x14ac:dyDescent="0.25">
      <c r="B18" s="20">
        <f t="shared" si="4"/>
        <v>14</v>
      </c>
      <c r="C18" s="23">
        <f t="shared" si="5"/>
        <v>447803.51336039777</v>
      </c>
      <c r="D18" s="21">
        <f t="shared" si="0"/>
        <v>4417.4004774456553</v>
      </c>
      <c r="E18" s="21">
        <f t="shared" si="1"/>
        <v>166.70384551852476</v>
      </c>
      <c r="F18" s="21">
        <f t="shared" si="2"/>
        <v>4250.6966319271305</v>
      </c>
      <c r="G18" s="21">
        <f t="shared" si="3"/>
        <v>0</v>
      </c>
    </row>
    <row r="19" spans="2:10" ht="16.8" customHeight="1" x14ac:dyDescent="0.25">
      <c r="B19" s="20">
        <f t="shared" si="4"/>
        <v>15</v>
      </c>
      <c r="C19" s="23">
        <f t="shared" si="5"/>
        <v>447635.2276966077</v>
      </c>
      <c r="D19" s="21">
        <f t="shared" si="0"/>
        <v>4417.4004774456553</v>
      </c>
      <c r="E19" s="21">
        <f t="shared" si="1"/>
        <v>168.2856637900486</v>
      </c>
      <c r="F19" s="21">
        <f t="shared" si="2"/>
        <v>4249.1148136556067</v>
      </c>
      <c r="G19" s="21">
        <f t="shared" si="3"/>
        <v>0</v>
      </c>
    </row>
    <row r="20" spans="2:10" ht="16.8" customHeight="1" x14ac:dyDescent="0.25">
      <c r="B20" s="20">
        <f t="shared" si="4"/>
        <v>16</v>
      </c>
      <c r="C20" s="23">
        <f t="shared" si="5"/>
        <v>447465.34520500008</v>
      </c>
      <c r="D20" s="21">
        <f t="shared" si="0"/>
        <v>4417.4004774456553</v>
      </c>
      <c r="E20" s="21">
        <f t="shared" si="1"/>
        <v>169.88249160761097</v>
      </c>
      <c r="F20" s="21">
        <f t="shared" si="2"/>
        <v>4247.5179858380443</v>
      </c>
      <c r="G20" s="21">
        <f t="shared" si="3"/>
        <v>0</v>
      </c>
    </row>
    <row r="21" spans="2:10" ht="16.8" customHeight="1" x14ac:dyDescent="0.25">
      <c r="B21" s="20">
        <f t="shared" si="4"/>
        <v>17</v>
      </c>
      <c r="C21" s="23">
        <f t="shared" si="5"/>
        <v>447293.85073360638</v>
      </c>
      <c r="D21" s="21">
        <f t="shared" si="0"/>
        <v>4417.4004774456544</v>
      </c>
      <c r="E21" s="21">
        <f t="shared" si="1"/>
        <v>171.49447139368567</v>
      </c>
      <c r="F21" s="21">
        <f t="shared" si="2"/>
        <v>4245.9060060519687</v>
      </c>
      <c r="G21" s="21">
        <f t="shared" si="3"/>
        <v>0</v>
      </c>
    </row>
    <row r="22" spans="2:10" ht="16.8" customHeight="1" x14ac:dyDescent="0.25">
      <c r="B22" s="20">
        <f t="shared" si="4"/>
        <v>18</v>
      </c>
      <c r="C22" s="23">
        <f t="shared" si="5"/>
        <v>447120.72898668423</v>
      </c>
      <c r="D22" s="21">
        <f t="shared" si="0"/>
        <v>4417.4004774456544</v>
      </c>
      <c r="E22" s="21">
        <f t="shared" si="1"/>
        <v>173.12174692216649</v>
      </c>
      <c r="F22" s="21">
        <f t="shared" si="2"/>
        <v>4244.2787305234879</v>
      </c>
      <c r="G22" s="21">
        <f t="shared" si="3"/>
        <v>0</v>
      </c>
    </row>
    <row r="23" spans="2:10" ht="16.8" customHeight="1" x14ac:dyDescent="0.25">
      <c r="B23" s="20">
        <f t="shared" si="4"/>
        <v>19</v>
      </c>
      <c r="C23" s="23">
        <f t="shared" si="5"/>
        <v>446945.96452335303</v>
      </c>
      <c r="D23" s="21">
        <f t="shared" si="0"/>
        <v>4417.4004774456544</v>
      </c>
      <c r="E23" s="21">
        <f t="shared" si="1"/>
        <v>174.76446333118383</v>
      </c>
      <c r="F23" s="21">
        <f t="shared" si="2"/>
        <v>4242.6360141144705</v>
      </c>
      <c r="G23" s="21">
        <f t="shared" si="3"/>
        <v>0</v>
      </c>
    </row>
    <row r="24" spans="2:10" ht="16.8" customHeight="1" x14ac:dyDescent="0.25">
      <c r="B24" s="20">
        <f t="shared" si="4"/>
        <v>20</v>
      </c>
      <c r="C24" s="23">
        <f t="shared" si="5"/>
        <v>446769.54175621696</v>
      </c>
      <c r="D24" s="21">
        <f t="shared" si="0"/>
        <v>4417.4004774456544</v>
      </c>
      <c r="E24" s="21">
        <f t="shared" si="1"/>
        <v>176.4227671360577</v>
      </c>
      <c r="F24" s="21">
        <f t="shared" si="2"/>
        <v>4240.9777103095967</v>
      </c>
      <c r="G24" s="21">
        <f t="shared" si="3"/>
        <v>0</v>
      </c>
    </row>
    <row r="25" spans="2:10" ht="16.8" customHeight="1" x14ac:dyDescent="0.25">
      <c r="B25" s="20">
        <f t="shared" si="4"/>
        <v>21</v>
      </c>
      <c r="C25" s="23">
        <f t="shared" si="5"/>
        <v>446591.4449499746</v>
      </c>
      <c r="D25" s="21">
        <f t="shared" si="0"/>
        <v>4417.4004774456553</v>
      </c>
      <c r="E25" s="21">
        <f t="shared" si="1"/>
        <v>178.09680624235898</v>
      </c>
      <c r="F25" s="21">
        <f t="shared" si="2"/>
        <v>4239.3036712032963</v>
      </c>
      <c r="G25" s="21">
        <f t="shared" si="3"/>
        <v>0</v>
      </c>
    </row>
    <row r="26" spans="2:10" ht="16.8" customHeight="1" x14ac:dyDescent="0.25">
      <c r="B26" s="20">
        <f t="shared" si="4"/>
        <v>22</v>
      </c>
      <c r="C26" s="23">
        <f t="shared" si="5"/>
        <v>446411.65822001547</v>
      </c>
      <c r="D26" s="21">
        <f t="shared" si="0"/>
        <v>4417.4004774456544</v>
      </c>
      <c r="E26" s="21">
        <f t="shared" si="1"/>
        <v>179.78672995910256</v>
      </c>
      <c r="F26" s="21">
        <f t="shared" si="2"/>
        <v>4237.6137474865518</v>
      </c>
      <c r="G26" s="21">
        <f t="shared" si="3"/>
        <v>0</v>
      </c>
    </row>
    <row r="27" spans="2:10" ht="16.8" customHeight="1" x14ac:dyDescent="0.25">
      <c r="B27" s="20">
        <f t="shared" si="4"/>
        <v>23</v>
      </c>
      <c r="C27" s="23">
        <f t="shared" si="5"/>
        <v>446230.16553100338</v>
      </c>
      <c r="D27" s="21">
        <f t="shared" si="0"/>
        <v>4417.4004774456535</v>
      </c>
      <c r="E27" s="21">
        <f t="shared" si="1"/>
        <v>181.4926890120696</v>
      </c>
      <c r="F27" s="21">
        <f t="shared" si="2"/>
        <v>4235.9077884335838</v>
      </c>
      <c r="G27" s="21">
        <f t="shared" si="3"/>
        <v>0</v>
      </c>
    </row>
    <row r="28" spans="2:10" ht="16.8" customHeight="1" x14ac:dyDescent="0.25">
      <c r="B28" s="20">
        <f t="shared" si="4"/>
        <v>24</v>
      </c>
      <c r="C28" s="23">
        <f t="shared" si="5"/>
        <v>446046.95069544611</v>
      </c>
      <c r="D28" s="21">
        <f t="shared" si="0"/>
        <v>4417.4004774456535</v>
      </c>
      <c r="E28" s="21">
        <f t="shared" si="1"/>
        <v>183.21483555724535</v>
      </c>
      <c r="F28" s="21">
        <f t="shared" si="2"/>
        <v>4234.1856418884081</v>
      </c>
      <c r="G28" s="21">
        <f t="shared" si="3"/>
        <v>0</v>
      </c>
    </row>
    <row r="29" spans="2:10" ht="16.8" customHeight="1" x14ac:dyDescent="0.25">
      <c r="B29" s="20">
        <f t="shared" si="4"/>
        <v>25</v>
      </c>
      <c r="C29" s="23">
        <f t="shared" si="5"/>
        <v>445861.9973722517</v>
      </c>
      <c r="D29" s="21">
        <f t="shared" si="0"/>
        <v>4417.4004774456535</v>
      </c>
      <c r="E29" s="21">
        <f t="shared" si="1"/>
        <v>184.9533231943924</v>
      </c>
      <c r="F29" s="21">
        <f t="shared" si="2"/>
        <v>4232.4471542512611</v>
      </c>
      <c r="G29" s="21">
        <f t="shared" si="3"/>
        <v>0</v>
      </c>
    </row>
    <row r="30" spans="2:10" ht="16.8" customHeight="1" x14ac:dyDescent="0.25">
      <c r="B30" s="20">
        <f t="shared" si="4"/>
        <v>26</v>
      </c>
      <c r="C30" s="23">
        <f t="shared" si="5"/>
        <v>445675.28906527098</v>
      </c>
      <c r="D30" s="21">
        <f t="shared" si="0"/>
        <v>4417.4004774456535</v>
      </c>
      <c r="E30" s="21">
        <f t="shared" si="1"/>
        <v>186.70830698074678</v>
      </c>
      <c r="F30" s="21">
        <f t="shared" si="2"/>
        <v>4230.6921704649067</v>
      </c>
      <c r="G30" s="21">
        <f t="shared" si="3"/>
        <v>0</v>
      </c>
    </row>
    <row r="31" spans="2:10" ht="16.8" customHeight="1" x14ac:dyDescent="0.25">
      <c r="B31" s="20">
        <f t="shared" si="4"/>
        <v>27</v>
      </c>
      <c r="C31" s="23">
        <f t="shared" si="5"/>
        <v>445486.80912182614</v>
      </c>
      <c r="D31" s="21">
        <f t="shared" si="0"/>
        <v>4417.4004774456535</v>
      </c>
      <c r="E31" s="21">
        <f t="shared" si="1"/>
        <v>188.47994344485323</v>
      </c>
      <c r="F31" s="21">
        <f t="shared" si="2"/>
        <v>4228.9205340008002</v>
      </c>
      <c r="G31" s="21">
        <f t="shared" si="3"/>
        <v>0</v>
      </c>
    </row>
    <row r="32" spans="2:10" ht="16.8" customHeight="1" x14ac:dyDescent="0.25">
      <c r="B32" s="20">
        <f t="shared" si="4"/>
        <v>28</v>
      </c>
      <c r="C32" s="23">
        <f t="shared" si="5"/>
        <v>445296.54073122563</v>
      </c>
      <c r="D32" s="21">
        <f t="shared" si="0"/>
        <v>4417.4004774456535</v>
      </c>
      <c r="E32" s="21">
        <f t="shared" si="1"/>
        <v>190.26839060052407</v>
      </c>
      <c r="F32" s="21">
        <f t="shared" si="2"/>
        <v>4227.1320868451294</v>
      </c>
      <c r="G32" s="21">
        <f t="shared" si="3"/>
        <v>0</v>
      </c>
    </row>
    <row r="33" spans="2:7" ht="16.8" customHeight="1" x14ac:dyDescent="0.25">
      <c r="B33" s="20">
        <f t="shared" si="4"/>
        <v>29</v>
      </c>
      <c r="C33" s="23">
        <f t="shared" si="5"/>
        <v>445104.46692326473</v>
      </c>
      <c r="D33" s="21">
        <f t="shared" si="0"/>
        <v>4417.4004774456535</v>
      </c>
      <c r="E33" s="21">
        <f t="shared" si="1"/>
        <v>192.07380796092821</v>
      </c>
      <c r="F33" s="21">
        <f t="shared" si="2"/>
        <v>4225.3266694847252</v>
      </c>
      <c r="G33" s="21">
        <f t="shared" si="3"/>
        <v>0</v>
      </c>
    </row>
    <row r="34" spans="2:7" ht="16.8" customHeight="1" x14ac:dyDescent="0.25">
      <c r="B34" s="20">
        <f t="shared" si="4"/>
        <v>30</v>
      </c>
      <c r="C34" s="23">
        <f t="shared" si="5"/>
        <v>444910.57056671189</v>
      </c>
      <c r="D34" s="21">
        <f t="shared" si="0"/>
        <v>4417.4004774456544</v>
      </c>
      <c r="E34" s="21">
        <f t="shared" si="1"/>
        <v>193.89635655282746</v>
      </c>
      <c r="F34" s="21">
        <f t="shared" si="2"/>
        <v>4223.5041208928269</v>
      </c>
      <c r="G34" s="21">
        <f t="shared" si="3"/>
        <v>0</v>
      </c>
    </row>
    <row r="35" spans="2:7" ht="16.8" customHeight="1" x14ac:dyDescent="0.25">
      <c r="B35" s="20">
        <f t="shared" si="4"/>
        <v>31</v>
      </c>
      <c r="C35" s="23">
        <f t="shared" si="5"/>
        <v>444714.83436778095</v>
      </c>
      <c r="D35" s="21">
        <f t="shared" si="0"/>
        <v>4417.4004774456535</v>
      </c>
      <c r="E35" s="21">
        <f t="shared" si="1"/>
        <v>195.73619893092564</v>
      </c>
      <c r="F35" s="21">
        <f t="shared" si="2"/>
        <v>4221.6642785147278</v>
      </c>
      <c r="G35" s="21">
        <f t="shared" si="3"/>
        <v>0</v>
      </c>
    </row>
    <row r="36" spans="2:7" ht="16.8" customHeight="1" x14ac:dyDescent="0.25">
      <c r="B36" s="20">
        <f t="shared" si="4"/>
        <v>32</v>
      </c>
      <c r="C36" s="23">
        <f t="shared" si="5"/>
        <v>444517.24086858856</v>
      </c>
      <c r="D36" s="21">
        <f t="shared" si="0"/>
        <v>4417.4004774456544</v>
      </c>
      <c r="E36" s="21">
        <f t="shared" si="1"/>
        <v>197.59349919238502</v>
      </c>
      <c r="F36" s="21">
        <f t="shared" si="2"/>
        <v>4219.8069782532693</v>
      </c>
      <c r="G36" s="21">
        <f t="shared" si="3"/>
        <v>0</v>
      </c>
    </row>
    <row r="37" spans="2:7" ht="16.8" customHeight="1" x14ac:dyDescent="0.25">
      <c r="B37" s="20">
        <f t="shared" si="4"/>
        <v>33</v>
      </c>
      <c r="C37" s="23">
        <f t="shared" si="5"/>
        <v>444317.7724455971</v>
      </c>
      <c r="D37" s="21">
        <f t="shared" si="0"/>
        <v>4417.4004774456544</v>
      </c>
      <c r="E37" s="21">
        <f t="shared" si="1"/>
        <v>199.468422991441</v>
      </c>
      <c r="F37" s="21">
        <f t="shared" si="2"/>
        <v>4217.9320544542134</v>
      </c>
      <c r="G37" s="21">
        <f t="shared" si="3"/>
        <v>0</v>
      </c>
    </row>
    <row r="38" spans="2:7" ht="16.8" customHeight="1" x14ac:dyDescent="0.25">
      <c r="B38" s="20">
        <f t="shared" si="4"/>
        <v>34</v>
      </c>
      <c r="C38" s="23">
        <f t="shared" si="5"/>
        <v>444116.41130804294</v>
      </c>
      <c r="D38" s="21">
        <f t="shared" si="0"/>
        <v>4417.4004774456535</v>
      </c>
      <c r="E38" s="21">
        <f t="shared" si="1"/>
        <v>201.3611375541941</v>
      </c>
      <c r="F38" s="21">
        <f t="shared" si="2"/>
        <v>4216.0393398914593</v>
      </c>
      <c r="G38" s="21">
        <f t="shared" si="3"/>
        <v>0</v>
      </c>
    </row>
    <row r="39" spans="2:7" ht="16.8" customHeight="1" x14ac:dyDescent="0.25">
      <c r="B39" s="20">
        <f t="shared" si="4"/>
        <v>35</v>
      </c>
      <c r="C39" s="23">
        <f t="shared" si="5"/>
        <v>443913.13949634944</v>
      </c>
      <c r="D39" s="21">
        <f t="shared" si="0"/>
        <v>4417.4004774456544</v>
      </c>
      <c r="E39" s="21">
        <f t="shared" si="1"/>
        <v>203.27181169351843</v>
      </c>
      <c r="F39" s="21">
        <f t="shared" si="2"/>
        <v>4214.1286657521359</v>
      </c>
      <c r="G39" s="21">
        <f t="shared" si="3"/>
        <v>0</v>
      </c>
    </row>
    <row r="40" spans="2:7" ht="16.8" customHeight="1" x14ac:dyDescent="0.25">
      <c r="B40" s="20">
        <f t="shared" si="4"/>
        <v>36</v>
      </c>
      <c r="C40" s="23">
        <f t="shared" si="5"/>
        <v>443707.9388805253</v>
      </c>
      <c r="D40" s="21">
        <f t="shared" si="0"/>
        <v>4417.4004774456544</v>
      </c>
      <c r="E40" s="21">
        <f t="shared" si="1"/>
        <v>205.20061582411563</v>
      </c>
      <c r="F40" s="21">
        <f t="shared" si="2"/>
        <v>4212.1998616215387</v>
      </c>
      <c r="G40" s="21">
        <f t="shared" si="3"/>
        <v>0</v>
      </c>
    </row>
    <row r="41" spans="2:7" ht="16.8" customHeight="1" x14ac:dyDescent="0.25">
      <c r="B41" s="20">
        <f t="shared" si="4"/>
        <v>37</v>
      </c>
      <c r="C41" s="23">
        <f t="shared" si="5"/>
        <v>443500.79115854757</v>
      </c>
      <c r="D41" s="21">
        <f t="shared" si="0"/>
        <v>4417.4004774456535</v>
      </c>
      <c r="E41" s="21">
        <f t="shared" si="1"/>
        <v>207.1477219777189</v>
      </c>
      <c r="F41" s="21">
        <f t="shared" si="2"/>
        <v>4210.2527554679345</v>
      </c>
      <c r="G41" s="21">
        <f t="shared" si="3"/>
        <v>0</v>
      </c>
    </row>
    <row r="42" spans="2:7" ht="16.8" customHeight="1" x14ac:dyDescent="0.25">
      <c r="B42" s="20">
        <f t="shared" si="4"/>
        <v>38</v>
      </c>
      <c r="C42" s="23">
        <f t="shared" si="5"/>
        <v>443291.67785472912</v>
      </c>
      <c r="D42" s="21">
        <f t="shared" si="0"/>
        <v>4417.4004774456544</v>
      </c>
      <c r="E42" s="21">
        <f t="shared" si="1"/>
        <v>209.11330381843709</v>
      </c>
      <c r="F42" s="21">
        <f t="shared" si="2"/>
        <v>4208.2871736272173</v>
      </c>
      <c r="G42" s="21">
        <f t="shared" si="3"/>
        <v>0</v>
      </c>
    </row>
    <row r="43" spans="2:7" ht="16.8" customHeight="1" x14ac:dyDescent="0.25">
      <c r="B43" s="20">
        <f t="shared" si="4"/>
        <v>39</v>
      </c>
      <c r="C43" s="23">
        <f t="shared" si="5"/>
        <v>443080.58031807089</v>
      </c>
      <c r="D43" s="21">
        <f t="shared" si="0"/>
        <v>4417.4004774456535</v>
      </c>
      <c r="E43" s="21">
        <f t="shared" si="1"/>
        <v>211.09753665823609</v>
      </c>
      <c r="F43" s="21">
        <f t="shared" si="2"/>
        <v>4206.3029407874174</v>
      </c>
      <c r="G43" s="21">
        <f t="shared" si="3"/>
        <v>0</v>
      </c>
    </row>
    <row r="44" spans="2:7" ht="16.8" customHeight="1" x14ac:dyDescent="0.25">
      <c r="B44" s="20">
        <f t="shared" si="4"/>
        <v>40</v>
      </c>
      <c r="C44" s="23">
        <f t="shared" si="5"/>
        <v>442867.47972059832</v>
      </c>
      <c r="D44" s="21">
        <f t="shared" si="0"/>
        <v>4417.4004774456535</v>
      </c>
      <c r="E44" s="21">
        <f t="shared" si="1"/>
        <v>213.10059747258674</v>
      </c>
      <c r="F44" s="21">
        <f t="shared" si="2"/>
        <v>4204.2998799730667</v>
      </c>
      <c r="G44" s="21">
        <f t="shared" si="3"/>
        <v>0</v>
      </c>
    </row>
    <row r="45" spans="2:7" ht="16.8" customHeight="1" x14ac:dyDescent="0.25">
      <c r="B45" s="20">
        <f t="shared" si="4"/>
        <v>41</v>
      </c>
      <c r="C45" s="23">
        <f t="shared" si="5"/>
        <v>442652.35705568211</v>
      </c>
      <c r="D45" s="21">
        <f t="shared" si="0"/>
        <v>4417.4004774456544</v>
      </c>
      <c r="E45" s="21">
        <f t="shared" si="1"/>
        <v>215.12266491624086</v>
      </c>
      <c r="F45" s="21">
        <f t="shared" si="2"/>
        <v>4202.2778125294135</v>
      </c>
      <c r="G45" s="21">
        <f t="shared" si="3"/>
        <v>0</v>
      </c>
    </row>
    <row r="46" spans="2:7" ht="16.8" customHeight="1" x14ac:dyDescent="0.25">
      <c r="B46" s="20">
        <f t="shared" si="4"/>
        <v>42</v>
      </c>
      <c r="C46" s="23">
        <f t="shared" si="5"/>
        <v>442435.19313634292</v>
      </c>
      <c r="D46" s="21">
        <f t="shared" si="0"/>
        <v>4417.4004774456553</v>
      </c>
      <c r="E46" s="21">
        <f t="shared" si="1"/>
        <v>217.16391933916748</v>
      </c>
      <c r="F46" s="21">
        <f t="shared" si="2"/>
        <v>4200.2365581064878</v>
      </c>
      <c r="G46" s="21">
        <f t="shared" si="3"/>
        <v>0</v>
      </c>
    </row>
    <row r="47" spans="2:7" ht="16.8" customHeight="1" x14ac:dyDescent="0.25">
      <c r="B47" s="20">
        <f t="shared" si="4"/>
        <v>43</v>
      </c>
      <c r="C47" s="23">
        <f t="shared" si="5"/>
        <v>442215.96859354025</v>
      </c>
      <c r="D47" s="21">
        <f t="shared" si="0"/>
        <v>4417.4004774456544</v>
      </c>
      <c r="E47" s="21">
        <f t="shared" si="1"/>
        <v>219.2245428026381</v>
      </c>
      <c r="F47" s="21">
        <f t="shared" si="2"/>
        <v>4198.1759346430163</v>
      </c>
      <c r="G47" s="21">
        <f t="shared" si="3"/>
        <v>0</v>
      </c>
    </row>
    <row r="48" spans="2:7" ht="16.8" customHeight="1" x14ac:dyDescent="0.25">
      <c r="B48" s="20">
        <f t="shared" si="4"/>
        <v>44</v>
      </c>
      <c r="C48" s="23">
        <f t="shared" si="5"/>
        <v>441994.66387444478</v>
      </c>
      <c r="D48" s="21">
        <f t="shared" si="0"/>
        <v>4417.4004774456535</v>
      </c>
      <c r="E48" s="21">
        <f t="shared" si="1"/>
        <v>221.30471909547032</v>
      </c>
      <c r="F48" s="21">
        <f t="shared" si="2"/>
        <v>4196.0957583501831</v>
      </c>
      <c r="G48" s="21">
        <f t="shared" si="3"/>
        <v>0</v>
      </c>
    </row>
    <row r="49" spans="2:7" ht="16.8" customHeight="1" x14ac:dyDescent="0.25">
      <c r="B49" s="20">
        <f t="shared" si="4"/>
        <v>45</v>
      </c>
      <c r="C49" s="23">
        <f t="shared" si="5"/>
        <v>441771.25924069434</v>
      </c>
      <c r="D49" s="21">
        <f t="shared" si="0"/>
        <v>4417.4004774456535</v>
      </c>
      <c r="E49" s="21">
        <f t="shared" si="1"/>
        <v>223.40463375041327</v>
      </c>
      <c r="F49" s="21">
        <f t="shared" si="2"/>
        <v>4193.9958436952402</v>
      </c>
      <c r="G49" s="21">
        <f t="shared" si="3"/>
        <v>0</v>
      </c>
    </row>
    <row r="50" spans="2:7" ht="16.8" customHeight="1" x14ac:dyDescent="0.25">
      <c r="B50" s="20">
        <f t="shared" si="4"/>
        <v>46</v>
      </c>
      <c r="C50" s="23">
        <f t="shared" si="5"/>
        <v>441545.73476663366</v>
      </c>
      <c r="D50" s="21">
        <f t="shared" si="0"/>
        <v>4417.4004774456535</v>
      </c>
      <c r="E50" s="21">
        <f t="shared" si="1"/>
        <v>225.52447406069768</v>
      </c>
      <c r="F50" s="21">
        <f t="shared" si="2"/>
        <v>4191.8760033849558</v>
      </c>
      <c r="G50" s="21">
        <f t="shared" si="3"/>
        <v>0</v>
      </c>
    </row>
    <row r="51" spans="2:7" ht="16.8" customHeight="1" x14ac:dyDescent="0.25">
      <c r="B51" s="20">
        <f t="shared" si="4"/>
        <v>47</v>
      </c>
      <c r="C51" s="23">
        <f t="shared" si="5"/>
        <v>441318.07033753692</v>
      </c>
      <c r="D51" s="21">
        <f t="shared" si="0"/>
        <v>4417.4004774456535</v>
      </c>
      <c r="E51" s="21">
        <f t="shared" si="1"/>
        <v>227.66442909674061</v>
      </c>
      <c r="F51" s="21">
        <f t="shared" si="2"/>
        <v>4189.7360483489128</v>
      </c>
      <c r="G51" s="21">
        <f t="shared" si="3"/>
        <v>0</v>
      </c>
    </row>
    <row r="52" spans="2:7" ht="16.8" customHeight="1" x14ac:dyDescent="0.25">
      <c r="B52" s="20">
        <f t="shared" si="4"/>
        <v>48</v>
      </c>
      <c r="C52" s="23">
        <f t="shared" si="5"/>
        <v>441088.24564781389</v>
      </c>
      <c r="D52" s="21">
        <f t="shared" si="0"/>
        <v>4417.4004774456535</v>
      </c>
      <c r="E52" s="21">
        <f t="shared" si="1"/>
        <v>229.82468972300921</v>
      </c>
      <c r="F52" s="21">
        <f t="shared" si="2"/>
        <v>4187.5757877226442</v>
      </c>
      <c r="G52" s="21">
        <f t="shared" si="3"/>
        <v>0</v>
      </c>
    </row>
    <row r="53" spans="2:7" ht="16.8" customHeight="1" x14ac:dyDescent="0.25">
      <c r="B53" s="20">
        <f t="shared" si="4"/>
        <v>49</v>
      </c>
      <c r="C53" s="23">
        <f t="shared" si="5"/>
        <v>440856.24019919883</v>
      </c>
      <c r="D53" s="21">
        <f t="shared" si="0"/>
        <v>4417.4004774456535</v>
      </c>
      <c r="E53" s="21">
        <f t="shared" si="1"/>
        <v>232.00544861504568</v>
      </c>
      <c r="F53" s="21">
        <f t="shared" si="2"/>
        <v>4185.3950288306078</v>
      </c>
      <c r="G53" s="21">
        <f t="shared" si="3"/>
        <v>0</v>
      </c>
    </row>
    <row r="54" spans="2:7" ht="16.8" customHeight="1" x14ac:dyDescent="0.25">
      <c r="B54" s="20">
        <f t="shared" si="4"/>
        <v>50</v>
      </c>
      <c r="C54" s="23">
        <f t="shared" si="5"/>
        <v>440622.03329892218</v>
      </c>
      <c r="D54" s="21">
        <f t="shared" si="0"/>
        <v>4417.4004774456535</v>
      </c>
      <c r="E54" s="21">
        <f t="shared" si="1"/>
        <v>234.20690027664932</v>
      </c>
      <c r="F54" s="21">
        <f t="shared" si="2"/>
        <v>4183.1935771690041</v>
      </c>
      <c r="G54" s="21">
        <f t="shared" si="3"/>
        <v>0</v>
      </c>
    </row>
    <row r="55" spans="2:7" ht="16.8" customHeight="1" x14ac:dyDescent="0.25">
      <c r="B55" s="20">
        <f t="shared" si="4"/>
        <v>51</v>
      </c>
      <c r="C55" s="23">
        <f t="shared" si="5"/>
        <v>440385.60405786493</v>
      </c>
      <c r="D55" s="21">
        <f t="shared" si="0"/>
        <v>4417.4004774456535</v>
      </c>
      <c r="E55" s="21">
        <f t="shared" si="1"/>
        <v>236.42924105722523</v>
      </c>
      <c r="F55" s="21">
        <f t="shared" si="2"/>
        <v>4180.9712363884282</v>
      </c>
      <c r="G55" s="21">
        <f t="shared" si="3"/>
        <v>0</v>
      </c>
    </row>
    <row r="56" spans="2:7" ht="16.8" customHeight="1" x14ac:dyDescent="0.25">
      <c r="B56" s="20">
        <f t="shared" si="4"/>
        <v>52</v>
      </c>
      <c r="C56" s="23">
        <f t="shared" si="5"/>
        <v>440146.93138869561</v>
      </c>
      <c r="D56" s="21">
        <f t="shared" si="0"/>
        <v>4417.4004774456535</v>
      </c>
      <c r="E56" s="21">
        <f t="shared" si="1"/>
        <v>238.67266916929839</v>
      </c>
      <c r="F56" s="21">
        <f t="shared" si="2"/>
        <v>4178.7278082763551</v>
      </c>
      <c r="G56" s="21">
        <f t="shared" si="3"/>
        <v>0</v>
      </c>
    </row>
    <row r="57" spans="2:7" ht="16.8" customHeight="1" x14ac:dyDescent="0.25">
      <c r="B57" s="20">
        <f t="shared" si="4"/>
        <v>53</v>
      </c>
      <c r="C57" s="23">
        <f t="shared" si="5"/>
        <v>439905.99400398944</v>
      </c>
      <c r="D57" s="21">
        <f t="shared" si="0"/>
        <v>4417.4004774456535</v>
      </c>
      <c r="E57" s="21">
        <f t="shared" si="1"/>
        <v>240.93738470618973</v>
      </c>
      <c r="F57" s="21">
        <f t="shared" si="2"/>
        <v>4176.4630927394637</v>
      </c>
      <c r="G57" s="21">
        <f t="shared" si="3"/>
        <v>0</v>
      </c>
    </row>
    <row r="58" spans="2:7" ht="16.8" customHeight="1" x14ac:dyDescent="0.25">
      <c r="B58" s="20">
        <f t="shared" si="4"/>
        <v>54</v>
      </c>
      <c r="C58" s="23">
        <f t="shared" si="5"/>
        <v>439662.7704143296</v>
      </c>
      <c r="D58" s="21">
        <f t="shared" si="0"/>
        <v>4417.4004774456535</v>
      </c>
      <c r="E58" s="21">
        <f t="shared" si="1"/>
        <v>243.22358965986678</v>
      </c>
      <c r="F58" s="21">
        <f t="shared" si="2"/>
        <v>4174.1768877857867</v>
      </c>
      <c r="G58" s="21">
        <f t="shared" si="3"/>
        <v>0</v>
      </c>
    </row>
    <row r="59" spans="2:7" ht="16.8" customHeight="1" x14ac:dyDescent="0.25">
      <c r="B59" s="20">
        <f t="shared" si="4"/>
        <v>55</v>
      </c>
      <c r="C59" s="23">
        <f t="shared" si="5"/>
        <v>439417.23892639065</v>
      </c>
      <c r="D59" s="21">
        <f t="shared" si="0"/>
        <v>4417.4004774456535</v>
      </c>
      <c r="E59" s="21">
        <f t="shared" si="1"/>
        <v>245.53148793895525</v>
      </c>
      <c r="F59" s="21">
        <f t="shared" si="2"/>
        <v>4171.8689895066982</v>
      </c>
      <c r="G59" s="21">
        <f t="shared" si="3"/>
        <v>0</v>
      </c>
    </row>
    <row r="60" spans="2:7" ht="16.8" customHeight="1" x14ac:dyDescent="0.25">
      <c r="B60" s="20">
        <f t="shared" si="4"/>
        <v>56</v>
      </c>
      <c r="C60" s="23">
        <f t="shared" si="5"/>
        <v>439169.3776410037</v>
      </c>
      <c r="D60" s="21">
        <f t="shared" si="0"/>
        <v>4417.4004774456535</v>
      </c>
      <c r="E60" s="21">
        <f t="shared" si="1"/>
        <v>247.8612853869281</v>
      </c>
      <c r="F60" s="21">
        <f t="shared" si="2"/>
        <v>4169.5391920587253</v>
      </c>
      <c r="G60" s="21">
        <f t="shared" si="3"/>
        <v>0</v>
      </c>
    </row>
    <row r="61" spans="2:7" ht="16.8" customHeight="1" x14ac:dyDescent="0.25">
      <c r="B61" s="20">
        <f t="shared" si="4"/>
        <v>57</v>
      </c>
      <c r="C61" s="23">
        <f t="shared" si="5"/>
        <v>438919.16445120325</v>
      </c>
      <c r="D61" s="21">
        <f t="shared" si="0"/>
        <v>4417.4004774456535</v>
      </c>
      <c r="E61" s="21">
        <f t="shared" si="1"/>
        <v>250.21318980046453</v>
      </c>
      <c r="F61" s="21">
        <f t="shared" si="2"/>
        <v>4167.1872876451889</v>
      </c>
      <c r="G61" s="21">
        <f t="shared" si="3"/>
        <v>0</v>
      </c>
    </row>
    <row r="62" spans="2:7" ht="16.8" customHeight="1" x14ac:dyDescent="0.25">
      <c r="B62" s="20">
        <f t="shared" si="4"/>
        <v>58</v>
      </c>
      <c r="C62" s="23">
        <f t="shared" si="5"/>
        <v>438666.57704025524</v>
      </c>
      <c r="D62" s="21">
        <f t="shared" si="0"/>
        <v>4417.4004774456535</v>
      </c>
      <c r="E62" s="21">
        <f t="shared" si="1"/>
        <v>252.58741094798188</v>
      </c>
      <c r="F62" s="21">
        <f t="shared" si="2"/>
        <v>4164.8130664976716</v>
      </c>
      <c r="G62" s="21">
        <f t="shared" si="3"/>
        <v>0</v>
      </c>
    </row>
    <row r="63" spans="2:7" ht="16.8" customHeight="1" x14ac:dyDescent="0.25">
      <c r="B63" s="20">
        <f t="shared" si="4"/>
        <v>59</v>
      </c>
      <c r="C63" s="23">
        <f t="shared" si="5"/>
        <v>438411.59287966689</v>
      </c>
      <c r="D63" s="21">
        <f t="shared" si="0"/>
        <v>4417.4004774456535</v>
      </c>
      <c r="E63" s="21">
        <f t="shared" si="1"/>
        <v>254.98416058835028</v>
      </c>
      <c r="F63" s="21">
        <f t="shared" si="2"/>
        <v>4162.4163168573032</v>
      </c>
      <c r="G63" s="21">
        <f t="shared" si="3"/>
        <v>0</v>
      </c>
    </row>
    <row r="64" spans="2:7" ht="16.8" customHeight="1" x14ac:dyDescent="0.25">
      <c r="B64" s="20">
        <f t="shared" si="4"/>
        <v>60</v>
      </c>
      <c r="C64" s="23">
        <f t="shared" si="5"/>
        <v>438154.18922717712</v>
      </c>
      <c r="D64" s="21">
        <f t="shared" si="0"/>
        <v>4417.4004774456535</v>
      </c>
      <c r="E64" s="21">
        <f t="shared" si="1"/>
        <v>257.40365248977196</v>
      </c>
      <c r="F64" s="21">
        <f t="shared" si="2"/>
        <v>4159.9968249558815</v>
      </c>
      <c r="G64" s="21">
        <f t="shared" si="3"/>
        <v>0</v>
      </c>
    </row>
    <row r="65" spans="2:7" ht="16.8" customHeight="1" x14ac:dyDescent="0.25">
      <c r="B65" s="20">
        <f t="shared" si="4"/>
        <v>61</v>
      </c>
      <c r="C65" s="23">
        <f t="shared" si="5"/>
        <v>437894.34312472824</v>
      </c>
      <c r="D65" s="21">
        <f t="shared" si="0"/>
        <v>4417.4004774456535</v>
      </c>
      <c r="E65" s="21">
        <f t="shared" si="1"/>
        <v>259.84610244885243</v>
      </c>
      <c r="F65" s="21">
        <f t="shared" si="2"/>
        <v>4157.554374996801</v>
      </c>
      <c r="G65" s="21">
        <f t="shared" si="3"/>
        <v>0</v>
      </c>
    </row>
    <row r="66" spans="2:7" ht="16.8" customHeight="1" x14ac:dyDescent="0.25">
      <c r="B66" s="20">
        <f t="shared" si="4"/>
        <v>62</v>
      </c>
      <c r="C66" s="23">
        <f t="shared" si="5"/>
        <v>437632.0313964184</v>
      </c>
      <c r="D66" s="21">
        <f t="shared" si="0"/>
        <v>4417.4004774456535</v>
      </c>
      <c r="E66" s="21">
        <f t="shared" si="1"/>
        <v>262.31172830984815</v>
      </c>
      <c r="F66" s="21">
        <f t="shared" si="2"/>
        <v>4155.0887491358053</v>
      </c>
      <c r="G66" s="21">
        <f t="shared" si="3"/>
        <v>0</v>
      </c>
    </row>
    <row r="67" spans="2:7" ht="16.8" customHeight="1" x14ac:dyDescent="0.25">
      <c r="B67" s="20">
        <f t="shared" si="4"/>
        <v>63</v>
      </c>
      <c r="C67" s="23">
        <f t="shared" si="5"/>
        <v>437367.2306464343</v>
      </c>
      <c r="D67" s="21">
        <f t="shared" si="0"/>
        <v>4417.4004774456535</v>
      </c>
      <c r="E67" s="21">
        <f t="shared" si="1"/>
        <v>264.80074998409327</v>
      </c>
      <c r="F67" s="21">
        <f t="shared" si="2"/>
        <v>4152.5997274615602</v>
      </c>
      <c r="G67" s="21">
        <f t="shared" si="3"/>
        <v>0</v>
      </c>
    </row>
    <row r="68" spans="2:7" ht="16.8" customHeight="1" x14ac:dyDescent="0.25">
      <c r="B68" s="20">
        <f t="shared" si="4"/>
        <v>64</v>
      </c>
      <c r="C68" s="23">
        <f t="shared" si="5"/>
        <v>437099.91725696466</v>
      </c>
      <c r="D68" s="21">
        <f t="shared" si="0"/>
        <v>4417.4004774456535</v>
      </c>
      <c r="E68" s="21">
        <f t="shared" si="1"/>
        <v>267.31338946961478</v>
      </c>
      <c r="F68" s="21">
        <f t="shared" si="2"/>
        <v>4150.0870879760387</v>
      </c>
      <c r="G68" s="21">
        <f t="shared" si="3"/>
        <v>0</v>
      </c>
    </row>
    <row r="69" spans="2:7" ht="16.8" customHeight="1" x14ac:dyDescent="0.25">
      <c r="B69" s="20">
        <f t="shared" si="4"/>
        <v>65</v>
      </c>
      <c r="C69" s="23">
        <f t="shared" si="5"/>
        <v>436830.06738609372</v>
      </c>
      <c r="D69" s="21">
        <f t="shared" ref="D69:D132" si="6">IFERROR(-PMT($J$10,$J$11-B68,C68)+G69,0)</f>
        <v>4417.4004774456525</v>
      </c>
      <c r="E69" s="21">
        <f t="shared" ref="E69:E132" si="7">IFERROR(D69-F69-G69,0)</f>
        <v>269.84987087093214</v>
      </c>
      <c r="F69" s="21">
        <f t="shared" ref="F69:F132" si="8">IFERROR(+C68*$J$10,0)</f>
        <v>4147.5506065747204</v>
      </c>
      <c r="G69" s="21">
        <f t="shared" ref="G69:G132" si="9">G68</f>
        <v>0</v>
      </c>
    </row>
    <row r="70" spans="2:7" ht="16.8" customHeight="1" x14ac:dyDescent="0.25">
      <c r="B70" s="20">
        <f t="shared" si="4"/>
        <v>66</v>
      </c>
      <c r="C70" s="23">
        <f t="shared" si="5"/>
        <v>436557.65696567466</v>
      </c>
      <c r="D70" s="21">
        <f t="shared" si="6"/>
        <v>4417.4004774456525</v>
      </c>
      <c r="E70" s="21">
        <f t="shared" si="7"/>
        <v>272.41042041905075</v>
      </c>
      <c r="F70" s="21">
        <f t="shared" si="8"/>
        <v>4144.9900570266018</v>
      </c>
      <c r="G70" s="21">
        <f t="shared" si="9"/>
        <v>0</v>
      </c>
    </row>
    <row r="71" spans="2:7" ht="16.8" customHeight="1" x14ac:dyDescent="0.25">
      <c r="B71" s="20">
        <f t="shared" si="4"/>
        <v>67</v>
      </c>
      <c r="C71" s="23">
        <f t="shared" si="5"/>
        <v>436282.66169918305</v>
      </c>
      <c r="D71" s="21">
        <f t="shared" si="6"/>
        <v>4417.4004774456525</v>
      </c>
      <c r="E71" s="21">
        <f t="shared" si="7"/>
        <v>274.99526649162999</v>
      </c>
      <c r="F71" s="21">
        <f t="shared" si="8"/>
        <v>4142.4052109540226</v>
      </c>
      <c r="G71" s="21">
        <f t="shared" si="9"/>
        <v>0</v>
      </c>
    </row>
    <row r="72" spans="2:7" ht="16.8" customHeight="1" x14ac:dyDescent="0.25">
      <c r="B72" s="20">
        <f t="shared" si="4"/>
        <v>68</v>
      </c>
      <c r="C72" s="23">
        <f t="shared" ref="C72:C135" si="10">IF((IFERROR(C71-E72,0)-H72)&lt;0,0,IFERROR(C71-E72,0)-H72)</f>
        <v>436005.05705954967</v>
      </c>
      <c r="D72" s="21">
        <f t="shared" si="6"/>
        <v>4417.4004774456535</v>
      </c>
      <c r="E72" s="21">
        <f t="shared" si="7"/>
        <v>277.60463963336042</v>
      </c>
      <c r="F72" s="21">
        <f t="shared" si="8"/>
        <v>4139.795837812293</v>
      </c>
      <c r="G72" s="21">
        <f t="shared" si="9"/>
        <v>0</v>
      </c>
    </row>
    <row r="73" spans="2:7" ht="16.8" customHeight="1" x14ac:dyDescent="0.25">
      <c r="B73" s="20">
        <f t="shared" si="4"/>
        <v>69</v>
      </c>
      <c r="C73" s="23">
        <f t="shared" si="10"/>
        <v>435724.81828697317</v>
      </c>
      <c r="D73" s="21">
        <f t="shared" si="6"/>
        <v>4417.4004774456525</v>
      </c>
      <c r="E73" s="21">
        <f t="shared" si="7"/>
        <v>280.2387725765202</v>
      </c>
      <c r="F73" s="21">
        <f t="shared" si="8"/>
        <v>4137.1617048691323</v>
      </c>
      <c r="G73" s="21">
        <f t="shared" si="9"/>
        <v>0</v>
      </c>
    </row>
    <row r="74" spans="2:7" ht="16.8" customHeight="1" x14ac:dyDescent="0.25">
      <c r="B74" s="20">
        <f t="shared" si="4"/>
        <v>70</v>
      </c>
      <c r="C74" s="23">
        <f t="shared" si="10"/>
        <v>435441.92038671143</v>
      </c>
      <c r="D74" s="21">
        <f t="shared" si="6"/>
        <v>4417.4004774456525</v>
      </c>
      <c r="E74" s="21">
        <f t="shared" si="7"/>
        <v>282.89790026173978</v>
      </c>
      <c r="F74" s="21">
        <f t="shared" si="8"/>
        <v>4134.5025771839128</v>
      </c>
      <c r="G74" s="21">
        <f t="shared" si="9"/>
        <v>0</v>
      </c>
    </row>
    <row r="75" spans="2:7" ht="16.8" customHeight="1" x14ac:dyDescent="0.25">
      <c r="B75" s="20">
        <f t="shared" si="4"/>
        <v>71</v>
      </c>
      <c r="C75" s="23">
        <f t="shared" si="10"/>
        <v>435156.33812685247</v>
      </c>
      <c r="D75" s="21">
        <f t="shared" si="6"/>
        <v>4417.4004774456525</v>
      </c>
      <c r="E75" s="21">
        <f t="shared" si="7"/>
        <v>285.58225985895206</v>
      </c>
      <c r="F75" s="21">
        <f t="shared" si="8"/>
        <v>4131.8182175867005</v>
      </c>
      <c r="G75" s="21">
        <f t="shared" si="9"/>
        <v>0</v>
      </c>
    </row>
    <row r="76" spans="2:7" ht="16.8" customHeight="1" x14ac:dyDescent="0.25">
      <c r="B76" s="20">
        <f t="shared" si="4"/>
        <v>72</v>
      </c>
      <c r="C76" s="23">
        <f t="shared" si="10"/>
        <v>434868.04603606393</v>
      </c>
      <c r="D76" s="21">
        <f t="shared" si="6"/>
        <v>4417.4004774456525</v>
      </c>
      <c r="E76" s="21">
        <f t="shared" si="7"/>
        <v>288.29209078854365</v>
      </c>
      <c r="F76" s="21">
        <f t="shared" si="8"/>
        <v>4129.1083866571089</v>
      </c>
      <c r="G76" s="21">
        <f t="shared" si="9"/>
        <v>0</v>
      </c>
    </row>
    <row r="77" spans="2:7" ht="16.8" customHeight="1" x14ac:dyDescent="0.25">
      <c r="B77" s="20">
        <f t="shared" si="4"/>
        <v>73</v>
      </c>
      <c r="C77" s="23">
        <f t="shared" si="10"/>
        <v>434577.0184013212</v>
      </c>
      <c r="D77" s="21">
        <f t="shared" si="6"/>
        <v>4417.4004774456525</v>
      </c>
      <c r="E77" s="21">
        <f t="shared" si="7"/>
        <v>291.02763474271433</v>
      </c>
      <c r="F77" s="21">
        <f t="shared" si="8"/>
        <v>4126.3728427029382</v>
      </c>
      <c r="G77" s="21">
        <f t="shared" si="9"/>
        <v>0</v>
      </c>
    </row>
    <row r="78" spans="2:7" ht="16.8" customHeight="1" x14ac:dyDescent="0.25">
      <c r="B78" s="20">
        <f t="shared" si="4"/>
        <v>74</v>
      </c>
      <c r="C78" s="23">
        <f t="shared" si="10"/>
        <v>434283.22926561418</v>
      </c>
      <c r="D78" s="21">
        <f t="shared" si="6"/>
        <v>4417.4004774456525</v>
      </c>
      <c r="E78" s="21">
        <f t="shared" si="7"/>
        <v>293.78913570702935</v>
      </c>
      <c r="F78" s="21">
        <f t="shared" si="8"/>
        <v>4123.6113417386232</v>
      </c>
      <c r="G78" s="21">
        <f t="shared" si="9"/>
        <v>0</v>
      </c>
    </row>
    <row r="79" spans="2:7" ht="16.8" customHeight="1" x14ac:dyDescent="0.25">
      <c r="B79" s="20">
        <f t="shared" si="4"/>
        <v>75</v>
      </c>
      <c r="C79" s="23">
        <f t="shared" si="10"/>
        <v>433986.652425632</v>
      </c>
      <c r="D79" s="21">
        <f t="shared" si="6"/>
        <v>4417.4004774456525</v>
      </c>
      <c r="E79" s="21">
        <f t="shared" si="7"/>
        <v>296.57683998218363</v>
      </c>
      <c r="F79" s="21">
        <f t="shared" si="8"/>
        <v>4120.8236374634689</v>
      </c>
      <c r="G79" s="21">
        <f t="shared" si="9"/>
        <v>0</v>
      </c>
    </row>
    <row r="80" spans="2:7" ht="16.8" customHeight="1" x14ac:dyDescent="0.25">
      <c r="B80" s="20">
        <f t="shared" si="4"/>
        <v>76</v>
      </c>
      <c r="C80" s="23">
        <f t="shared" si="10"/>
        <v>433687.26142942603</v>
      </c>
      <c r="D80" s="21">
        <f t="shared" si="6"/>
        <v>4417.4004774456525</v>
      </c>
      <c r="E80" s="21">
        <f t="shared" si="7"/>
        <v>299.39099620596789</v>
      </c>
      <c r="F80" s="21">
        <f t="shared" si="8"/>
        <v>4118.0094812396846</v>
      </c>
      <c r="G80" s="21">
        <f t="shared" si="9"/>
        <v>0</v>
      </c>
    </row>
    <row r="81" spans="2:7" ht="16.8" customHeight="1" x14ac:dyDescent="0.25">
      <c r="B81" s="20">
        <f t="shared" si="4"/>
        <v>77</v>
      </c>
      <c r="C81" s="23">
        <f t="shared" si="10"/>
        <v>433385.02957405057</v>
      </c>
      <c r="D81" s="21">
        <f t="shared" si="6"/>
        <v>4417.4004774456525</v>
      </c>
      <c r="E81" s="21">
        <f t="shared" si="7"/>
        <v>302.23185537544487</v>
      </c>
      <c r="F81" s="21">
        <f t="shared" si="8"/>
        <v>4115.1686220702077</v>
      </c>
      <c r="G81" s="21">
        <f t="shared" si="9"/>
        <v>0</v>
      </c>
    </row>
    <row r="82" spans="2:7" ht="16.8" customHeight="1" x14ac:dyDescent="0.25">
      <c r="B82" s="20">
        <f t="shared" si="4"/>
        <v>78</v>
      </c>
      <c r="C82" s="23">
        <f t="shared" si="10"/>
        <v>433079.92990318121</v>
      </c>
      <c r="D82" s="21">
        <f t="shared" si="6"/>
        <v>4417.4004774456525</v>
      </c>
      <c r="E82" s="21">
        <f t="shared" si="7"/>
        <v>305.09967086933739</v>
      </c>
      <c r="F82" s="21">
        <f t="shared" si="8"/>
        <v>4112.3008065763152</v>
      </c>
      <c r="G82" s="21">
        <f t="shared" si="9"/>
        <v>0</v>
      </c>
    </row>
    <row r="83" spans="2:7" ht="16.8" customHeight="1" x14ac:dyDescent="0.25">
      <c r="B83" s="20">
        <f t="shared" si="4"/>
        <v>79</v>
      </c>
      <c r="C83" s="23">
        <f t="shared" si="10"/>
        <v>432771.93520471058</v>
      </c>
      <c r="D83" s="21">
        <f t="shared" si="6"/>
        <v>4417.4004774456525</v>
      </c>
      <c r="E83" s="21">
        <f t="shared" si="7"/>
        <v>307.99469847062574</v>
      </c>
      <c r="F83" s="21">
        <f t="shared" si="8"/>
        <v>4109.4057789750268</v>
      </c>
      <c r="G83" s="21">
        <f t="shared" si="9"/>
        <v>0</v>
      </c>
    </row>
    <row r="84" spans="2:7" ht="16.8" customHeight="1" x14ac:dyDescent="0.25">
      <c r="B84" s="20">
        <f t="shared" si="4"/>
        <v>80</v>
      </c>
      <c r="C84" s="23">
        <f t="shared" si="10"/>
        <v>432461.01800832123</v>
      </c>
      <c r="D84" s="21">
        <f t="shared" si="6"/>
        <v>4417.4004774456525</v>
      </c>
      <c r="E84" s="21">
        <f t="shared" si="7"/>
        <v>310.9171963893632</v>
      </c>
      <c r="F84" s="21">
        <f t="shared" si="8"/>
        <v>4106.4832810562893</v>
      </c>
      <c r="G84" s="21">
        <f t="shared" si="9"/>
        <v>0</v>
      </c>
    </row>
    <row r="85" spans="2:7" ht="16.8" customHeight="1" x14ac:dyDescent="0.25">
      <c r="B85" s="20">
        <f t="shared" si="4"/>
        <v>81</v>
      </c>
      <c r="C85" s="23">
        <f t="shared" si="10"/>
        <v>432147.15058303555</v>
      </c>
      <c r="D85" s="21">
        <f t="shared" si="6"/>
        <v>4417.4004774456525</v>
      </c>
      <c r="E85" s="21">
        <f t="shared" si="7"/>
        <v>313.86742528570267</v>
      </c>
      <c r="F85" s="21">
        <f t="shared" si="8"/>
        <v>4103.5330521599499</v>
      </c>
      <c r="G85" s="21">
        <f t="shared" si="9"/>
        <v>0</v>
      </c>
    </row>
    <row r="86" spans="2:7" ht="16.8" customHeight="1" x14ac:dyDescent="0.25">
      <c r="B86" s="20">
        <f t="shared" si="4"/>
        <v>82</v>
      </c>
      <c r="C86" s="23">
        <f t="shared" si="10"/>
        <v>431830.30493474239</v>
      </c>
      <c r="D86" s="21">
        <f t="shared" si="6"/>
        <v>4417.4004774456525</v>
      </c>
      <c r="E86" s="21">
        <f t="shared" si="7"/>
        <v>316.84564829314968</v>
      </c>
      <c r="F86" s="21">
        <f t="shared" si="8"/>
        <v>4100.5548291525029</v>
      </c>
      <c r="G86" s="21">
        <f t="shared" si="9"/>
        <v>0</v>
      </c>
    </row>
    <row r="87" spans="2:7" ht="16.8" customHeight="1" x14ac:dyDescent="0.25">
      <c r="B87" s="20">
        <f t="shared" si="4"/>
        <v>83</v>
      </c>
      <c r="C87" s="23">
        <f t="shared" si="10"/>
        <v>431510.45280370035</v>
      </c>
      <c r="D87" s="21">
        <f t="shared" si="6"/>
        <v>4417.4004774456525</v>
      </c>
      <c r="E87" s="21">
        <f t="shared" si="7"/>
        <v>319.85213104202649</v>
      </c>
      <c r="F87" s="21">
        <f t="shared" si="8"/>
        <v>4097.5483464036261</v>
      </c>
      <c r="G87" s="21">
        <f t="shared" si="9"/>
        <v>0</v>
      </c>
    </row>
    <row r="88" spans="2:7" ht="16.8" customHeight="1" x14ac:dyDescent="0.25">
      <c r="B88" s="20">
        <f t="shared" si="4"/>
        <v>84</v>
      </c>
      <c r="C88" s="23">
        <f t="shared" si="10"/>
        <v>431187.56566201715</v>
      </c>
      <c r="D88" s="21">
        <f t="shared" si="6"/>
        <v>4417.4004774456525</v>
      </c>
      <c r="E88" s="21">
        <f t="shared" si="7"/>
        <v>322.88714168316983</v>
      </c>
      <c r="F88" s="21">
        <f t="shared" si="8"/>
        <v>4094.5133357624827</v>
      </c>
      <c r="G88" s="21">
        <f t="shared" si="9"/>
        <v>0</v>
      </c>
    </row>
    <row r="89" spans="2:7" ht="16.8" customHeight="1" x14ac:dyDescent="0.25">
      <c r="B89" s="20">
        <f t="shared" si="4"/>
        <v>85</v>
      </c>
      <c r="C89" s="23">
        <f t="shared" si="10"/>
        <v>430861.6147111053</v>
      </c>
      <c r="D89" s="21">
        <f t="shared" si="6"/>
        <v>4417.4004774456525</v>
      </c>
      <c r="E89" s="21">
        <f t="shared" si="7"/>
        <v>325.95095091184112</v>
      </c>
      <c r="F89" s="21">
        <f t="shared" si="8"/>
        <v>4091.4495265338114</v>
      </c>
      <c r="G89" s="21">
        <f t="shared" si="9"/>
        <v>0</v>
      </c>
    </row>
    <row r="90" spans="2:7" ht="16.8" customHeight="1" x14ac:dyDescent="0.25">
      <c r="B90" s="20">
        <f t="shared" si="4"/>
        <v>86</v>
      </c>
      <c r="C90" s="23">
        <f t="shared" si="10"/>
        <v>430532.57087911345</v>
      </c>
      <c r="D90" s="21">
        <f t="shared" si="6"/>
        <v>4417.4004774456525</v>
      </c>
      <c r="E90" s="21">
        <f t="shared" si="7"/>
        <v>329.04383199187396</v>
      </c>
      <c r="F90" s="21">
        <f t="shared" si="8"/>
        <v>4088.3566454537786</v>
      </c>
      <c r="G90" s="21">
        <f t="shared" si="9"/>
        <v>0</v>
      </c>
    </row>
    <row r="91" spans="2:7" ht="16.8" customHeight="1" x14ac:dyDescent="0.25">
      <c r="B91" s="20">
        <f t="shared" si="4"/>
        <v>87</v>
      </c>
      <c r="C91" s="23">
        <f t="shared" si="10"/>
        <v>430200.40481833339</v>
      </c>
      <c r="D91" s="21">
        <f t="shared" si="6"/>
        <v>4417.4004774456525</v>
      </c>
      <c r="E91" s="21">
        <f t="shared" si="7"/>
        <v>332.16606078004634</v>
      </c>
      <c r="F91" s="21">
        <f t="shared" si="8"/>
        <v>4085.2344166656062</v>
      </c>
      <c r="G91" s="21">
        <f t="shared" si="9"/>
        <v>0</v>
      </c>
    </row>
    <row r="92" spans="2:7" ht="16.8" customHeight="1" x14ac:dyDescent="0.25">
      <c r="B92" s="20">
        <f t="shared" si="4"/>
        <v>88</v>
      </c>
      <c r="C92" s="23">
        <f t="shared" si="10"/>
        <v>429865.08690258273</v>
      </c>
      <c r="D92" s="21">
        <f t="shared" si="6"/>
        <v>4417.4004774456516</v>
      </c>
      <c r="E92" s="21">
        <f t="shared" si="7"/>
        <v>335.31791575068382</v>
      </c>
      <c r="F92" s="21">
        <f t="shared" si="8"/>
        <v>4082.0825616949678</v>
      </c>
      <c r="G92" s="21">
        <f t="shared" si="9"/>
        <v>0</v>
      </c>
    </row>
    <row r="93" spans="2:7" ht="16.8" customHeight="1" x14ac:dyDescent="0.25">
      <c r="B93" s="20">
        <f t="shared" si="4"/>
        <v>89</v>
      </c>
      <c r="C93" s="23">
        <f t="shared" si="10"/>
        <v>429526.58722456224</v>
      </c>
      <c r="D93" s="21">
        <f t="shared" si="6"/>
        <v>4417.4004774456525</v>
      </c>
      <c r="E93" s="21">
        <f t="shared" si="7"/>
        <v>338.49967802049878</v>
      </c>
      <c r="F93" s="21">
        <f t="shared" si="8"/>
        <v>4078.9007994251538</v>
      </c>
      <c r="G93" s="21">
        <f t="shared" si="9"/>
        <v>0</v>
      </c>
    </row>
    <row r="94" spans="2:7" ht="16.8" customHeight="1" x14ac:dyDescent="0.25">
      <c r="B94" s="20">
        <f t="shared" si="4"/>
        <v>90</v>
      </c>
      <c r="C94" s="23">
        <f t="shared" si="10"/>
        <v>429184.87559318857</v>
      </c>
      <c r="D94" s="21">
        <f t="shared" si="6"/>
        <v>4417.4004774456525</v>
      </c>
      <c r="E94" s="21">
        <f t="shared" si="7"/>
        <v>341.71163137365784</v>
      </c>
      <c r="F94" s="21">
        <f t="shared" si="8"/>
        <v>4075.6888460719947</v>
      </c>
      <c r="G94" s="21">
        <f t="shared" si="9"/>
        <v>0</v>
      </c>
    </row>
    <row r="95" spans="2:7" ht="16.8" customHeight="1" x14ac:dyDescent="0.25">
      <c r="B95" s="20">
        <f t="shared" si="4"/>
        <v>91</v>
      </c>
      <c r="C95" s="23">
        <f t="shared" si="10"/>
        <v>428839.92153090145</v>
      </c>
      <c r="D95" s="21">
        <f t="shared" si="6"/>
        <v>4417.4004774456525</v>
      </c>
      <c r="E95" s="21">
        <f t="shared" si="7"/>
        <v>344.95406228710135</v>
      </c>
      <c r="F95" s="21">
        <f t="shared" si="8"/>
        <v>4072.4464151585512</v>
      </c>
      <c r="G95" s="21">
        <f t="shared" si="9"/>
        <v>0</v>
      </c>
    </row>
    <row r="96" spans="2:7" ht="16.8" customHeight="1" x14ac:dyDescent="0.25">
      <c r="B96" s="20">
        <f t="shared" si="4"/>
        <v>92</v>
      </c>
      <c r="C96" s="23">
        <f t="shared" si="10"/>
        <v>428491.69427094539</v>
      </c>
      <c r="D96" s="21">
        <f t="shared" si="6"/>
        <v>4417.4004774456525</v>
      </c>
      <c r="E96" s="21">
        <f t="shared" si="7"/>
        <v>348.22725995608698</v>
      </c>
      <c r="F96" s="21">
        <f t="shared" si="8"/>
        <v>4069.1732174895656</v>
      </c>
      <c r="G96" s="21">
        <f t="shared" si="9"/>
        <v>0</v>
      </c>
    </row>
    <row r="97" spans="2:7" ht="16.8" customHeight="1" x14ac:dyDescent="0.25">
      <c r="B97" s="20">
        <f t="shared" si="4"/>
        <v>93</v>
      </c>
      <c r="C97" s="23">
        <f t="shared" si="10"/>
        <v>428140.16275462537</v>
      </c>
      <c r="D97" s="21">
        <f t="shared" si="6"/>
        <v>4417.4004774456525</v>
      </c>
      <c r="E97" s="21">
        <f t="shared" si="7"/>
        <v>351.53151631998753</v>
      </c>
      <c r="F97" s="21">
        <f t="shared" si="8"/>
        <v>4065.868961125665</v>
      </c>
      <c r="G97" s="21">
        <f t="shared" si="9"/>
        <v>0</v>
      </c>
    </row>
    <row r="98" spans="2:7" ht="16.8" customHeight="1" x14ac:dyDescent="0.25">
      <c r="B98" s="20">
        <f t="shared" si="4"/>
        <v>94</v>
      </c>
      <c r="C98" s="23">
        <f t="shared" si="10"/>
        <v>427785.29562853707</v>
      </c>
      <c r="D98" s="21">
        <f t="shared" si="6"/>
        <v>4417.4004774456516</v>
      </c>
      <c r="E98" s="21">
        <f t="shared" si="7"/>
        <v>354.86712608832704</v>
      </c>
      <c r="F98" s="21">
        <f t="shared" si="8"/>
        <v>4062.5333513573246</v>
      </c>
      <c r="G98" s="21">
        <f t="shared" si="9"/>
        <v>0</v>
      </c>
    </row>
    <row r="99" spans="2:7" ht="16.8" customHeight="1" x14ac:dyDescent="0.25">
      <c r="B99" s="20">
        <f t="shared" si="4"/>
        <v>95</v>
      </c>
      <c r="C99" s="23">
        <f t="shared" si="10"/>
        <v>427427.06124176999</v>
      </c>
      <c r="D99" s="21">
        <f t="shared" si="6"/>
        <v>4417.4004774456525</v>
      </c>
      <c r="E99" s="21">
        <f t="shared" si="7"/>
        <v>358.23438676707065</v>
      </c>
      <c r="F99" s="21">
        <f t="shared" si="8"/>
        <v>4059.1660906785819</v>
      </c>
      <c r="G99" s="21">
        <f t="shared" si="9"/>
        <v>0</v>
      </c>
    </row>
    <row r="100" spans="2:7" ht="16.8" customHeight="1" x14ac:dyDescent="0.25">
      <c r="B100" s="20">
        <f t="shared" si="4"/>
        <v>96</v>
      </c>
      <c r="C100" s="23">
        <f t="shared" si="10"/>
        <v>427065.42764308484</v>
      </c>
      <c r="D100" s="21">
        <f t="shared" si="6"/>
        <v>4417.4004774456525</v>
      </c>
      <c r="E100" s="21">
        <f t="shared" si="7"/>
        <v>361.6335986851509</v>
      </c>
      <c r="F100" s="21">
        <f t="shared" si="8"/>
        <v>4055.7668787605016</v>
      </c>
      <c r="G100" s="21">
        <f t="shared" si="9"/>
        <v>0</v>
      </c>
    </row>
    <row r="101" spans="2:7" ht="16.8" customHeight="1" x14ac:dyDescent="0.25">
      <c r="B101" s="20">
        <f t="shared" si="4"/>
        <v>97</v>
      </c>
      <c r="C101" s="23">
        <f t="shared" si="10"/>
        <v>426700.36257806356</v>
      </c>
      <c r="D101" s="21">
        <f t="shared" si="6"/>
        <v>4417.4004774456525</v>
      </c>
      <c r="E101" s="21">
        <f t="shared" si="7"/>
        <v>365.06506502126194</v>
      </c>
      <c r="F101" s="21">
        <f t="shared" si="8"/>
        <v>4052.3354124243906</v>
      </c>
      <c r="G101" s="21">
        <f t="shared" si="9"/>
        <v>0</v>
      </c>
    </row>
    <row r="102" spans="2:7" ht="16.8" customHeight="1" x14ac:dyDescent="0.25">
      <c r="B102" s="20">
        <f t="shared" si="4"/>
        <v>98</v>
      </c>
      <c r="C102" s="23">
        <f t="shared" si="10"/>
        <v>426331.83348623267</v>
      </c>
      <c r="D102" s="21">
        <f t="shared" si="6"/>
        <v>4417.4004774456525</v>
      </c>
      <c r="E102" s="21">
        <f t="shared" si="7"/>
        <v>368.52909183089923</v>
      </c>
      <c r="F102" s="21">
        <f t="shared" si="8"/>
        <v>4048.8713856147533</v>
      </c>
      <c r="G102" s="21">
        <f t="shared" si="9"/>
        <v>0</v>
      </c>
    </row>
    <row r="103" spans="2:7" ht="16.8" customHeight="1" x14ac:dyDescent="0.25">
      <c r="B103" s="20">
        <f t="shared" si="4"/>
        <v>99</v>
      </c>
      <c r="C103" s="23">
        <f t="shared" si="10"/>
        <v>425959.807498159</v>
      </c>
      <c r="D103" s="21">
        <f t="shared" si="6"/>
        <v>4417.4004774456525</v>
      </c>
      <c r="E103" s="21">
        <f t="shared" si="7"/>
        <v>372.02598807365257</v>
      </c>
      <c r="F103" s="21">
        <f t="shared" si="8"/>
        <v>4045.374489372</v>
      </c>
      <c r="G103" s="21">
        <f t="shared" si="9"/>
        <v>0</v>
      </c>
    </row>
    <row r="104" spans="2:7" ht="16.8" customHeight="1" x14ac:dyDescent="0.25">
      <c r="B104" s="20">
        <f t="shared" si="4"/>
        <v>100</v>
      </c>
      <c r="C104" s="23">
        <f t="shared" si="10"/>
        <v>425584.25143251824</v>
      </c>
      <c r="D104" s="21">
        <f t="shared" si="6"/>
        <v>4417.4004774456516</v>
      </c>
      <c r="E104" s="21">
        <f t="shared" si="7"/>
        <v>375.55606564076606</v>
      </c>
      <c r="F104" s="21">
        <f t="shared" si="8"/>
        <v>4041.8444118048856</v>
      </c>
      <c r="G104" s="21">
        <f t="shared" si="9"/>
        <v>0</v>
      </c>
    </row>
    <row r="105" spans="2:7" ht="16.8" customHeight="1" x14ac:dyDescent="0.25">
      <c r="B105" s="20">
        <f t="shared" si="4"/>
        <v>101</v>
      </c>
      <c r="C105" s="23">
        <f t="shared" si="10"/>
        <v>425205.13179313531</v>
      </c>
      <c r="D105" s="21">
        <f t="shared" si="6"/>
        <v>4417.4004774456516</v>
      </c>
      <c r="E105" s="21">
        <f t="shared" si="7"/>
        <v>379.11963938295821</v>
      </c>
      <c r="F105" s="21">
        <f t="shared" si="8"/>
        <v>4038.2808380626934</v>
      </c>
      <c r="G105" s="21">
        <f t="shared" si="9"/>
        <v>0</v>
      </c>
    </row>
    <row r="106" spans="2:7" ht="16.8" customHeight="1" x14ac:dyDescent="0.25">
      <c r="B106" s="20">
        <f t="shared" si="4"/>
        <v>102</v>
      </c>
      <c r="C106" s="23">
        <f t="shared" si="10"/>
        <v>424822.4147659968</v>
      </c>
      <c r="D106" s="21">
        <f t="shared" si="6"/>
        <v>4417.4004774456525</v>
      </c>
      <c r="E106" s="21">
        <f t="shared" si="7"/>
        <v>382.71702713849754</v>
      </c>
      <c r="F106" s="21">
        <f t="shared" si="8"/>
        <v>4034.683450307155</v>
      </c>
      <c r="G106" s="21">
        <f t="shared" si="9"/>
        <v>0</v>
      </c>
    </row>
    <row r="107" spans="2:7" ht="16.8" customHeight="1" x14ac:dyDescent="0.25">
      <c r="B107" s="20">
        <f t="shared" si="4"/>
        <v>103</v>
      </c>
      <c r="C107" s="23">
        <f t="shared" si="10"/>
        <v>424436.06621623522</v>
      </c>
      <c r="D107" s="21">
        <f t="shared" si="6"/>
        <v>4417.4004774456525</v>
      </c>
      <c r="E107" s="21">
        <f t="shared" si="7"/>
        <v>386.34854976155384</v>
      </c>
      <c r="F107" s="21">
        <f t="shared" si="8"/>
        <v>4031.0519276840987</v>
      </c>
      <c r="G107" s="21">
        <f t="shared" si="9"/>
        <v>0</v>
      </c>
    </row>
    <row r="108" spans="2:7" ht="16.8" customHeight="1" x14ac:dyDescent="0.25">
      <c r="B108" s="20">
        <f t="shared" si="4"/>
        <v>104</v>
      </c>
      <c r="C108" s="23">
        <f t="shared" si="10"/>
        <v>424046.05168508441</v>
      </c>
      <c r="D108" s="21">
        <f t="shared" si="6"/>
        <v>4417.4004774456525</v>
      </c>
      <c r="E108" s="21">
        <f t="shared" si="7"/>
        <v>390.01453115081813</v>
      </c>
      <c r="F108" s="21">
        <f t="shared" si="8"/>
        <v>4027.3859462948344</v>
      </c>
      <c r="G108" s="21">
        <f t="shared" si="9"/>
        <v>0</v>
      </c>
    </row>
    <row r="109" spans="2:7" ht="16.8" customHeight="1" x14ac:dyDescent="0.25">
      <c r="B109" s="20">
        <f t="shared" si="4"/>
        <v>105</v>
      </c>
      <c r="C109" s="23">
        <f t="shared" si="10"/>
        <v>423652.33638680604</v>
      </c>
      <c r="D109" s="21">
        <f t="shared" si="6"/>
        <v>4417.4004774456525</v>
      </c>
      <c r="E109" s="21">
        <f t="shared" si="7"/>
        <v>393.7152982783864</v>
      </c>
      <c r="F109" s="21">
        <f t="shared" si="8"/>
        <v>4023.6851791672661</v>
      </c>
      <c r="G109" s="21">
        <f t="shared" si="9"/>
        <v>0</v>
      </c>
    </row>
    <row r="110" spans="2:7" ht="16.8" customHeight="1" x14ac:dyDescent="0.25">
      <c r="B110" s="20">
        <f t="shared" si="4"/>
        <v>106</v>
      </c>
      <c r="C110" s="23">
        <f t="shared" si="10"/>
        <v>423254.88520558714</v>
      </c>
      <c r="D110" s="21">
        <f t="shared" si="6"/>
        <v>4417.4004774456525</v>
      </c>
      <c r="E110" s="21">
        <f t="shared" si="7"/>
        <v>397.45118121892756</v>
      </c>
      <c r="F110" s="21">
        <f t="shared" si="8"/>
        <v>4019.949296226725</v>
      </c>
      <c r="G110" s="21">
        <f t="shared" si="9"/>
        <v>0</v>
      </c>
    </row>
    <row r="111" spans="2:7" ht="16.8" customHeight="1" x14ac:dyDescent="0.25">
      <c r="B111" s="20">
        <f t="shared" si="4"/>
        <v>107</v>
      </c>
      <c r="C111" s="23">
        <f t="shared" si="10"/>
        <v>422853.66269240802</v>
      </c>
      <c r="D111" s="21">
        <f t="shared" si="6"/>
        <v>4417.4004774456525</v>
      </c>
      <c r="E111" s="21">
        <f t="shared" si="7"/>
        <v>401.22251317911923</v>
      </c>
      <c r="F111" s="21">
        <f t="shared" si="8"/>
        <v>4016.1779642665333</v>
      </c>
      <c r="G111" s="21">
        <f t="shared" si="9"/>
        <v>0</v>
      </c>
    </row>
    <row r="112" spans="2:7" ht="16.8" customHeight="1" x14ac:dyDescent="0.25">
      <c r="B112" s="20">
        <f t="shared" si="4"/>
        <v>108</v>
      </c>
      <c r="C112" s="23">
        <f t="shared" si="10"/>
        <v>422448.63306188065</v>
      </c>
      <c r="D112" s="21">
        <f t="shared" si="6"/>
        <v>4417.4004774456525</v>
      </c>
      <c r="E112" s="21">
        <f t="shared" si="7"/>
        <v>405.02963052736868</v>
      </c>
      <c r="F112" s="21">
        <f t="shared" si="8"/>
        <v>4012.3708469182839</v>
      </c>
      <c r="G112" s="21">
        <f t="shared" si="9"/>
        <v>0</v>
      </c>
    </row>
    <row r="113" spans="2:7" ht="16.8" customHeight="1" x14ac:dyDescent="0.25">
      <c r="B113" s="20">
        <f t="shared" si="4"/>
        <v>109</v>
      </c>
      <c r="C113" s="23">
        <f t="shared" si="10"/>
        <v>422039.76018905686</v>
      </c>
      <c r="D113" s="21">
        <f t="shared" si="6"/>
        <v>4417.4004774456525</v>
      </c>
      <c r="E113" s="21">
        <f t="shared" si="7"/>
        <v>408.87287282381385</v>
      </c>
      <c r="F113" s="21">
        <f t="shared" si="8"/>
        <v>4008.5276046218387</v>
      </c>
      <c r="G113" s="21">
        <f t="shared" si="9"/>
        <v>0</v>
      </c>
    </row>
    <row r="114" spans="2:7" ht="16.8" customHeight="1" x14ac:dyDescent="0.25">
      <c r="B114" s="20">
        <f t="shared" si="4"/>
        <v>110</v>
      </c>
      <c r="C114" s="23">
        <f t="shared" si="10"/>
        <v>421627.00760620623</v>
      </c>
      <c r="D114" s="21">
        <f t="shared" si="6"/>
        <v>4417.4004774456525</v>
      </c>
      <c r="E114" s="21">
        <f t="shared" si="7"/>
        <v>412.75258285060681</v>
      </c>
      <c r="F114" s="21">
        <f t="shared" si="8"/>
        <v>4004.6478945950457</v>
      </c>
      <c r="G114" s="21">
        <f t="shared" si="9"/>
        <v>0</v>
      </c>
    </row>
    <row r="115" spans="2:7" ht="16.8" customHeight="1" x14ac:dyDescent="0.25">
      <c r="B115" s="20">
        <f t="shared" si="4"/>
        <v>111</v>
      </c>
      <c r="C115" s="23">
        <f t="shared" si="10"/>
        <v>421210.33849956375</v>
      </c>
      <c r="D115" s="21">
        <f t="shared" si="6"/>
        <v>4417.4004774456525</v>
      </c>
      <c r="E115" s="21">
        <f t="shared" si="7"/>
        <v>416.66910664249099</v>
      </c>
      <c r="F115" s="21">
        <f t="shared" si="8"/>
        <v>4000.7313708031616</v>
      </c>
      <c r="G115" s="21">
        <f t="shared" si="9"/>
        <v>0</v>
      </c>
    </row>
    <row r="116" spans="2:7" ht="16.8" customHeight="1" x14ac:dyDescent="0.25">
      <c r="B116" s="20">
        <f t="shared" si="4"/>
        <v>112</v>
      </c>
      <c r="C116" s="23">
        <f t="shared" si="10"/>
        <v>420789.71570604609</v>
      </c>
      <c r="D116" s="21">
        <f t="shared" si="6"/>
        <v>4417.4004774456525</v>
      </c>
      <c r="E116" s="21">
        <f t="shared" si="7"/>
        <v>420.62279351765892</v>
      </c>
      <c r="F116" s="21">
        <f t="shared" si="8"/>
        <v>3996.7776839279936</v>
      </c>
      <c r="G116" s="21">
        <f t="shared" si="9"/>
        <v>0</v>
      </c>
    </row>
    <row r="117" spans="2:7" ht="16.8" customHeight="1" x14ac:dyDescent="0.25">
      <c r="B117" s="20">
        <f t="shared" si="4"/>
        <v>113</v>
      </c>
      <c r="C117" s="23">
        <f t="shared" si="10"/>
        <v>420365.10170993715</v>
      </c>
      <c r="D117" s="21">
        <f t="shared" si="6"/>
        <v>4417.4004774456525</v>
      </c>
      <c r="E117" s="21">
        <f t="shared" si="7"/>
        <v>424.61399610891385</v>
      </c>
      <c r="F117" s="21">
        <f t="shared" si="8"/>
        <v>3992.7864813367387</v>
      </c>
      <c r="G117" s="21">
        <f t="shared" si="9"/>
        <v>0</v>
      </c>
    </row>
    <row r="118" spans="2:7" ht="16.8" customHeight="1" x14ac:dyDescent="0.25">
      <c r="B118" s="20">
        <f t="shared" si="4"/>
        <v>114</v>
      </c>
      <c r="C118" s="23">
        <f t="shared" si="10"/>
        <v>419936.45863954205</v>
      </c>
      <c r="D118" s="21">
        <f t="shared" si="6"/>
        <v>4417.4004774456525</v>
      </c>
      <c r="E118" s="21">
        <f t="shared" si="7"/>
        <v>428.64307039511732</v>
      </c>
      <c r="F118" s="21">
        <f t="shared" si="8"/>
        <v>3988.7574070505352</v>
      </c>
      <c r="G118" s="21">
        <f t="shared" si="9"/>
        <v>0</v>
      </c>
    </row>
    <row r="119" spans="2:7" ht="16.8" customHeight="1" x14ac:dyDescent="0.25">
      <c r="B119" s="20">
        <f t="shared" si="4"/>
        <v>115</v>
      </c>
      <c r="C119" s="23">
        <f t="shared" si="10"/>
        <v>419503.74826380913</v>
      </c>
      <c r="D119" s="21">
        <f t="shared" si="6"/>
        <v>4417.4004774456525</v>
      </c>
      <c r="E119" s="21">
        <f t="shared" si="7"/>
        <v>432.71037573294052</v>
      </c>
      <c r="F119" s="21">
        <f t="shared" si="8"/>
        <v>3984.690101712712</v>
      </c>
      <c r="G119" s="21">
        <f t="shared" si="9"/>
        <v>0</v>
      </c>
    </row>
    <row r="120" spans="2:7" ht="16.8" customHeight="1" x14ac:dyDescent="0.25">
      <c r="B120" s="20">
        <f t="shared" si="4"/>
        <v>116</v>
      </c>
      <c r="C120" s="23">
        <f t="shared" si="10"/>
        <v>419066.9319889202</v>
      </c>
      <c r="D120" s="21">
        <f t="shared" si="6"/>
        <v>4417.4004774456525</v>
      </c>
      <c r="E120" s="21">
        <f t="shared" si="7"/>
        <v>436.81627488891581</v>
      </c>
      <c r="F120" s="21">
        <f t="shared" si="8"/>
        <v>3980.5842025567367</v>
      </c>
      <c r="G120" s="21">
        <f t="shared" si="9"/>
        <v>0</v>
      </c>
    </row>
    <row r="121" spans="2:7" ht="16.8" customHeight="1" x14ac:dyDescent="0.25">
      <c r="B121" s="20">
        <f t="shared" si="4"/>
        <v>117</v>
      </c>
      <c r="C121" s="23">
        <f t="shared" si="10"/>
        <v>418625.97085484839</v>
      </c>
      <c r="D121" s="21">
        <f t="shared" si="6"/>
        <v>4417.4004774456525</v>
      </c>
      <c r="E121" s="21">
        <f t="shared" si="7"/>
        <v>440.96113407179291</v>
      </c>
      <c r="F121" s="21">
        <f t="shared" si="8"/>
        <v>3976.4393433738596</v>
      </c>
      <c r="G121" s="21">
        <f t="shared" si="9"/>
        <v>0</v>
      </c>
    </row>
    <row r="122" spans="2:7" ht="16.8" customHeight="1" x14ac:dyDescent="0.25">
      <c r="B122" s="20">
        <f t="shared" si="4"/>
        <v>118</v>
      </c>
      <c r="C122" s="23">
        <f t="shared" si="10"/>
        <v>418180.82553188317</v>
      </c>
      <c r="D122" s="21">
        <f t="shared" si="6"/>
        <v>4417.4004774456525</v>
      </c>
      <c r="E122" s="21">
        <f t="shared" si="7"/>
        <v>445.14532296519928</v>
      </c>
      <c r="F122" s="21">
        <f t="shared" si="8"/>
        <v>3972.2551544804533</v>
      </c>
      <c r="G122" s="21">
        <f t="shared" si="9"/>
        <v>0</v>
      </c>
    </row>
    <row r="123" spans="2:7" ht="16.8" customHeight="1" x14ac:dyDescent="0.25">
      <c r="B123" s="20">
        <f t="shared" si="4"/>
        <v>119</v>
      </c>
      <c r="C123" s="23">
        <f t="shared" si="10"/>
        <v>417731.45631712256</v>
      </c>
      <c r="D123" s="21">
        <f t="shared" si="6"/>
        <v>4417.4004774456525</v>
      </c>
      <c r="E123" s="21">
        <f t="shared" si="7"/>
        <v>449.36921476061434</v>
      </c>
      <c r="F123" s="21">
        <f t="shared" si="8"/>
        <v>3968.0312626850382</v>
      </c>
      <c r="G123" s="21">
        <f t="shared" si="9"/>
        <v>0</v>
      </c>
    </row>
    <row r="124" spans="2:7" ht="16.8" customHeight="1" x14ac:dyDescent="0.25">
      <c r="B124" s="20">
        <f t="shared" si="4"/>
        <v>120</v>
      </c>
      <c r="C124" s="23">
        <f t="shared" si="10"/>
        <v>417277.82313093188</v>
      </c>
      <c r="D124" s="21">
        <f t="shared" si="6"/>
        <v>4417.4004774456525</v>
      </c>
      <c r="E124" s="21">
        <f t="shared" si="7"/>
        <v>453.63318619065376</v>
      </c>
      <c r="F124" s="21">
        <f t="shared" si="8"/>
        <v>3963.7672912549988</v>
      </c>
      <c r="G124" s="21">
        <f t="shared" si="9"/>
        <v>0</v>
      </c>
    </row>
    <row r="125" spans="2:7" ht="16.8" customHeight="1" x14ac:dyDescent="0.25">
      <c r="B125" s="20">
        <f t="shared" si="4"/>
        <v>121</v>
      </c>
      <c r="C125" s="23">
        <f t="shared" si="10"/>
        <v>416819.88551336923</v>
      </c>
      <c r="D125" s="21">
        <f t="shared" si="6"/>
        <v>4417.4004774456516</v>
      </c>
      <c r="E125" s="21">
        <f t="shared" si="7"/>
        <v>457.93761756267122</v>
      </c>
      <c r="F125" s="21">
        <f t="shared" si="8"/>
        <v>3959.4628598829804</v>
      </c>
      <c r="G125" s="21">
        <f t="shared" si="9"/>
        <v>0</v>
      </c>
    </row>
    <row r="126" spans="2:7" ht="16.8" customHeight="1" x14ac:dyDescent="0.25">
      <c r="B126" s="20">
        <f t="shared" si="4"/>
        <v>122</v>
      </c>
      <c r="C126" s="23">
        <f t="shared" si="10"/>
        <v>416357.60262057657</v>
      </c>
      <c r="D126" s="21">
        <f t="shared" si="6"/>
        <v>4417.4004774456525</v>
      </c>
      <c r="E126" s="21">
        <f t="shared" si="7"/>
        <v>462.28289279268074</v>
      </c>
      <c r="F126" s="21">
        <f t="shared" si="8"/>
        <v>3955.1175846529718</v>
      </c>
      <c r="G126" s="21">
        <f t="shared" si="9"/>
        <v>0</v>
      </c>
    </row>
    <row r="127" spans="2:7" ht="16.8" customHeight="1" x14ac:dyDescent="0.25">
      <c r="B127" s="20">
        <f t="shared" si="4"/>
        <v>123</v>
      </c>
      <c r="C127" s="23">
        <f t="shared" si="10"/>
        <v>415890.93322113698</v>
      </c>
      <c r="D127" s="21">
        <f t="shared" si="6"/>
        <v>4417.4004774456525</v>
      </c>
      <c r="E127" s="21">
        <f t="shared" si="7"/>
        <v>466.66939943959005</v>
      </c>
      <c r="F127" s="21">
        <f t="shared" si="8"/>
        <v>3950.7310780060625</v>
      </c>
      <c r="G127" s="21">
        <f t="shared" si="9"/>
        <v>0</v>
      </c>
    </row>
    <row r="128" spans="2:7" ht="16.8" customHeight="1" x14ac:dyDescent="0.25">
      <c r="B128" s="20">
        <f t="shared" si="4"/>
        <v>124</v>
      </c>
      <c r="C128" s="23">
        <f t="shared" si="10"/>
        <v>415419.8356923972</v>
      </c>
      <c r="D128" s="21">
        <f t="shared" si="6"/>
        <v>4417.4004774456525</v>
      </c>
      <c r="E128" s="21">
        <f t="shared" si="7"/>
        <v>471.09752873977868</v>
      </c>
      <c r="F128" s="21">
        <f t="shared" si="8"/>
        <v>3946.3029487058739</v>
      </c>
      <c r="G128" s="21">
        <f t="shared" si="9"/>
        <v>0</v>
      </c>
    </row>
    <row r="129" spans="2:7" ht="16.8" customHeight="1" x14ac:dyDescent="0.25">
      <c r="B129" s="20">
        <f t="shared" si="4"/>
        <v>125</v>
      </c>
      <c r="C129" s="23">
        <f t="shared" si="10"/>
        <v>414944.26801675523</v>
      </c>
      <c r="D129" s="21">
        <f t="shared" si="6"/>
        <v>4417.4004774456525</v>
      </c>
      <c r="E129" s="21">
        <f t="shared" si="7"/>
        <v>475.56767564198435</v>
      </c>
      <c r="F129" s="21">
        <f t="shared" si="8"/>
        <v>3941.8328018036682</v>
      </c>
      <c r="G129" s="21">
        <f t="shared" si="9"/>
        <v>0</v>
      </c>
    </row>
    <row r="130" spans="2:7" ht="16.8" customHeight="1" x14ac:dyDescent="0.25">
      <c r="B130" s="20">
        <f t="shared" si="4"/>
        <v>126</v>
      </c>
      <c r="C130" s="23">
        <f t="shared" si="10"/>
        <v>414464.18777791271</v>
      </c>
      <c r="D130" s="21">
        <f t="shared" si="6"/>
        <v>4417.4004774456525</v>
      </c>
      <c r="E130" s="21">
        <f t="shared" si="7"/>
        <v>480.0802388425318</v>
      </c>
      <c r="F130" s="21">
        <f t="shared" si="8"/>
        <v>3937.3202386031207</v>
      </c>
      <c r="G130" s="21">
        <f t="shared" si="9"/>
        <v>0</v>
      </c>
    </row>
    <row r="131" spans="2:7" ht="16.8" customHeight="1" x14ac:dyDescent="0.25">
      <c r="B131" s="20">
        <f t="shared" si="4"/>
        <v>127</v>
      </c>
      <c r="C131" s="23">
        <f t="shared" si="10"/>
        <v>413979.55215709179</v>
      </c>
      <c r="D131" s="21">
        <f t="shared" si="6"/>
        <v>4417.4004774456525</v>
      </c>
      <c r="E131" s="21">
        <f t="shared" si="7"/>
        <v>484.63562082089356</v>
      </c>
      <c r="F131" s="21">
        <f t="shared" si="8"/>
        <v>3932.764856624759</v>
      </c>
      <c r="G131" s="21">
        <f t="shared" si="9"/>
        <v>0</v>
      </c>
    </row>
    <row r="132" spans="2:7" ht="16.8" customHeight="1" x14ac:dyDescent="0.25">
      <c r="B132" s="20">
        <f t="shared" si="4"/>
        <v>128</v>
      </c>
      <c r="C132" s="23">
        <f t="shared" si="10"/>
        <v>413490.31792921619</v>
      </c>
      <c r="D132" s="21">
        <f t="shared" si="6"/>
        <v>4417.4004774456525</v>
      </c>
      <c r="E132" s="21">
        <f t="shared" si="7"/>
        <v>489.23422787558638</v>
      </c>
      <c r="F132" s="21">
        <f t="shared" si="8"/>
        <v>3928.1662495700662</v>
      </c>
      <c r="G132" s="21">
        <f t="shared" si="9"/>
        <v>0</v>
      </c>
    </row>
    <row r="133" spans="2:7" ht="16.8" customHeight="1" x14ac:dyDescent="0.25">
      <c r="B133" s="20">
        <f t="shared" si="4"/>
        <v>129</v>
      </c>
      <c r="C133" s="23">
        <f t="shared" si="10"/>
        <v>412996.44145905576</v>
      </c>
      <c r="D133" s="21">
        <f t="shared" ref="D133:D196" si="11">IFERROR(-PMT($J$10,$J$11-B132,C132)+G133,0)</f>
        <v>4417.4004774456525</v>
      </c>
      <c r="E133" s="21">
        <f t="shared" ref="E133:E196" si="12">IFERROR(D133-F133-G133,0)</f>
        <v>493.87647016040864</v>
      </c>
      <c r="F133" s="21">
        <f t="shared" ref="F133:F196" si="13">IFERROR(+C132*$J$10,0)</f>
        <v>3923.5240072852439</v>
      </c>
      <c r="G133" s="21">
        <f t="shared" ref="G133:G196" si="14">G132</f>
        <v>0</v>
      </c>
    </row>
    <row r="134" spans="2:7" ht="16.8" customHeight="1" x14ac:dyDescent="0.25">
      <c r="B134" s="20">
        <f t="shared" si="4"/>
        <v>130</v>
      </c>
      <c r="C134" s="23">
        <f t="shared" si="10"/>
        <v>412497.87869733473</v>
      </c>
      <c r="D134" s="21">
        <f t="shared" si="11"/>
        <v>4417.4004774456516</v>
      </c>
      <c r="E134" s="21">
        <f t="shared" si="12"/>
        <v>498.56276172102298</v>
      </c>
      <c r="F134" s="21">
        <f t="shared" si="13"/>
        <v>3918.8377157246287</v>
      </c>
      <c r="G134" s="21">
        <f t="shared" si="14"/>
        <v>0</v>
      </c>
    </row>
    <row r="135" spans="2:7" ht="16.8" customHeight="1" x14ac:dyDescent="0.25">
      <c r="B135" s="20">
        <f t="shared" si="4"/>
        <v>131</v>
      </c>
      <c r="C135" s="23">
        <f t="shared" si="10"/>
        <v>411994.58517680282</v>
      </c>
      <c r="D135" s="21">
        <f t="shared" si="11"/>
        <v>4417.4004774456516</v>
      </c>
      <c r="E135" s="21">
        <f t="shared" si="12"/>
        <v>503.29352053188768</v>
      </c>
      <c r="F135" s="21">
        <f t="shared" si="13"/>
        <v>3914.106956913764</v>
      </c>
      <c r="G135" s="21">
        <f t="shared" si="14"/>
        <v>0</v>
      </c>
    </row>
    <row r="136" spans="2:7" ht="16.8" customHeight="1" x14ac:dyDescent="0.25">
      <c r="B136" s="20">
        <f t="shared" si="4"/>
        <v>132</v>
      </c>
      <c r="C136" s="23">
        <f t="shared" ref="C136:C199" si="15">IF((IFERROR(C135-E136,0)-H136)&lt;0,0,IFERROR(C135-E136,0)-H136)</f>
        <v>411486.51600826927</v>
      </c>
      <c r="D136" s="21">
        <f t="shared" si="11"/>
        <v>4417.4004774456516</v>
      </c>
      <c r="E136" s="21">
        <f t="shared" si="12"/>
        <v>508.06916853353232</v>
      </c>
      <c r="F136" s="21">
        <f t="shared" si="13"/>
        <v>3909.3313089121193</v>
      </c>
      <c r="G136" s="21">
        <f t="shared" si="14"/>
        <v>0</v>
      </c>
    </row>
    <row r="137" spans="2:7" ht="16.8" customHeight="1" x14ac:dyDescent="0.25">
      <c r="B137" s="20">
        <f t="shared" si="4"/>
        <v>133</v>
      </c>
      <c r="C137" s="23">
        <f t="shared" si="15"/>
        <v>410973.62587659911</v>
      </c>
      <c r="D137" s="21">
        <f t="shared" si="11"/>
        <v>4417.4004774456516</v>
      </c>
      <c r="E137" s="21">
        <f t="shared" si="12"/>
        <v>512.89013167019266</v>
      </c>
      <c r="F137" s="21">
        <f t="shared" si="13"/>
        <v>3904.510345775459</v>
      </c>
      <c r="G137" s="21">
        <f t="shared" si="14"/>
        <v>0</v>
      </c>
    </row>
    <row r="138" spans="2:7" ht="16.8" customHeight="1" x14ac:dyDescent="0.25">
      <c r="B138" s="20">
        <f t="shared" si="4"/>
        <v>134</v>
      </c>
      <c r="C138" s="23">
        <f t="shared" si="15"/>
        <v>410455.8690366713</v>
      </c>
      <c r="D138" s="21">
        <f t="shared" si="11"/>
        <v>4417.4004774456516</v>
      </c>
      <c r="E138" s="21">
        <f t="shared" si="12"/>
        <v>517.75683992780205</v>
      </c>
      <c r="F138" s="21">
        <f t="shared" si="13"/>
        <v>3899.6436375178496</v>
      </c>
      <c r="G138" s="21">
        <f t="shared" si="14"/>
        <v>0</v>
      </c>
    </row>
    <row r="139" spans="2:7" ht="16.8" customHeight="1" x14ac:dyDescent="0.25">
      <c r="B139" s="20">
        <f t="shared" si="4"/>
        <v>135</v>
      </c>
      <c r="C139" s="23">
        <f t="shared" si="15"/>
        <v>409933.19930929894</v>
      </c>
      <c r="D139" s="21">
        <f t="shared" si="11"/>
        <v>4417.4004774456516</v>
      </c>
      <c r="E139" s="21">
        <f t="shared" si="12"/>
        <v>522.66972737234119</v>
      </c>
      <c r="F139" s="21">
        <f t="shared" si="13"/>
        <v>3894.7307500733104</v>
      </c>
      <c r="G139" s="21">
        <f t="shared" si="14"/>
        <v>0</v>
      </c>
    </row>
    <row r="140" spans="2:7" ht="16.8" customHeight="1" x14ac:dyDescent="0.25">
      <c r="B140" s="20">
        <f t="shared" si="4"/>
        <v>136</v>
      </c>
      <c r="C140" s="23">
        <f t="shared" si="15"/>
        <v>409405.57007711037</v>
      </c>
      <c r="D140" s="21">
        <f t="shared" si="11"/>
        <v>4417.4004774456507</v>
      </c>
      <c r="E140" s="21">
        <f t="shared" si="12"/>
        <v>527.62923218855121</v>
      </c>
      <c r="F140" s="21">
        <f t="shared" si="13"/>
        <v>3889.7712452570995</v>
      </c>
      <c r="G140" s="21">
        <f t="shared" si="14"/>
        <v>0</v>
      </c>
    </row>
    <row r="141" spans="2:7" ht="16.8" customHeight="1" x14ac:dyDescent="0.25">
      <c r="B141" s="20">
        <f t="shared" si="4"/>
        <v>137</v>
      </c>
      <c r="C141" s="23">
        <f t="shared" si="15"/>
        <v>408872.93428039138</v>
      </c>
      <c r="D141" s="21">
        <f t="shared" si="11"/>
        <v>4417.4004774456516</v>
      </c>
      <c r="E141" s="21">
        <f t="shared" si="12"/>
        <v>532.63579671902289</v>
      </c>
      <c r="F141" s="21">
        <f t="shared" si="13"/>
        <v>3884.7646807266287</v>
      </c>
      <c r="G141" s="21">
        <f t="shared" si="14"/>
        <v>0</v>
      </c>
    </row>
    <row r="142" spans="2:7" ht="16.8" customHeight="1" x14ac:dyDescent="0.25">
      <c r="B142" s="20">
        <f t="shared" si="4"/>
        <v>138</v>
      </c>
      <c r="C142" s="23">
        <f t="shared" si="15"/>
        <v>408335.24441288773</v>
      </c>
      <c r="D142" s="21">
        <f t="shared" si="11"/>
        <v>4417.4004774456516</v>
      </c>
      <c r="E142" s="21">
        <f t="shared" si="12"/>
        <v>537.68986750363592</v>
      </c>
      <c r="F142" s="21">
        <f t="shared" si="13"/>
        <v>3879.7106099420157</v>
      </c>
      <c r="G142" s="21">
        <f t="shared" si="14"/>
        <v>0</v>
      </c>
    </row>
    <row r="143" spans="2:7" ht="16.8" customHeight="1" x14ac:dyDescent="0.25">
      <c r="B143" s="20">
        <f t="shared" si="4"/>
        <v>139</v>
      </c>
      <c r="C143" s="23">
        <f t="shared" si="15"/>
        <v>407792.45251756831</v>
      </c>
      <c r="D143" s="21">
        <f t="shared" si="11"/>
        <v>4417.4004774456516</v>
      </c>
      <c r="E143" s="21">
        <f t="shared" si="12"/>
        <v>542.79189531940165</v>
      </c>
      <c r="F143" s="21">
        <f t="shared" si="13"/>
        <v>3874.60858212625</v>
      </c>
      <c r="G143" s="21">
        <f t="shared" si="14"/>
        <v>0</v>
      </c>
    </row>
    <row r="144" spans="2:7" ht="16.8" customHeight="1" x14ac:dyDescent="0.25">
      <c r="B144" s="20">
        <f t="shared" si="4"/>
        <v>140</v>
      </c>
      <c r="C144" s="23">
        <f t="shared" si="15"/>
        <v>407244.51018234767</v>
      </c>
      <c r="D144" s="21">
        <f t="shared" si="11"/>
        <v>4417.4004774456507</v>
      </c>
      <c r="E144" s="21">
        <f t="shared" si="12"/>
        <v>547.94233522065633</v>
      </c>
      <c r="F144" s="21">
        <f t="shared" si="13"/>
        <v>3869.4581422249944</v>
      </c>
      <c r="G144" s="21">
        <f t="shared" si="14"/>
        <v>0</v>
      </c>
    </row>
    <row r="145" spans="2:7" ht="16.8" customHeight="1" x14ac:dyDescent="0.25">
      <c r="B145" s="20">
        <f t="shared" si="4"/>
        <v>141</v>
      </c>
      <c r="C145" s="23">
        <f t="shared" si="15"/>
        <v>406691.36853576801</v>
      </c>
      <c r="D145" s="21">
        <f t="shared" si="11"/>
        <v>4417.4004774456516</v>
      </c>
      <c r="E145" s="21">
        <f t="shared" si="12"/>
        <v>553.14164657965784</v>
      </c>
      <c r="F145" s="21">
        <f t="shared" si="13"/>
        <v>3864.2588308659938</v>
      </c>
      <c r="G145" s="21">
        <f t="shared" si="14"/>
        <v>0</v>
      </c>
    </row>
    <row r="146" spans="2:7" ht="16.8" customHeight="1" x14ac:dyDescent="0.25">
      <c r="B146" s="20">
        <f t="shared" si="4"/>
        <v>142</v>
      </c>
      <c r="C146" s="23">
        <f t="shared" si="15"/>
        <v>406132.97824264044</v>
      </c>
      <c r="D146" s="21">
        <f t="shared" si="11"/>
        <v>4417.4004774456516</v>
      </c>
      <c r="E146" s="21">
        <f t="shared" si="12"/>
        <v>558.39029312754656</v>
      </c>
      <c r="F146" s="21">
        <f t="shared" si="13"/>
        <v>3859.0101843181051</v>
      </c>
      <c r="G146" s="21">
        <f t="shared" si="14"/>
        <v>0</v>
      </c>
    </row>
    <row r="147" spans="2:7" ht="16.8" customHeight="1" x14ac:dyDescent="0.25">
      <c r="B147" s="20">
        <f t="shared" si="4"/>
        <v>143</v>
      </c>
      <c r="C147" s="23">
        <f t="shared" si="15"/>
        <v>405569.28949964471</v>
      </c>
      <c r="D147" s="21">
        <f t="shared" si="11"/>
        <v>4417.4004774456507</v>
      </c>
      <c r="E147" s="21">
        <f t="shared" si="12"/>
        <v>563.68874299571416</v>
      </c>
      <c r="F147" s="21">
        <f t="shared" si="13"/>
        <v>3853.7117344499366</v>
      </c>
      <c r="G147" s="21">
        <f t="shared" si="14"/>
        <v>0</v>
      </c>
    </row>
    <row r="148" spans="2:7" ht="16.8" customHeight="1" x14ac:dyDescent="0.25">
      <c r="B148" s="20">
        <f t="shared" si="4"/>
        <v>144</v>
      </c>
      <c r="C148" s="23">
        <f t="shared" si="15"/>
        <v>405000.25203088718</v>
      </c>
      <c r="D148" s="21">
        <f t="shared" si="11"/>
        <v>4417.4004774456507</v>
      </c>
      <c r="E148" s="21">
        <f t="shared" si="12"/>
        <v>569.03746875755633</v>
      </c>
      <c r="F148" s="21">
        <f t="shared" si="13"/>
        <v>3848.3630086880944</v>
      </c>
      <c r="G148" s="21">
        <f t="shared" si="14"/>
        <v>0</v>
      </c>
    </row>
    <row r="149" spans="2:7" ht="16.8" customHeight="1" x14ac:dyDescent="0.25">
      <c r="B149" s="20">
        <f t="shared" si="4"/>
        <v>145</v>
      </c>
      <c r="C149" s="23">
        <f t="shared" si="15"/>
        <v>404425.81508341659</v>
      </c>
      <c r="D149" s="21">
        <f t="shared" si="11"/>
        <v>4417.4004774456507</v>
      </c>
      <c r="E149" s="21">
        <f t="shared" si="12"/>
        <v>574.43694747061545</v>
      </c>
      <c r="F149" s="21">
        <f t="shared" si="13"/>
        <v>3842.9635299750353</v>
      </c>
      <c r="G149" s="21">
        <f t="shared" si="14"/>
        <v>0</v>
      </c>
    </row>
    <row r="150" spans="2:7" ht="16.8" customHeight="1" x14ac:dyDescent="0.25">
      <c r="B150" s="20">
        <f t="shared" si="4"/>
        <v>146</v>
      </c>
      <c r="C150" s="23">
        <f t="shared" si="15"/>
        <v>403845.92742269742</v>
      </c>
      <c r="D150" s="21">
        <f t="shared" si="11"/>
        <v>4417.4004774456516</v>
      </c>
      <c r="E150" s="21">
        <f t="shared" si="12"/>
        <v>579.88766071913915</v>
      </c>
      <c r="F150" s="21">
        <f t="shared" si="13"/>
        <v>3837.5128167265125</v>
      </c>
      <c r="G150" s="21">
        <f t="shared" si="14"/>
        <v>0</v>
      </c>
    </row>
    <row r="151" spans="2:7" ht="16.8" customHeight="1" x14ac:dyDescent="0.25">
      <c r="B151" s="20">
        <f t="shared" si="4"/>
        <v>147</v>
      </c>
      <c r="C151" s="23">
        <f t="shared" si="15"/>
        <v>403260.5373280404</v>
      </c>
      <c r="D151" s="21">
        <f t="shared" si="11"/>
        <v>4417.4004774456507</v>
      </c>
      <c r="E151" s="21">
        <f t="shared" si="12"/>
        <v>585.39009465702202</v>
      </c>
      <c r="F151" s="21">
        <f t="shared" si="13"/>
        <v>3832.0103827886287</v>
      </c>
      <c r="G151" s="21">
        <f t="shared" si="14"/>
        <v>0</v>
      </c>
    </row>
    <row r="152" spans="2:7" ht="16.8" customHeight="1" x14ac:dyDescent="0.25">
      <c r="B152" s="20">
        <f t="shared" si="4"/>
        <v>148</v>
      </c>
      <c r="C152" s="23">
        <f t="shared" si="15"/>
        <v>402669.59258798923</v>
      </c>
      <c r="D152" s="21">
        <f t="shared" si="11"/>
        <v>4417.4004774456507</v>
      </c>
      <c r="E152" s="21">
        <f t="shared" si="12"/>
        <v>590.94474005117854</v>
      </c>
      <c r="F152" s="21">
        <f t="shared" si="13"/>
        <v>3826.4557373944722</v>
      </c>
      <c r="G152" s="21">
        <f t="shared" si="14"/>
        <v>0</v>
      </c>
    </row>
    <row r="153" spans="2:7" ht="16.8" customHeight="1" x14ac:dyDescent="0.25">
      <c r="B153" s="20">
        <f t="shared" si="4"/>
        <v>149</v>
      </c>
      <c r="C153" s="23">
        <f t="shared" si="15"/>
        <v>402073.04049566394</v>
      </c>
      <c r="D153" s="21">
        <f t="shared" si="11"/>
        <v>4417.4004774456507</v>
      </c>
      <c r="E153" s="21">
        <f t="shared" si="12"/>
        <v>596.55209232530478</v>
      </c>
      <c r="F153" s="21">
        <f t="shared" si="13"/>
        <v>3820.8483851203459</v>
      </c>
      <c r="G153" s="21">
        <f t="shared" si="14"/>
        <v>0</v>
      </c>
    </row>
    <row r="154" spans="2:7" ht="16.8" customHeight="1" x14ac:dyDescent="0.25">
      <c r="B154" s="20">
        <f t="shared" si="4"/>
        <v>150</v>
      </c>
      <c r="C154" s="23">
        <f t="shared" si="15"/>
        <v>401470.82784405985</v>
      </c>
      <c r="D154" s="21">
        <f t="shared" si="11"/>
        <v>4417.4004774456507</v>
      </c>
      <c r="E154" s="21">
        <f t="shared" si="12"/>
        <v>602.21265160407211</v>
      </c>
      <c r="F154" s="21">
        <f t="shared" si="13"/>
        <v>3815.1878258415786</v>
      </c>
      <c r="G154" s="21">
        <f t="shared" si="14"/>
        <v>0</v>
      </c>
    </row>
    <row r="155" spans="2:7" ht="16.8" customHeight="1" x14ac:dyDescent="0.25">
      <c r="B155" s="20">
        <f t="shared" si="4"/>
        <v>151</v>
      </c>
      <c r="C155" s="23">
        <f t="shared" si="15"/>
        <v>400862.90092130215</v>
      </c>
      <c r="D155" s="21">
        <f t="shared" si="11"/>
        <v>4417.4004774456507</v>
      </c>
      <c r="E155" s="21">
        <f t="shared" si="12"/>
        <v>607.92692275772924</v>
      </c>
      <c r="F155" s="21">
        <f t="shared" si="13"/>
        <v>3809.4735546879215</v>
      </c>
      <c r="G155" s="21">
        <f t="shared" si="14"/>
        <v>0</v>
      </c>
    </row>
    <row r="156" spans="2:7" ht="16.8" customHeight="1" x14ac:dyDescent="0.25">
      <c r="B156" s="20">
        <f t="shared" si="4"/>
        <v>152</v>
      </c>
      <c r="C156" s="23">
        <f t="shared" si="15"/>
        <v>400249.20550585503</v>
      </c>
      <c r="D156" s="21">
        <f t="shared" si="11"/>
        <v>4417.4004774456516</v>
      </c>
      <c r="E156" s="21">
        <f t="shared" si="12"/>
        <v>613.69541544713638</v>
      </c>
      <c r="F156" s="21">
        <f t="shared" si="13"/>
        <v>3803.7050619985152</v>
      </c>
      <c r="G156" s="21">
        <f t="shared" si="14"/>
        <v>0</v>
      </c>
    </row>
    <row r="157" spans="2:7" ht="16.8" customHeight="1" x14ac:dyDescent="0.25">
      <c r="B157" s="20">
        <f t="shared" si="4"/>
        <v>153</v>
      </c>
      <c r="C157" s="23">
        <f t="shared" si="15"/>
        <v>399629.68686168583</v>
      </c>
      <c r="D157" s="21">
        <f t="shared" si="11"/>
        <v>4417.4004774456516</v>
      </c>
      <c r="E157" s="21">
        <f t="shared" si="12"/>
        <v>619.51864416921671</v>
      </c>
      <c r="F157" s="21">
        <f t="shared" si="13"/>
        <v>3797.8818332764349</v>
      </c>
      <c r="G157" s="21">
        <f t="shared" si="14"/>
        <v>0</v>
      </c>
    </row>
    <row r="158" spans="2:7" ht="16.8" customHeight="1" x14ac:dyDescent="0.25">
      <c r="B158" s="20">
        <f t="shared" si="4"/>
        <v>154</v>
      </c>
      <c r="C158" s="23">
        <f t="shared" si="15"/>
        <v>399004.28973338299</v>
      </c>
      <c r="D158" s="21">
        <f t="shared" si="11"/>
        <v>4417.4004774456525</v>
      </c>
      <c r="E158" s="21">
        <f t="shared" si="12"/>
        <v>625.39712830285316</v>
      </c>
      <c r="F158" s="21">
        <f t="shared" si="13"/>
        <v>3792.0033491427994</v>
      </c>
      <c r="G158" s="21">
        <f t="shared" si="14"/>
        <v>0</v>
      </c>
    </row>
    <row r="159" spans="2:7" ht="16.8" customHeight="1" x14ac:dyDescent="0.25">
      <c r="B159" s="20">
        <f t="shared" si="4"/>
        <v>155</v>
      </c>
      <c r="C159" s="23">
        <f t="shared" si="15"/>
        <v>398372.95834122779</v>
      </c>
      <c r="D159" s="21">
        <f t="shared" si="11"/>
        <v>4417.4004774456525</v>
      </c>
      <c r="E159" s="21">
        <f t="shared" si="12"/>
        <v>631.33139215520168</v>
      </c>
      <c r="F159" s="21">
        <f t="shared" si="13"/>
        <v>3786.0690852904509</v>
      </c>
      <c r="G159" s="21">
        <f t="shared" si="14"/>
        <v>0</v>
      </c>
    </row>
    <row r="160" spans="2:7" ht="16.8" customHeight="1" x14ac:dyDescent="0.25">
      <c r="B160" s="20">
        <f t="shared" si="4"/>
        <v>156</v>
      </c>
      <c r="C160" s="23">
        <f t="shared" si="15"/>
        <v>397735.63637621934</v>
      </c>
      <c r="D160" s="21">
        <f t="shared" si="11"/>
        <v>4417.4004774456525</v>
      </c>
      <c r="E160" s="21">
        <f t="shared" si="12"/>
        <v>637.3219650084643</v>
      </c>
      <c r="F160" s="21">
        <f t="shared" si="13"/>
        <v>3780.0785124371882</v>
      </c>
      <c r="G160" s="21">
        <f t="shared" si="14"/>
        <v>0</v>
      </c>
    </row>
    <row r="161" spans="2:7" ht="16.8" customHeight="1" x14ac:dyDescent="0.25">
      <c r="B161" s="20">
        <f t="shared" si="4"/>
        <v>157</v>
      </c>
      <c r="C161" s="23">
        <f t="shared" si="15"/>
        <v>397092.26699505222</v>
      </c>
      <c r="D161" s="21">
        <f t="shared" si="11"/>
        <v>4417.4004774456525</v>
      </c>
      <c r="E161" s="21">
        <f t="shared" si="12"/>
        <v>643.36938116709098</v>
      </c>
      <c r="F161" s="21">
        <f t="shared" si="13"/>
        <v>3774.0310962785616</v>
      </c>
      <c r="G161" s="21">
        <f t="shared" si="14"/>
        <v>0</v>
      </c>
    </row>
    <row r="162" spans="2:7" ht="16.8" customHeight="1" x14ac:dyDescent="0.25">
      <c r="B162" s="20">
        <f t="shared" si="4"/>
        <v>158</v>
      </c>
      <c r="C162" s="23">
        <f t="shared" si="15"/>
        <v>396442.79281504679</v>
      </c>
      <c r="D162" s="21">
        <f t="shared" si="11"/>
        <v>4417.4004774456525</v>
      </c>
      <c r="E162" s="21">
        <f t="shared" si="12"/>
        <v>649.47418000543666</v>
      </c>
      <c r="F162" s="21">
        <f t="shared" si="13"/>
        <v>3767.9262974402159</v>
      </c>
      <c r="G162" s="21">
        <f t="shared" si="14"/>
        <v>0</v>
      </c>
    </row>
    <row r="163" spans="2:7" ht="16.8" customHeight="1" x14ac:dyDescent="0.25">
      <c r="B163" s="20">
        <f t="shared" si="4"/>
        <v>159</v>
      </c>
      <c r="C163" s="23">
        <f t="shared" si="15"/>
        <v>395787.15590903093</v>
      </c>
      <c r="D163" s="21">
        <f t="shared" si="11"/>
        <v>4417.4004774456516</v>
      </c>
      <c r="E163" s="21">
        <f t="shared" si="12"/>
        <v>655.63690601586541</v>
      </c>
      <c r="F163" s="21">
        <f t="shared" si="13"/>
        <v>3761.7635714297862</v>
      </c>
      <c r="G163" s="21">
        <f t="shared" si="14"/>
        <v>0</v>
      </c>
    </row>
    <row r="164" spans="2:7" ht="16.8" customHeight="1" x14ac:dyDescent="0.25">
      <c r="B164" s="20">
        <f t="shared" si="4"/>
        <v>160</v>
      </c>
      <c r="C164" s="23">
        <f t="shared" si="15"/>
        <v>395125.29780017363</v>
      </c>
      <c r="D164" s="21">
        <f t="shared" si="11"/>
        <v>4417.4004774456516</v>
      </c>
      <c r="E164" s="21">
        <f t="shared" si="12"/>
        <v>661.85810885732053</v>
      </c>
      <c r="F164" s="21">
        <f t="shared" si="13"/>
        <v>3755.5423685883311</v>
      </c>
      <c r="G164" s="21">
        <f t="shared" si="14"/>
        <v>0</v>
      </c>
    </row>
    <row r="165" spans="2:7" ht="16.8" customHeight="1" x14ac:dyDescent="0.25">
      <c r="B165" s="20">
        <f t="shared" si="4"/>
        <v>161</v>
      </c>
      <c r="C165" s="23">
        <f t="shared" si="15"/>
        <v>394457.1594567693</v>
      </c>
      <c r="D165" s="21">
        <f t="shared" si="11"/>
        <v>4417.4004774456525</v>
      </c>
      <c r="E165" s="21">
        <f t="shared" si="12"/>
        <v>668.13834340434323</v>
      </c>
      <c r="F165" s="21">
        <f t="shared" si="13"/>
        <v>3749.2621340413093</v>
      </c>
      <c r="G165" s="21">
        <f t="shared" si="14"/>
        <v>0</v>
      </c>
    </row>
    <row r="166" spans="2:7" ht="16.8" customHeight="1" x14ac:dyDescent="0.25">
      <c r="B166" s="20">
        <f t="shared" si="4"/>
        <v>162</v>
      </c>
      <c r="C166" s="23">
        <f t="shared" si="15"/>
        <v>393782.68128697271</v>
      </c>
      <c r="D166" s="21">
        <f t="shared" si="11"/>
        <v>4417.4004774456525</v>
      </c>
      <c r="E166" s="21">
        <f t="shared" si="12"/>
        <v>674.47816979656227</v>
      </c>
      <c r="F166" s="21">
        <f t="shared" si="13"/>
        <v>3742.9223076490903</v>
      </c>
      <c r="G166" s="21">
        <f t="shared" si="14"/>
        <v>0</v>
      </c>
    </row>
    <row r="167" spans="2:7" ht="16.8" customHeight="1" x14ac:dyDescent="0.25">
      <c r="B167" s="20">
        <f t="shared" si="4"/>
        <v>163</v>
      </c>
      <c r="C167" s="23">
        <f t="shared" si="15"/>
        <v>393101.80313348403</v>
      </c>
      <c r="D167" s="21">
        <f t="shared" si="11"/>
        <v>4417.4004774456525</v>
      </c>
      <c r="E167" s="21">
        <f t="shared" si="12"/>
        <v>680.87815348865843</v>
      </c>
      <c r="F167" s="21">
        <f t="shared" si="13"/>
        <v>3736.5223239569941</v>
      </c>
      <c r="G167" s="21">
        <f t="shared" si="14"/>
        <v>0</v>
      </c>
    </row>
    <row r="168" spans="2:7" ht="16.8" customHeight="1" x14ac:dyDescent="0.25">
      <c r="B168" s="20">
        <f t="shared" si="4"/>
        <v>164</v>
      </c>
      <c r="C168" s="23">
        <f t="shared" si="15"/>
        <v>392414.46426818322</v>
      </c>
      <c r="D168" s="21">
        <f t="shared" si="11"/>
        <v>4417.4004774456516</v>
      </c>
      <c r="E168" s="21">
        <f t="shared" si="12"/>
        <v>687.3388653007928</v>
      </c>
      <c r="F168" s="21">
        <f t="shared" si="13"/>
        <v>3730.0616121448588</v>
      </c>
      <c r="G168" s="21">
        <f t="shared" si="14"/>
        <v>0</v>
      </c>
    </row>
    <row r="169" spans="2:7" ht="16.8" customHeight="1" x14ac:dyDescent="0.25">
      <c r="B169" s="20">
        <f t="shared" si="4"/>
        <v>165</v>
      </c>
      <c r="C169" s="23">
        <f t="shared" si="15"/>
        <v>391720.60338671372</v>
      </c>
      <c r="D169" s="21">
        <f t="shared" si="11"/>
        <v>4417.4004774456516</v>
      </c>
      <c r="E169" s="21">
        <f t="shared" si="12"/>
        <v>693.86088146952352</v>
      </c>
      <c r="F169" s="21">
        <f t="shared" si="13"/>
        <v>3723.5395959761281</v>
      </c>
      <c r="G169" s="21">
        <f t="shared" si="14"/>
        <v>0</v>
      </c>
    </row>
    <row r="170" spans="2:7" ht="16.8" customHeight="1" x14ac:dyDescent="0.25">
      <c r="B170" s="20">
        <f t="shared" si="4"/>
        <v>166</v>
      </c>
      <c r="C170" s="23">
        <f t="shared" si="15"/>
        <v>391020.15860301454</v>
      </c>
      <c r="D170" s="21">
        <f t="shared" si="11"/>
        <v>4417.4004774456525</v>
      </c>
      <c r="E170" s="21">
        <f t="shared" si="12"/>
        <v>700.4447836991958</v>
      </c>
      <c r="F170" s="21">
        <f t="shared" si="13"/>
        <v>3716.9556937464567</v>
      </c>
      <c r="G170" s="21">
        <f t="shared" si="14"/>
        <v>0</v>
      </c>
    </row>
    <row r="171" spans="2:7" ht="16.8" customHeight="1" x14ac:dyDescent="0.25">
      <c r="B171" s="20">
        <f t="shared" si="4"/>
        <v>167</v>
      </c>
      <c r="C171" s="23">
        <f t="shared" si="15"/>
        <v>390313.06744380074</v>
      </c>
      <c r="D171" s="21">
        <f t="shared" si="11"/>
        <v>4417.4004774456525</v>
      </c>
      <c r="E171" s="21">
        <f t="shared" si="12"/>
        <v>707.09115921382636</v>
      </c>
      <c r="F171" s="21">
        <f t="shared" si="13"/>
        <v>3710.3093182318262</v>
      </c>
      <c r="G171" s="21">
        <f t="shared" si="14"/>
        <v>0</v>
      </c>
    </row>
    <row r="172" spans="2:7" ht="16.8" customHeight="1" x14ac:dyDescent="0.25">
      <c r="B172" s="20">
        <f t="shared" si="4"/>
        <v>168</v>
      </c>
      <c r="C172" s="23">
        <f t="shared" si="15"/>
        <v>389599.26684299129</v>
      </c>
      <c r="D172" s="21">
        <f t="shared" si="11"/>
        <v>4417.4004774456525</v>
      </c>
      <c r="E172" s="21">
        <f t="shared" si="12"/>
        <v>713.80060080948033</v>
      </c>
      <c r="F172" s="21">
        <f t="shared" si="13"/>
        <v>3703.5998766361722</v>
      </c>
      <c r="G172" s="21">
        <f t="shared" si="14"/>
        <v>0</v>
      </c>
    </row>
    <row r="173" spans="2:7" ht="16.8" customHeight="1" x14ac:dyDescent="0.25">
      <c r="B173" s="20">
        <f t="shared" si="4"/>
        <v>169</v>
      </c>
      <c r="C173" s="23">
        <f t="shared" si="15"/>
        <v>388878.69313608413</v>
      </c>
      <c r="D173" s="21">
        <f t="shared" si="11"/>
        <v>4417.4004774456525</v>
      </c>
      <c r="E173" s="21">
        <f t="shared" si="12"/>
        <v>720.57370690714197</v>
      </c>
      <c r="F173" s="21">
        <f t="shared" si="13"/>
        <v>3696.8267705385106</v>
      </c>
      <c r="G173" s="21">
        <f t="shared" si="14"/>
        <v>0</v>
      </c>
    </row>
    <row r="174" spans="2:7" ht="16.8" customHeight="1" x14ac:dyDescent="0.25">
      <c r="B174" s="20">
        <f t="shared" si="4"/>
        <v>170</v>
      </c>
      <c r="C174" s="23">
        <f t="shared" si="15"/>
        <v>388151.28205447801</v>
      </c>
      <c r="D174" s="21">
        <f t="shared" si="11"/>
        <v>4417.4004774456525</v>
      </c>
      <c r="E174" s="21">
        <f t="shared" si="12"/>
        <v>727.41108160608928</v>
      </c>
      <c r="F174" s="21">
        <f t="shared" si="13"/>
        <v>3689.9893958395633</v>
      </c>
      <c r="G174" s="21">
        <f t="shared" si="14"/>
        <v>0</v>
      </c>
    </row>
    <row r="175" spans="2:7" ht="16.8" customHeight="1" x14ac:dyDescent="0.25">
      <c r="B175" s="20">
        <f t="shared" si="4"/>
        <v>171</v>
      </c>
      <c r="C175" s="23">
        <f t="shared" si="15"/>
        <v>387416.96871974022</v>
      </c>
      <c r="D175" s="21">
        <f t="shared" si="11"/>
        <v>4417.4004774456525</v>
      </c>
      <c r="E175" s="21">
        <f t="shared" si="12"/>
        <v>734.31333473777067</v>
      </c>
      <c r="F175" s="21">
        <f t="shared" si="13"/>
        <v>3683.0871427078819</v>
      </c>
      <c r="G175" s="21">
        <f t="shared" si="14"/>
        <v>0</v>
      </c>
    </row>
    <row r="176" spans="2:7" ht="16.8" customHeight="1" x14ac:dyDescent="0.25">
      <c r="B176" s="20">
        <f t="shared" si="4"/>
        <v>172</v>
      </c>
      <c r="C176" s="23">
        <f t="shared" si="15"/>
        <v>386675.68763782002</v>
      </c>
      <c r="D176" s="21">
        <f t="shared" si="11"/>
        <v>4417.4004774456516</v>
      </c>
      <c r="E176" s="21">
        <f t="shared" si="12"/>
        <v>741.28108192019954</v>
      </c>
      <c r="F176" s="21">
        <f t="shared" si="13"/>
        <v>3676.1193955254521</v>
      </c>
      <c r="G176" s="21">
        <f t="shared" si="14"/>
        <v>0</v>
      </c>
    </row>
    <row r="177" spans="2:7" ht="16.8" customHeight="1" x14ac:dyDescent="0.25">
      <c r="B177" s="20">
        <f t="shared" si="4"/>
        <v>173</v>
      </c>
      <c r="C177" s="23">
        <f t="shared" si="15"/>
        <v>385927.37269320717</v>
      </c>
      <c r="D177" s="21">
        <f t="shared" si="11"/>
        <v>4417.4004774456516</v>
      </c>
      <c r="E177" s="21">
        <f t="shared" si="12"/>
        <v>748.31494461286411</v>
      </c>
      <c r="F177" s="21">
        <f t="shared" si="13"/>
        <v>3669.0855328327875</v>
      </c>
      <c r="G177" s="21">
        <f t="shared" si="14"/>
        <v>0</v>
      </c>
    </row>
    <row r="178" spans="2:7" ht="16.8" customHeight="1" x14ac:dyDescent="0.25">
      <c r="B178" s="20">
        <f t="shared" si="4"/>
        <v>174</v>
      </c>
      <c r="C178" s="23">
        <f t="shared" si="15"/>
        <v>385171.95714303502</v>
      </c>
      <c r="D178" s="21">
        <f t="shared" si="11"/>
        <v>4417.4004774456516</v>
      </c>
      <c r="E178" s="21">
        <f t="shared" si="12"/>
        <v>755.41555017214932</v>
      </c>
      <c r="F178" s="21">
        <f t="shared" si="13"/>
        <v>3661.9849272735023</v>
      </c>
      <c r="G178" s="21">
        <f t="shared" si="14"/>
        <v>0</v>
      </c>
    </row>
    <row r="179" spans="2:7" ht="16.8" customHeight="1" x14ac:dyDescent="0.25">
      <c r="B179" s="20">
        <f t="shared" si="4"/>
        <v>175</v>
      </c>
      <c r="C179" s="23">
        <f t="shared" si="15"/>
        <v>384409.37361112772</v>
      </c>
      <c r="D179" s="21">
        <f t="shared" si="11"/>
        <v>4417.4004774456525</v>
      </c>
      <c r="E179" s="21">
        <f t="shared" si="12"/>
        <v>762.58353190729804</v>
      </c>
      <c r="F179" s="21">
        <f t="shared" si="13"/>
        <v>3654.8169455383545</v>
      </c>
      <c r="G179" s="21">
        <f t="shared" si="14"/>
        <v>0</v>
      </c>
    </row>
    <row r="180" spans="2:7" ht="16.8" customHeight="1" x14ac:dyDescent="0.25">
      <c r="B180" s="20">
        <f t="shared" si="4"/>
        <v>176</v>
      </c>
      <c r="C180" s="23">
        <f t="shared" si="15"/>
        <v>383639.55408199085</v>
      </c>
      <c r="D180" s="21">
        <f t="shared" si="11"/>
        <v>4417.4004774456525</v>
      </c>
      <c r="E180" s="21">
        <f t="shared" si="12"/>
        <v>769.81952913688929</v>
      </c>
      <c r="F180" s="21">
        <f t="shared" si="13"/>
        <v>3647.5809483087633</v>
      </c>
      <c r="G180" s="21">
        <f t="shared" si="14"/>
        <v>0</v>
      </c>
    </row>
    <row r="181" spans="2:7" ht="16.8" customHeight="1" x14ac:dyDescent="0.25">
      <c r="B181" s="20">
        <f t="shared" si="4"/>
        <v>177</v>
      </c>
      <c r="C181" s="23">
        <f t="shared" si="15"/>
        <v>382862.429894745</v>
      </c>
      <c r="D181" s="21">
        <f t="shared" si="11"/>
        <v>4417.4004774456525</v>
      </c>
      <c r="E181" s="21">
        <f t="shared" si="12"/>
        <v>777.12418724586769</v>
      </c>
      <c r="F181" s="21">
        <f t="shared" si="13"/>
        <v>3640.2762901997849</v>
      </c>
      <c r="G181" s="21">
        <f t="shared" si="14"/>
        <v>0</v>
      </c>
    </row>
    <row r="182" spans="2:7" ht="16.8" customHeight="1" x14ac:dyDescent="0.25">
      <c r="B182" s="20">
        <f t="shared" si="4"/>
        <v>178</v>
      </c>
      <c r="C182" s="23">
        <f t="shared" si="15"/>
        <v>382077.93173700193</v>
      </c>
      <c r="D182" s="21">
        <f t="shared" si="11"/>
        <v>4417.4004774456525</v>
      </c>
      <c r="E182" s="21">
        <f t="shared" si="12"/>
        <v>784.49815774309945</v>
      </c>
      <c r="F182" s="21">
        <f t="shared" si="13"/>
        <v>3632.9023197025531</v>
      </c>
      <c r="G182" s="21">
        <f t="shared" si="14"/>
        <v>0</v>
      </c>
    </row>
    <row r="183" spans="2:7" ht="16.8" customHeight="1" x14ac:dyDescent="0.25">
      <c r="B183" s="20">
        <f t="shared" si="4"/>
        <v>179</v>
      </c>
      <c r="C183" s="23">
        <f t="shared" si="15"/>
        <v>381285.98963868245</v>
      </c>
      <c r="D183" s="21">
        <f t="shared" si="11"/>
        <v>4417.4004774456535</v>
      </c>
      <c r="E183" s="21">
        <f t="shared" si="12"/>
        <v>791.94209831948638</v>
      </c>
      <c r="F183" s="21">
        <f t="shared" si="13"/>
        <v>3625.4583791261671</v>
      </c>
      <c r="G183" s="21">
        <f t="shared" si="14"/>
        <v>0</v>
      </c>
    </row>
    <row r="184" spans="2:7" ht="16.8" customHeight="1" x14ac:dyDescent="0.25">
      <c r="B184" s="20">
        <f t="shared" si="4"/>
        <v>180</v>
      </c>
      <c r="C184" s="23">
        <f t="shared" si="15"/>
        <v>380486.53296577581</v>
      </c>
      <c r="D184" s="21">
        <f t="shared" si="11"/>
        <v>4417.4004774456525</v>
      </c>
      <c r="E184" s="21">
        <f t="shared" si="12"/>
        <v>799.45667290661822</v>
      </c>
      <c r="F184" s="21">
        <f t="shared" si="13"/>
        <v>3617.9438045390343</v>
      </c>
      <c r="G184" s="21">
        <f t="shared" si="14"/>
        <v>0</v>
      </c>
    </row>
    <row r="185" spans="2:7" ht="16.8" customHeight="1" x14ac:dyDescent="0.25">
      <c r="B185" s="20">
        <f t="shared" si="4"/>
        <v>181</v>
      </c>
      <c r="C185" s="23">
        <f t="shared" si="15"/>
        <v>379679.49041403981</v>
      </c>
      <c r="D185" s="21">
        <f t="shared" si="11"/>
        <v>4417.4004774456525</v>
      </c>
      <c r="E185" s="21">
        <f t="shared" si="12"/>
        <v>807.04255173599995</v>
      </c>
      <c r="F185" s="21">
        <f t="shared" si="13"/>
        <v>3610.3579257096526</v>
      </c>
      <c r="G185" s="21">
        <f t="shared" si="14"/>
        <v>0</v>
      </c>
    </row>
    <row r="186" spans="2:7" ht="16.8" customHeight="1" x14ac:dyDescent="0.25">
      <c r="B186" s="20">
        <f t="shared" si="4"/>
        <v>182</v>
      </c>
      <c r="C186" s="23">
        <f t="shared" si="15"/>
        <v>378864.79000264098</v>
      </c>
      <c r="D186" s="21">
        <f t="shared" si="11"/>
        <v>4417.4004774456535</v>
      </c>
      <c r="E186" s="21">
        <f t="shared" si="12"/>
        <v>814.70041139882142</v>
      </c>
      <c r="F186" s="21">
        <f t="shared" si="13"/>
        <v>3602.700066046832</v>
      </c>
      <c r="G186" s="21">
        <f t="shared" si="14"/>
        <v>0</v>
      </c>
    </row>
    <row r="187" spans="2:7" ht="16.8" customHeight="1" x14ac:dyDescent="0.25">
      <c r="B187" s="20">
        <f t="shared" si="4"/>
        <v>183</v>
      </c>
      <c r="C187" s="23">
        <f t="shared" si="15"/>
        <v>378042.35906773468</v>
      </c>
      <c r="D187" s="21">
        <f t="shared" si="11"/>
        <v>4417.4004774456525</v>
      </c>
      <c r="E187" s="21">
        <f t="shared" si="12"/>
        <v>822.43093490630372</v>
      </c>
      <c r="F187" s="21">
        <f t="shared" si="13"/>
        <v>3594.9695425393488</v>
      </c>
      <c r="G187" s="21">
        <f t="shared" si="14"/>
        <v>0</v>
      </c>
    </row>
    <row r="188" spans="2:7" ht="16.8" customHeight="1" x14ac:dyDescent="0.25">
      <c r="B188" s="20">
        <f t="shared" si="4"/>
        <v>184</v>
      </c>
      <c r="C188" s="23">
        <f t="shared" si="15"/>
        <v>377212.12425598403</v>
      </c>
      <c r="D188" s="21">
        <f t="shared" si="11"/>
        <v>4417.4004774456525</v>
      </c>
      <c r="E188" s="21">
        <f t="shared" si="12"/>
        <v>830.23481175062489</v>
      </c>
      <c r="F188" s="21">
        <f t="shared" si="13"/>
        <v>3587.1656656950277</v>
      </c>
      <c r="G188" s="21">
        <f t="shared" si="14"/>
        <v>0</v>
      </c>
    </row>
    <row r="189" spans="2:7" ht="16.8" customHeight="1" x14ac:dyDescent="0.25">
      <c r="B189" s="20">
        <f t="shared" si="4"/>
        <v>185</v>
      </c>
      <c r="C189" s="23">
        <f t="shared" si="15"/>
        <v>376374.01151801762</v>
      </c>
      <c r="D189" s="21">
        <f t="shared" si="11"/>
        <v>4417.4004774456525</v>
      </c>
      <c r="E189" s="21">
        <f t="shared" si="12"/>
        <v>838.11273796640944</v>
      </c>
      <c r="F189" s="21">
        <f t="shared" si="13"/>
        <v>3579.2877394792431</v>
      </c>
      <c r="G189" s="21">
        <f t="shared" si="14"/>
        <v>0</v>
      </c>
    </row>
    <row r="190" spans="2:7" ht="16.8" customHeight="1" x14ac:dyDescent="0.25">
      <c r="B190" s="20">
        <f t="shared" si="4"/>
        <v>186</v>
      </c>
      <c r="C190" s="23">
        <f t="shared" si="15"/>
        <v>375527.94610182481</v>
      </c>
      <c r="D190" s="21">
        <f t="shared" si="11"/>
        <v>4417.4004774456525</v>
      </c>
      <c r="E190" s="21">
        <f t="shared" si="12"/>
        <v>846.06541619280915</v>
      </c>
      <c r="F190" s="21">
        <f t="shared" si="13"/>
        <v>3571.3350612528434</v>
      </c>
      <c r="G190" s="21">
        <f t="shared" si="14"/>
        <v>0</v>
      </c>
    </row>
    <row r="191" spans="2:7" ht="16.8" customHeight="1" x14ac:dyDescent="0.25">
      <c r="B191" s="20">
        <f t="shared" si="4"/>
        <v>187</v>
      </c>
      <c r="C191" s="23">
        <f t="shared" si="15"/>
        <v>374673.85254608863</v>
      </c>
      <c r="D191" s="21">
        <f t="shared" si="11"/>
        <v>4417.4004774456525</v>
      </c>
      <c r="E191" s="21">
        <f t="shared" si="12"/>
        <v>854.09355573617449</v>
      </c>
      <c r="F191" s="21">
        <f t="shared" si="13"/>
        <v>3563.306921709478</v>
      </c>
      <c r="G191" s="21">
        <f t="shared" si="14"/>
        <v>0</v>
      </c>
    </row>
    <row r="192" spans="2:7" ht="16.8" customHeight="1" x14ac:dyDescent="0.25">
      <c r="B192" s="20">
        <f t="shared" si="4"/>
        <v>188</v>
      </c>
      <c r="C192" s="23">
        <f t="shared" si="15"/>
        <v>373811.65467345534</v>
      </c>
      <c r="D192" s="21">
        <f t="shared" si="11"/>
        <v>4417.4004774456525</v>
      </c>
      <c r="E192" s="21">
        <f t="shared" si="12"/>
        <v>862.19787263331682</v>
      </c>
      <c r="F192" s="21">
        <f t="shared" si="13"/>
        <v>3555.2026048123357</v>
      </c>
      <c r="G192" s="21">
        <f t="shared" si="14"/>
        <v>0</v>
      </c>
    </row>
    <row r="193" spans="2:7" ht="16.8" customHeight="1" x14ac:dyDescent="0.25">
      <c r="B193" s="20">
        <f t="shared" si="4"/>
        <v>189</v>
      </c>
      <c r="C193" s="23">
        <f t="shared" si="15"/>
        <v>372941.27558373997</v>
      </c>
      <c r="D193" s="21">
        <f t="shared" si="11"/>
        <v>4417.4004774456525</v>
      </c>
      <c r="E193" s="21">
        <f t="shared" si="12"/>
        <v>870.37908971537217</v>
      </c>
      <c r="F193" s="21">
        <f t="shared" si="13"/>
        <v>3547.0213877302804</v>
      </c>
      <c r="G193" s="21">
        <f t="shared" si="14"/>
        <v>0</v>
      </c>
    </row>
    <row r="194" spans="2:7" ht="16.8" customHeight="1" x14ac:dyDescent="0.25">
      <c r="B194" s="20">
        <f t="shared" si="4"/>
        <v>190</v>
      </c>
      <c r="C194" s="23">
        <f t="shared" si="15"/>
        <v>372062.63764706772</v>
      </c>
      <c r="D194" s="21">
        <f t="shared" si="11"/>
        <v>4417.4004774456525</v>
      </c>
      <c r="E194" s="21">
        <f t="shared" si="12"/>
        <v>878.63793667227219</v>
      </c>
      <c r="F194" s="21">
        <f t="shared" si="13"/>
        <v>3538.7625407733804</v>
      </c>
      <c r="G194" s="21">
        <f t="shared" si="14"/>
        <v>0</v>
      </c>
    </row>
    <row r="195" spans="2:7" ht="16.8" customHeight="1" x14ac:dyDescent="0.25">
      <c r="B195" s="20">
        <f t="shared" si="4"/>
        <v>191</v>
      </c>
      <c r="C195" s="23">
        <f t="shared" si="15"/>
        <v>371175.6624969499</v>
      </c>
      <c r="D195" s="21">
        <f t="shared" si="11"/>
        <v>4417.4004774456525</v>
      </c>
      <c r="E195" s="21">
        <f t="shared" si="12"/>
        <v>886.97515011782434</v>
      </c>
      <c r="F195" s="21">
        <f t="shared" si="13"/>
        <v>3530.4253273278282</v>
      </c>
      <c r="G195" s="21">
        <f t="shared" si="14"/>
        <v>0</v>
      </c>
    </row>
    <row r="196" spans="2:7" ht="16.8" customHeight="1" x14ac:dyDescent="0.25">
      <c r="B196" s="20">
        <f t="shared" si="4"/>
        <v>192</v>
      </c>
      <c r="C196" s="23">
        <f t="shared" si="15"/>
        <v>370280.27102329448</v>
      </c>
      <c r="D196" s="21">
        <f t="shared" si="11"/>
        <v>4417.4004774456525</v>
      </c>
      <c r="E196" s="21">
        <f t="shared" si="12"/>
        <v>895.39147365541339</v>
      </c>
      <c r="F196" s="21">
        <f t="shared" si="13"/>
        <v>3522.0090037902391</v>
      </c>
      <c r="G196" s="21">
        <f t="shared" si="14"/>
        <v>0</v>
      </c>
    </row>
    <row r="197" spans="2:7" ht="16.8" customHeight="1" x14ac:dyDescent="0.25">
      <c r="B197" s="20">
        <f t="shared" si="4"/>
        <v>193</v>
      </c>
      <c r="C197" s="23">
        <f t="shared" si="15"/>
        <v>369376.38336535014</v>
      </c>
      <c r="D197" s="21">
        <f t="shared" ref="D197:D260" si="16">IFERROR(-PMT($J$10,$J$11-B196,C196)+G197,0)</f>
        <v>4417.4004774456525</v>
      </c>
      <c r="E197" s="21">
        <f t="shared" ref="E197:E260" si="17">IFERROR(D197-F197-G197,0)</f>
        <v>903.88765794432038</v>
      </c>
      <c r="F197" s="21">
        <f t="shared" ref="F197:F260" si="18">IFERROR(+C196*$J$10,0)</f>
        <v>3513.5128195013322</v>
      </c>
      <c r="G197" s="21">
        <f t="shared" ref="G197:G260" si="19">G196</f>
        <v>0</v>
      </c>
    </row>
    <row r="198" spans="2:7" ht="16.8" customHeight="1" x14ac:dyDescent="0.25">
      <c r="B198" s="20">
        <f t="shared" si="4"/>
        <v>194</v>
      </c>
      <c r="C198" s="23">
        <f t="shared" si="15"/>
        <v>368463.91890458344</v>
      </c>
      <c r="D198" s="21">
        <f t="shared" si="16"/>
        <v>4417.4004774456525</v>
      </c>
      <c r="E198" s="21">
        <f t="shared" si="17"/>
        <v>912.46446076667962</v>
      </c>
      <c r="F198" s="21">
        <f t="shared" si="18"/>
        <v>3504.9360166789729</v>
      </c>
      <c r="G198" s="21">
        <f t="shared" si="19"/>
        <v>0</v>
      </c>
    </row>
    <row r="199" spans="2:7" ht="16.8" customHeight="1" x14ac:dyDescent="0.25">
      <c r="B199" s="20">
        <f t="shared" si="4"/>
        <v>195</v>
      </c>
      <c r="C199" s="23">
        <f t="shared" si="15"/>
        <v>367542.79625748837</v>
      </c>
      <c r="D199" s="21">
        <f t="shared" si="16"/>
        <v>4417.4004774456525</v>
      </c>
      <c r="E199" s="21">
        <f t="shared" si="17"/>
        <v>921.12264709506098</v>
      </c>
      <c r="F199" s="21">
        <f t="shared" si="18"/>
        <v>3496.2778303505916</v>
      </c>
      <c r="G199" s="21">
        <f t="shared" si="19"/>
        <v>0</v>
      </c>
    </row>
    <row r="200" spans="2:7" ht="16.8" customHeight="1" x14ac:dyDescent="0.25">
      <c r="B200" s="20">
        <f t="shared" si="4"/>
        <v>196</v>
      </c>
      <c r="C200" s="23">
        <f t="shared" ref="C200:C263" si="20">IF((IFERROR(C199-E200,0)-H200)&lt;0,0,IFERROR(C199-E200,0)-H200)</f>
        <v>366612.93326832767</v>
      </c>
      <c r="D200" s="21">
        <f t="shared" si="16"/>
        <v>4417.4004774456525</v>
      </c>
      <c r="E200" s="21">
        <f t="shared" si="17"/>
        <v>929.86298916070109</v>
      </c>
      <c r="F200" s="21">
        <f t="shared" si="18"/>
        <v>3487.5374882849515</v>
      </c>
      <c r="G200" s="21">
        <f t="shared" si="19"/>
        <v>0</v>
      </c>
    </row>
    <row r="201" spans="2:7" ht="16.8" customHeight="1" x14ac:dyDescent="0.25">
      <c r="B201" s="20">
        <f t="shared" si="4"/>
        <v>197</v>
      </c>
      <c r="C201" s="23">
        <f t="shared" si="20"/>
        <v>365674.24700180528</v>
      </c>
      <c r="D201" s="21">
        <f t="shared" si="16"/>
        <v>4417.4004774456525</v>
      </c>
      <c r="E201" s="21">
        <f t="shared" si="17"/>
        <v>938.68626652237936</v>
      </c>
      <c r="F201" s="21">
        <f t="shared" si="18"/>
        <v>3478.7142109232732</v>
      </c>
      <c r="G201" s="21">
        <f t="shared" si="19"/>
        <v>0</v>
      </c>
    </row>
    <row r="202" spans="2:7" ht="16.8" customHeight="1" x14ac:dyDescent="0.25">
      <c r="B202" s="20">
        <f t="shared" si="4"/>
        <v>198</v>
      </c>
      <c r="C202" s="23">
        <f t="shared" si="20"/>
        <v>364726.65373566933</v>
      </c>
      <c r="D202" s="21">
        <f t="shared" si="16"/>
        <v>4417.4004774456525</v>
      </c>
      <c r="E202" s="21">
        <f t="shared" si="17"/>
        <v>947.59326613594703</v>
      </c>
      <c r="F202" s="21">
        <f t="shared" si="18"/>
        <v>3469.8072113097055</v>
      </c>
      <c r="G202" s="21">
        <f t="shared" si="19"/>
        <v>0</v>
      </c>
    </row>
    <row r="203" spans="2:7" ht="16.8" customHeight="1" x14ac:dyDescent="0.25">
      <c r="B203" s="20">
        <f t="shared" si="4"/>
        <v>199</v>
      </c>
      <c r="C203" s="23">
        <f t="shared" si="20"/>
        <v>363770.06895324483</v>
      </c>
      <c r="D203" s="21">
        <f t="shared" si="16"/>
        <v>4417.4004774456525</v>
      </c>
      <c r="E203" s="21">
        <f t="shared" si="17"/>
        <v>956.58478242451656</v>
      </c>
      <c r="F203" s="21">
        <f t="shared" si="18"/>
        <v>3460.815695021136</v>
      </c>
      <c r="G203" s="21">
        <f t="shared" si="19"/>
        <v>0</v>
      </c>
    </row>
    <row r="204" spans="2:7" ht="16.8" customHeight="1" x14ac:dyDescent="0.25">
      <c r="B204" s="20">
        <f t="shared" si="4"/>
        <v>200</v>
      </c>
      <c r="C204" s="23">
        <f t="shared" si="20"/>
        <v>362804.40733589552</v>
      </c>
      <c r="D204" s="21">
        <f t="shared" si="16"/>
        <v>4417.4004774456525</v>
      </c>
      <c r="E204" s="21">
        <f t="shared" si="17"/>
        <v>965.66161734931575</v>
      </c>
      <c r="F204" s="21">
        <f t="shared" si="18"/>
        <v>3451.7388600963368</v>
      </c>
      <c r="G204" s="21">
        <f t="shared" si="19"/>
        <v>0</v>
      </c>
    </row>
    <row r="205" spans="2:7" ht="16.8" customHeight="1" x14ac:dyDescent="0.25">
      <c r="B205" s="20">
        <f t="shared" si="4"/>
        <v>201</v>
      </c>
      <c r="C205" s="23">
        <f t="shared" si="20"/>
        <v>361829.5827554143</v>
      </c>
      <c r="D205" s="21">
        <f t="shared" si="16"/>
        <v>4417.4004774456525</v>
      </c>
      <c r="E205" s="21">
        <f t="shared" si="17"/>
        <v>974.82458048121771</v>
      </c>
      <c r="F205" s="21">
        <f t="shared" si="18"/>
        <v>3442.5758969644348</v>
      </c>
      <c r="G205" s="21">
        <f t="shared" si="19"/>
        <v>0</v>
      </c>
    </row>
    <row r="206" spans="2:7" ht="16.8" customHeight="1" x14ac:dyDescent="0.25">
      <c r="B206" s="20">
        <f t="shared" si="4"/>
        <v>202</v>
      </c>
      <c r="C206" s="23">
        <f t="shared" si="20"/>
        <v>360845.50826634135</v>
      </c>
      <c r="D206" s="21">
        <f t="shared" si="16"/>
        <v>4417.4004774456525</v>
      </c>
      <c r="E206" s="21">
        <f t="shared" si="17"/>
        <v>984.07448907294565</v>
      </c>
      <c r="F206" s="21">
        <f t="shared" si="18"/>
        <v>3433.3259883727069</v>
      </c>
      <c r="G206" s="21">
        <f t="shared" si="19"/>
        <v>0</v>
      </c>
    </row>
    <row r="207" spans="2:7" ht="16.8" customHeight="1" x14ac:dyDescent="0.25">
      <c r="B207" s="20">
        <f t="shared" si="4"/>
        <v>203</v>
      </c>
      <c r="C207" s="23">
        <f t="shared" si="20"/>
        <v>359852.09609820938</v>
      </c>
      <c r="D207" s="21">
        <f t="shared" si="16"/>
        <v>4417.4004774456525</v>
      </c>
      <c r="E207" s="21">
        <f t="shared" si="17"/>
        <v>993.41216813196479</v>
      </c>
      <c r="F207" s="21">
        <f t="shared" si="18"/>
        <v>3423.9883093136878</v>
      </c>
      <c r="G207" s="21">
        <f t="shared" si="19"/>
        <v>0</v>
      </c>
    </row>
    <row r="208" spans="2:7" ht="16.8" customHeight="1" x14ac:dyDescent="0.25">
      <c r="B208" s="20">
        <f t="shared" si="4"/>
        <v>204</v>
      </c>
      <c r="C208" s="23">
        <f t="shared" si="20"/>
        <v>358849.25764771533</v>
      </c>
      <c r="D208" s="21">
        <f t="shared" si="16"/>
        <v>4417.4004774456525</v>
      </c>
      <c r="E208" s="21">
        <f t="shared" si="17"/>
        <v>1002.8384504940641</v>
      </c>
      <c r="F208" s="21">
        <f t="shared" si="18"/>
        <v>3414.5620269515885</v>
      </c>
      <c r="G208" s="21">
        <f t="shared" si="19"/>
        <v>0</v>
      </c>
    </row>
    <row r="209" spans="2:7" ht="16.8" customHeight="1" x14ac:dyDescent="0.25">
      <c r="B209" s="20">
        <f t="shared" si="4"/>
        <v>205</v>
      </c>
      <c r="C209" s="23">
        <f t="shared" si="20"/>
        <v>357836.90347081772</v>
      </c>
      <c r="D209" s="21">
        <f t="shared" si="16"/>
        <v>4417.4004774456525</v>
      </c>
      <c r="E209" s="21">
        <f t="shared" si="17"/>
        <v>1012.3541768976402</v>
      </c>
      <c r="F209" s="21">
        <f t="shared" si="18"/>
        <v>3405.0463005480124</v>
      </c>
      <c r="G209" s="21">
        <f t="shared" si="19"/>
        <v>0</v>
      </c>
    </row>
    <row r="210" spans="2:7" ht="16.8" customHeight="1" x14ac:dyDescent="0.25">
      <c r="B210" s="20">
        <f t="shared" si="4"/>
        <v>206</v>
      </c>
      <c r="C210" s="23">
        <f t="shared" si="20"/>
        <v>356814.94327475905</v>
      </c>
      <c r="D210" s="21">
        <f t="shared" si="16"/>
        <v>4417.4004774456525</v>
      </c>
      <c r="E210" s="21">
        <f t="shared" si="17"/>
        <v>1021.960196058682</v>
      </c>
      <c r="F210" s="21">
        <f t="shared" si="18"/>
        <v>3395.4402813869706</v>
      </c>
      <c r="G210" s="21">
        <f t="shared" si="19"/>
        <v>0</v>
      </c>
    </row>
    <row r="211" spans="2:7" ht="16.8" customHeight="1" x14ac:dyDescent="0.25">
      <c r="B211" s="20">
        <f t="shared" si="4"/>
        <v>207</v>
      </c>
      <c r="C211" s="23">
        <f t="shared" si="20"/>
        <v>355783.28591001255</v>
      </c>
      <c r="D211" s="21">
        <f t="shared" si="16"/>
        <v>4417.4004774456525</v>
      </c>
      <c r="E211" s="21">
        <f t="shared" si="17"/>
        <v>1031.6573647464688</v>
      </c>
      <c r="F211" s="21">
        <f t="shared" si="18"/>
        <v>3385.7431126991837</v>
      </c>
      <c r="G211" s="21">
        <f t="shared" si="19"/>
        <v>0</v>
      </c>
    </row>
    <row r="212" spans="2:7" ht="16.8" customHeight="1" x14ac:dyDescent="0.25">
      <c r="B212" s="20">
        <f t="shared" si="4"/>
        <v>208</v>
      </c>
      <c r="C212" s="23">
        <f t="shared" si="20"/>
        <v>354741.83936215256</v>
      </c>
      <c r="D212" s="21">
        <f t="shared" si="16"/>
        <v>4417.4004774456525</v>
      </c>
      <c r="E212" s="21">
        <f t="shared" si="17"/>
        <v>1041.4465478599859</v>
      </c>
      <c r="F212" s="21">
        <f t="shared" si="18"/>
        <v>3375.9539295856666</v>
      </c>
      <c r="G212" s="21">
        <f t="shared" si="19"/>
        <v>0</v>
      </c>
    </row>
    <row r="213" spans="2:7" ht="16.8" customHeight="1" x14ac:dyDescent="0.25">
      <c r="B213" s="20">
        <f t="shared" si="4"/>
        <v>209</v>
      </c>
      <c r="C213" s="23">
        <f t="shared" si="20"/>
        <v>353690.51074364752</v>
      </c>
      <c r="D213" s="21">
        <f t="shared" si="16"/>
        <v>4417.4004774456525</v>
      </c>
      <c r="E213" s="21">
        <f t="shared" si="17"/>
        <v>1051.3286185050656</v>
      </c>
      <c r="F213" s="21">
        <f t="shared" si="18"/>
        <v>3366.0718589405869</v>
      </c>
      <c r="G213" s="21">
        <f t="shared" si="19"/>
        <v>0</v>
      </c>
    </row>
    <row r="214" spans="2:7" ht="16.8" customHeight="1" x14ac:dyDescent="0.25">
      <c r="B214" s="20">
        <f t="shared" si="4"/>
        <v>210</v>
      </c>
      <c r="C214" s="23">
        <f t="shared" si="20"/>
        <v>352629.20628557529</v>
      </c>
      <c r="D214" s="21">
        <f t="shared" si="16"/>
        <v>4417.4004774456525</v>
      </c>
      <c r="E214" s="21">
        <f t="shared" si="17"/>
        <v>1061.3044580722612</v>
      </c>
      <c r="F214" s="21">
        <f t="shared" si="18"/>
        <v>3356.0960193733913</v>
      </c>
      <c r="G214" s="21">
        <f t="shared" si="19"/>
        <v>0</v>
      </c>
    </row>
    <row r="215" spans="2:7" ht="16.8" customHeight="1" x14ac:dyDescent="0.25">
      <c r="B215" s="20">
        <f t="shared" si="4"/>
        <v>211</v>
      </c>
      <c r="C215" s="23">
        <f t="shared" si="20"/>
        <v>351557.83132925985</v>
      </c>
      <c r="D215" s="21">
        <f t="shared" si="16"/>
        <v>4417.4004774456525</v>
      </c>
      <c r="E215" s="21">
        <f t="shared" si="17"/>
        <v>1071.3749563154583</v>
      </c>
      <c r="F215" s="21">
        <f t="shared" si="18"/>
        <v>3346.0255211301942</v>
      </c>
      <c r="G215" s="21">
        <f t="shared" si="19"/>
        <v>0</v>
      </c>
    </row>
    <row r="216" spans="2:7" ht="16.8" customHeight="1" x14ac:dyDescent="0.25">
      <c r="B216" s="20">
        <f t="shared" si="4"/>
        <v>212</v>
      </c>
      <c r="C216" s="23">
        <f t="shared" si="20"/>
        <v>350476.29031782859</v>
      </c>
      <c r="D216" s="21">
        <f t="shared" si="16"/>
        <v>4417.4004774456535</v>
      </c>
      <c r="E216" s="21">
        <f t="shared" si="17"/>
        <v>1081.5410114312344</v>
      </c>
      <c r="F216" s="21">
        <f t="shared" si="18"/>
        <v>3335.859466014419</v>
      </c>
      <c r="G216" s="21">
        <f t="shared" si="19"/>
        <v>0</v>
      </c>
    </row>
    <row r="217" spans="2:7" ht="16.8" customHeight="1" x14ac:dyDescent="0.25">
      <c r="B217" s="20">
        <f t="shared" si="4"/>
        <v>213</v>
      </c>
      <c r="C217" s="23">
        <f t="shared" si="20"/>
        <v>349384.48678768962</v>
      </c>
      <c r="D217" s="21">
        <f t="shared" si="16"/>
        <v>4417.4004774456525</v>
      </c>
      <c r="E217" s="21">
        <f t="shared" si="17"/>
        <v>1091.8035301389641</v>
      </c>
      <c r="F217" s="21">
        <f t="shared" si="18"/>
        <v>3325.5969473066884</v>
      </c>
      <c r="G217" s="21">
        <f t="shared" si="19"/>
        <v>0</v>
      </c>
    </row>
    <row r="218" spans="2:7" ht="16.8" customHeight="1" x14ac:dyDescent="0.25">
      <c r="B218" s="20">
        <f t="shared" si="4"/>
        <v>214</v>
      </c>
      <c r="C218" s="23">
        <f t="shared" si="20"/>
        <v>348282.32335992792</v>
      </c>
      <c r="D218" s="21">
        <f t="shared" si="16"/>
        <v>4417.4004774456525</v>
      </c>
      <c r="E218" s="21">
        <f t="shared" si="17"/>
        <v>1102.1634277616999</v>
      </c>
      <c r="F218" s="21">
        <f t="shared" si="18"/>
        <v>3315.2370496839526</v>
      </c>
      <c r="G218" s="21">
        <f t="shared" si="19"/>
        <v>0</v>
      </c>
    </row>
    <row r="219" spans="2:7" ht="16.8" customHeight="1" x14ac:dyDescent="0.25">
      <c r="B219" s="20">
        <f t="shared" si="4"/>
        <v>215</v>
      </c>
      <c r="C219" s="23">
        <f t="shared" si="20"/>
        <v>347169.70173162012</v>
      </c>
      <c r="D219" s="21">
        <f t="shared" si="16"/>
        <v>4417.4004774456525</v>
      </c>
      <c r="E219" s="21">
        <f t="shared" si="17"/>
        <v>1112.6216283078006</v>
      </c>
      <c r="F219" s="21">
        <f t="shared" si="18"/>
        <v>3304.7788491378519</v>
      </c>
      <c r="G219" s="21">
        <f t="shared" si="19"/>
        <v>0</v>
      </c>
    </row>
    <row r="220" spans="2:7" ht="16.8" customHeight="1" x14ac:dyDescent="0.25">
      <c r="B220" s="20">
        <f t="shared" si="4"/>
        <v>216</v>
      </c>
      <c r="C220" s="23">
        <f t="shared" si="20"/>
        <v>346046.52266706678</v>
      </c>
      <c r="D220" s="21">
        <f t="shared" si="16"/>
        <v>4417.4004774456535</v>
      </c>
      <c r="E220" s="21">
        <f t="shared" si="17"/>
        <v>1123.1790645533529</v>
      </c>
      <c r="F220" s="21">
        <f t="shared" si="18"/>
        <v>3294.2214128923006</v>
      </c>
      <c r="G220" s="21">
        <f t="shared" si="19"/>
        <v>0</v>
      </c>
    </row>
    <row r="221" spans="2:7" ht="16.8" customHeight="1" x14ac:dyDescent="0.25">
      <c r="B221" s="20">
        <f t="shared" si="4"/>
        <v>217</v>
      </c>
      <c r="C221" s="23">
        <f t="shared" si="20"/>
        <v>344912.6859889414</v>
      </c>
      <c r="D221" s="21">
        <f t="shared" si="16"/>
        <v>4417.4004774456525</v>
      </c>
      <c r="E221" s="21">
        <f t="shared" si="17"/>
        <v>1133.8366781253576</v>
      </c>
      <c r="F221" s="21">
        <f t="shared" si="18"/>
        <v>3283.5637993202949</v>
      </c>
      <c r="G221" s="21">
        <f t="shared" si="19"/>
        <v>0</v>
      </c>
    </row>
    <row r="222" spans="2:7" ht="16.8" customHeight="1" x14ac:dyDescent="0.25">
      <c r="B222" s="20">
        <f t="shared" si="4"/>
        <v>218</v>
      </c>
      <c r="C222" s="23">
        <f t="shared" si="20"/>
        <v>343768.0905693557</v>
      </c>
      <c r="D222" s="21">
        <f t="shared" si="16"/>
        <v>4417.4004774456525</v>
      </c>
      <c r="E222" s="21">
        <f t="shared" si="17"/>
        <v>1144.5954195857248</v>
      </c>
      <c r="F222" s="21">
        <f t="shared" si="18"/>
        <v>3272.8050578599277</v>
      </c>
      <c r="G222" s="21">
        <f t="shared" si="19"/>
        <v>0</v>
      </c>
    </row>
    <row r="223" spans="2:7" ht="16.8" customHeight="1" x14ac:dyDescent="0.25">
      <c r="B223" s="20">
        <f t="shared" si="4"/>
        <v>219</v>
      </c>
      <c r="C223" s="23">
        <f t="shared" si="20"/>
        <v>342612.63432083966</v>
      </c>
      <c r="D223" s="21">
        <f t="shared" si="16"/>
        <v>4417.4004774456535</v>
      </c>
      <c r="E223" s="21">
        <f t="shared" si="17"/>
        <v>1155.4562485160463</v>
      </c>
      <c r="F223" s="21">
        <f t="shared" si="18"/>
        <v>3261.9442289296071</v>
      </c>
      <c r="G223" s="21">
        <f t="shared" si="19"/>
        <v>0</v>
      </c>
    </row>
    <row r="224" spans="2:7" ht="16.8" customHeight="1" x14ac:dyDescent="0.25">
      <c r="B224" s="20">
        <f t="shared" si="4"/>
        <v>220</v>
      </c>
      <c r="C224" s="23">
        <f t="shared" si="20"/>
        <v>341446.21418723644</v>
      </c>
      <c r="D224" s="21">
        <f t="shared" si="16"/>
        <v>4417.4004774456535</v>
      </c>
      <c r="E224" s="21">
        <f t="shared" si="17"/>
        <v>1166.4201336031856</v>
      </c>
      <c r="F224" s="21">
        <f t="shared" si="18"/>
        <v>3250.9803438424678</v>
      </c>
      <c r="G224" s="21">
        <f t="shared" si="19"/>
        <v>0</v>
      </c>
    </row>
    <row r="225" spans="2:7" ht="16.8" customHeight="1" x14ac:dyDescent="0.25">
      <c r="B225" s="20">
        <f t="shared" si="4"/>
        <v>221</v>
      </c>
      <c r="C225" s="23">
        <f t="shared" si="20"/>
        <v>340268.72613451077</v>
      </c>
      <c r="D225" s="21">
        <f t="shared" si="16"/>
        <v>4417.4004774456525</v>
      </c>
      <c r="E225" s="21">
        <f t="shared" si="17"/>
        <v>1177.4880527256742</v>
      </c>
      <c r="F225" s="21">
        <f t="shared" si="18"/>
        <v>3239.9124247199784</v>
      </c>
      <c r="G225" s="21">
        <f t="shared" si="19"/>
        <v>0</v>
      </c>
    </row>
    <row r="226" spans="2:7" ht="16.8" customHeight="1" x14ac:dyDescent="0.25">
      <c r="B226" s="20">
        <f t="shared" si="4"/>
        <v>222</v>
      </c>
      <c r="C226" s="23">
        <f t="shared" si="20"/>
        <v>339080.06514146982</v>
      </c>
      <c r="D226" s="21">
        <f t="shared" si="16"/>
        <v>4417.4004774456535</v>
      </c>
      <c r="E226" s="21">
        <f t="shared" si="17"/>
        <v>1188.6609930409345</v>
      </c>
      <c r="F226" s="21">
        <f t="shared" si="18"/>
        <v>3228.739484404719</v>
      </c>
      <c r="G226" s="21">
        <f t="shared" si="19"/>
        <v>0</v>
      </c>
    </row>
    <row r="227" spans="2:7" ht="16.8" customHeight="1" x14ac:dyDescent="0.25">
      <c r="B227" s="20">
        <f t="shared" si="4"/>
        <v>223</v>
      </c>
      <c r="C227" s="23">
        <f t="shared" si="20"/>
        <v>337880.1251903965</v>
      </c>
      <c r="D227" s="21">
        <f t="shared" si="16"/>
        <v>4417.4004774456525</v>
      </c>
      <c r="E227" s="21">
        <f t="shared" si="17"/>
        <v>1199.9399510733147</v>
      </c>
      <c r="F227" s="21">
        <f t="shared" si="18"/>
        <v>3217.4605263723379</v>
      </c>
      <c r="G227" s="21">
        <f t="shared" si="19"/>
        <v>0</v>
      </c>
    </row>
    <row r="228" spans="2:7" ht="16.8" customHeight="1" x14ac:dyDescent="0.25">
      <c r="B228" s="20">
        <f t="shared" si="4"/>
        <v>224</v>
      </c>
      <c r="C228" s="23">
        <f t="shared" si="20"/>
        <v>336668.79925759352</v>
      </c>
      <c r="D228" s="21">
        <f t="shared" si="16"/>
        <v>4417.4004774456525</v>
      </c>
      <c r="E228" s="21">
        <f t="shared" si="17"/>
        <v>1211.3259328029831</v>
      </c>
      <c r="F228" s="21">
        <f t="shared" si="18"/>
        <v>3206.0745446426695</v>
      </c>
      <c r="G228" s="21">
        <f t="shared" si="19"/>
        <v>0</v>
      </c>
    </row>
    <row r="229" spans="2:7" ht="16.8" customHeight="1" x14ac:dyDescent="0.25">
      <c r="B229" s="20">
        <f t="shared" si="4"/>
        <v>225</v>
      </c>
      <c r="C229" s="23">
        <f t="shared" si="20"/>
        <v>335445.97930383787</v>
      </c>
      <c r="D229" s="21">
        <f t="shared" si="16"/>
        <v>4417.4004774456525</v>
      </c>
      <c r="E229" s="21">
        <f t="shared" si="17"/>
        <v>1222.8199537556416</v>
      </c>
      <c r="F229" s="21">
        <f t="shared" si="18"/>
        <v>3194.580523690011</v>
      </c>
      <c r="G229" s="21">
        <f t="shared" si="19"/>
        <v>0</v>
      </c>
    </row>
    <row r="230" spans="2:7" ht="16.8" customHeight="1" x14ac:dyDescent="0.25">
      <c r="B230" s="20">
        <f t="shared" si="4"/>
        <v>226</v>
      </c>
      <c r="C230" s="23">
        <f t="shared" si="20"/>
        <v>334211.55626474478</v>
      </c>
      <c r="D230" s="21">
        <f t="shared" si="16"/>
        <v>4417.4004774456525</v>
      </c>
      <c r="E230" s="21">
        <f t="shared" si="17"/>
        <v>1234.4230390931052</v>
      </c>
      <c r="F230" s="21">
        <f t="shared" si="18"/>
        <v>3182.9774383525473</v>
      </c>
      <c r="G230" s="21">
        <f t="shared" si="19"/>
        <v>0</v>
      </c>
    </row>
    <row r="231" spans="2:7" ht="16.8" customHeight="1" x14ac:dyDescent="0.25">
      <c r="B231" s="20">
        <f t="shared" si="4"/>
        <v>227</v>
      </c>
      <c r="C231" s="23">
        <f t="shared" si="20"/>
        <v>332965.42004104005</v>
      </c>
      <c r="D231" s="21">
        <f t="shared" si="16"/>
        <v>4417.4004774456525</v>
      </c>
      <c r="E231" s="21">
        <f t="shared" si="17"/>
        <v>1246.1362237047383</v>
      </c>
      <c r="F231" s="21">
        <f t="shared" si="18"/>
        <v>3171.2642537409142</v>
      </c>
      <c r="G231" s="21">
        <f t="shared" si="19"/>
        <v>0</v>
      </c>
    </row>
    <row r="232" spans="2:7" ht="16.8" customHeight="1" x14ac:dyDescent="0.25">
      <c r="B232" s="20">
        <f t="shared" si="4"/>
        <v>228</v>
      </c>
      <c r="C232" s="23">
        <f t="shared" si="20"/>
        <v>331707.45948874031</v>
      </c>
      <c r="D232" s="21">
        <f t="shared" si="16"/>
        <v>4417.4004774456525</v>
      </c>
      <c r="E232" s="21">
        <f t="shared" si="17"/>
        <v>1257.9605522997558</v>
      </c>
      <c r="F232" s="21">
        <f t="shared" si="18"/>
        <v>3159.4399251458967</v>
      </c>
      <c r="G232" s="21">
        <f t="shared" si="19"/>
        <v>0</v>
      </c>
    </row>
    <row r="233" spans="2:7" ht="16.8" customHeight="1" x14ac:dyDescent="0.25">
      <c r="B233" s="20">
        <f t="shared" si="4"/>
        <v>229</v>
      </c>
      <c r="C233" s="23">
        <f t="shared" si="20"/>
        <v>330437.56240923988</v>
      </c>
      <c r="D233" s="21">
        <f t="shared" si="16"/>
        <v>4417.4004774456525</v>
      </c>
      <c r="E233" s="21">
        <f t="shared" si="17"/>
        <v>1269.8970795004016</v>
      </c>
      <c r="F233" s="21">
        <f t="shared" si="18"/>
        <v>3147.503397945251</v>
      </c>
      <c r="G233" s="21">
        <f t="shared" si="19"/>
        <v>0</v>
      </c>
    </row>
    <row r="234" spans="2:7" ht="16.8" customHeight="1" x14ac:dyDescent="0.25">
      <c r="B234" s="20">
        <f t="shared" si="4"/>
        <v>230</v>
      </c>
      <c r="C234" s="23">
        <f t="shared" si="20"/>
        <v>329155.61553930386</v>
      </c>
      <c r="D234" s="21">
        <f t="shared" si="16"/>
        <v>4417.4004774456525</v>
      </c>
      <c r="E234" s="21">
        <f t="shared" si="17"/>
        <v>1281.9468699360132</v>
      </c>
      <c r="F234" s="21">
        <f t="shared" si="18"/>
        <v>3135.4536075096394</v>
      </c>
      <c r="G234" s="21">
        <f t="shared" si="19"/>
        <v>0</v>
      </c>
    </row>
    <row r="235" spans="2:7" ht="16.8" customHeight="1" x14ac:dyDescent="0.25">
      <c r="B235" s="20">
        <f t="shared" si="4"/>
        <v>231</v>
      </c>
      <c r="C235" s="23">
        <f t="shared" si="20"/>
        <v>327861.50454096589</v>
      </c>
      <c r="D235" s="21">
        <f t="shared" si="16"/>
        <v>4417.4004774456525</v>
      </c>
      <c r="E235" s="21">
        <f t="shared" si="17"/>
        <v>1294.1109983379724</v>
      </c>
      <c r="F235" s="21">
        <f t="shared" si="18"/>
        <v>3123.2894791076801</v>
      </c>
      <c r="G235" s="21">
        <f t="shared" si="19"/>
        <v>0</v>
      </c>
    </row>
    <row r="236" spans="2:7" ht="16.8" customHeight="1" x14ac:dyDescent="0.25">
      <c r="B236" s="20">
        <f t="shared" si="4"/>
        <v>232</v>
      </c>
      <c r="C236" s="23">
        <f t="shared" si="20"/>
        <v>326555.11399133032</v>
      </c>
      <c r="D236" s="21">
        <f t="shared" si="16"/>
        <v>4417.4004774456525</v>
      </c>
      <c r="E236" s="21">
        <f t="shared" si="17"/>
        <v>1306.3905496355683</v>
      </c>
      <c r="F236" s="21">
        <f t="shared" si="18"/>
        <v>3111.0099278100843</v>
      </c>
      <c r="G236" s="21">
        <f t="shared" si="19"/>
        <v>0</v>
      </c>
    </row>
    <row r="237" spans="2:7" ht="16.8" customHeight="1" x14ac:dyDescent="0.25">
      <c r="B237" s="20">
        <f t="shared" si="4"/>
        <v>233</v>
      </c>
      <c r="C237" s="23">
        <f t="shared" si="20"/>
        <v>325236.32737227756</v>
      </c>
      <c r="D237" s="21">
        <f t="shared" si="16"/>
        <v>4417.4004774456525</v>
      </c>
      <c r="E237" s="21">
        <f t="shared" si="17"/>
        <v>1318.7866190527561</v>
      </c>
      <c r="F237" s="21">
        <f t="shared" si="18"/>
        <v>3098.6138583928964</v>
      </c>
      <c r="G237" s="21">
        <f t="shared" si="19"/>
        <v>0</v>
      </c>
    </row>
    <row r="238" spans="2:7" ht="16.8" customHeight="1" x14ac:dyDescent="0.25">
      <c r="B238" s="20">
        <f t="shared" si="4"/>
        <v>234</v>
      </c>
      <c r="C238" s="23">
        <f t="shared" si="20"/>
        <v>323905.0270600717</v>
      </c>
      <c r="D238" s="21">
        <f t="shared" si="16"/>
        <v>4417.4004774456525</v>
      </c>
      <c r="E238" s="21">
        <f t="shared" si="17"/>
        <v>1331.3003122058467</v>
      </c>
      <c r="F238" s="21">
        <f t="shared" si="18"/>
        <v>3086.1001652398058</v>
      </c>
      <c r="G238" s="21">
        <f t="shared" si="19"/>
        <v>0</v>
      </c>
    </row>
    <row r="239" spans="2:7" ht="16.8" customHeight="1" x14ac:dyDescent="0.25">
      <c r="B239" s="20">
        <f t="shared" si="4"/>
        <v>235</v>
      </c>
      <c r="C239" s="23">
        <f t="shared" si="20"/>
        <v>322561.09431486961</v>
      </c>
      <c r="D239" s="21">
        <f t="shared" si="16"/>
        <v>4417.4004774456525</v>
      </c>
      <c r="E239" s="21">
        <f t="shared" si="17"/>
        <v>1343.9327452021139</v>
      </c>
      <c r="F239" s="21">
        <f t="shared" si="18"/>
        <v>3073.4677322435386</v>
      </c>
      <c r="G239" s="21">
        <f t="shared" si="19"/>
        <v>0</v>
      </c>
    </row>
    <row r="240" spans="2:7" ht="16.8" customHeight="1" x14ac:dyDescent="0.25">
      <c r="B240" s="20">
        <f t="shared" si="4"/>
        <v>236</v>
      </c>
      <c r="C240" s="23">
        <f t="shared" si="20"/>
        <v>321204.40927013027</v>
      </c>
      <c r="D240" s="21">
        <f t="shared" si="16"/>
        <v>4417.4004774456525</v>
      </c>
      <c r="E240" s="21">
        <f t="shared" si="17"/>
        <v>1356.6850447393422</v>
      </c>
      <c r="F240" s="21">
        <f t="shared" si="18"/>
        <v>3060.7154327063104</v>
      </c>
      <c r="G240" s="21">
        <f t="shared" si="19"/>
        <v>0</v>
      </c>
    </row>
    <row r="241" spans="2:7" ht="16.8" customHeight="1" x14ac:dyDescent="0.25">
      <c r="B241" s="20">
        <f t="shared" si="4"/>
        <v>237</v>
      </c>
      <c r="C241" s="23">
        <f t="shared" si="20"/>
        <v>319834.85092192393</v>
      </c>
      <c r="D241" s="21">
        <f t="shared" si="16"/>
        <v>4417.4004774456525</v>
      </c>
      <c r="E241" s="21">
        <f t="shared" si="17"/>
        <v>1369.5583482063194</v>
      </c>
      <c r="F241" s="21">
        <f t="shared" si="18"/>
        <v>3047.8421292393332</v>
      </c>
      <c r="G241" s="21">
        <f t="shared" si="19"/>
        <v>0</v>
      </c>
    </row>
    <row r="242" spans="2:7" ht="16.8" customHeight="1" x14ac:dyDescent="0.25">
      <c r="B242" s="20">
        <f t="shared" si="4"/>
        <v>238</v>
      </c>
      <c r="C242" s="23">
        <f t="shared" si="20"/>
        <v>318452.29711813963</v>
      </c>
      <c r="D242" s="21">
        <f t="shared" si="16"/>
        <v>4417.4004774456525</v>
      </c>
      <c r="E242" s="21">
        <f t="shared" si="17"/>
        <v>1382.5538037842789</v>
      </c>
      <c r="F242" s="21">
        <f t="shared" si="18"/>
        <v>3034.8466736613736</v>
      </c>
      <c r="G242" s="21">
        <f t="shared" si="19"/>
        <v>0</v>
      </c>
    </row>
    <row r="243" spans="2:7" ht="16.8" customHeight="1" x14ac:dyDescent="0.25">
      <c r="B243" s="20">
        <f t="shared" si="4"/>
        <v>239</v>
      </c>
      <c r="C243" s="23">
        <f t="shared" si="20"/>
        <v>317056.62454759033</v>
      </c>
      <c r="D243" s="21">
        <f t="shared" si="16"/>
        <v>4417.4004774456516</v>
      </c>
      <c r="E243" s="21">
        <f t="shared" si="17"/>
        <v>1395.6725705493077</v>
      </c>
      <c r="F243" s="21">
        <f t="shared" si="18"/>
        <v>3021.7279068963439</v>
      </c>
      <c r="G243" s="21">
        <f t="shared" si="19"/>
        <v>0</v>
      </c>
    </row>
    <row r="244" spans="2:7" ht="16.8" customHeight="1" x14ac:dyDescent="0.25">
      <c r="B244" s="20">
        <f t="shared" si="4"/>
        <v>240</v>
      </c>
      <c r="C244" s="23">
        <f t="shared" si="20"/>
        <v>315647.70872901462</v>
      </c>
      <c r="D244" s="21">
        <f t="shared" si="16"/>
        <v>4417.4004774456525</v>
      </c>
      <c r="E244" s="21">
        <f t="shared" si="17"/>
        <v>1408.9158185757278</v>
      </c>
      <c r="F244" s="21">
        <f t="shared" si="18"/>
        <v>3008.4846588699247</v>
      </c>
      <c r="G244" s="21">
        <f t="shared" si="19"/>
        <v>0</v>
      </c>
    </row>
    <row r="245" spans="2:7" ht="16.8" customHeight="1" x14ac:dyDescent="0.25">
      <c r="B245" s="20">
        <f t="shared" si="4"/>
        <v>241</v>
      </c>
      <c r="C245" s="23">
        <f t="shared" si="20"/>
        <v>314225.42399997415</v>
      </c>
      <c r="D245" s="21">
        <f t="shared" si="16"/>
        <v>4417.4004774456525</v>
      </c>
      <c r="E245" s="21">
        <f t="shared" si="17"/>
        <v>1422.2847290404516</v>
      </c>
      <c r="F245" s="21">
        <f t="shared" si="18"/>
        <v>2995.115748405201</v>
      </c>
      <c r="G245" s="21">
        <f t="shared" si="19"/>
        <v>0</v>
      </c>
    </row>
    <row r="246" spans="2:7" ht="16.8" customHeight="1" x14ac:dyDescent="0.25">
      <c r="B246" s="20">
        <f t="shared" si="4"/>
        <v>242</v>
      </c>
      <c r="C246" s="23">
        <f t="shared" si="20"/>
        <v>312789.6435056458</v>
      </c>
      <c r="D246" s="21">
        <f t="shared" si="16"/>
        <v>4417.4004774456525</v>
      </c>
      <c r="E246" s="21">
        <f t="shared" si="17"/>
        <v>1435.7804943283359</v>
      </c>
      <c r="F246" s="21">
        <f t="shared" si="18"/>
        <v>2981.6199831173167</v>
      </c>
      <c r="G246" s="21">
        <f t="shared" si="19"/>
        <v>0</v>
      </c>
    </row>
    <row r="247" spans="2:7" ht="16.8" customHeight="1" x14ac:dyDescent="0.25">
      <c r="B247" s="20">
        <f t="shared" si="4"/>
        <v>243</v>
      </c>
      <c r="C247" s="23">
        <f t="shared" si="20"/>
        <v>311340.23918750725</v>
      </c>
      <c r="D247" s="21">
        <f t="shared" si="16"/>
        <v>4417.4004774456516</v>
      </c>
      <c r="E247" s="21">
        <f t="shared" si="17"/>
        <v>1449.40431813853</v>
      </c>
      <c r="F247" s="21">
        <f t="shared" si="18"/>
        <v>2967.9961593071216</v>
      </c>
      <c r="G247" s="21">
        <f t="shared" si="19"/>
        <v>0</v>
      </c>
    </row>
    <row r="248" spans="2:7" ht="16.8" customHeight="1" x14ac:dyDescent="0.25">
      <c r="B248" s="20">
        <f t="shared" si="4"/>
        <v>244</v>
      </c>
      <c r="C248" s="23">
        <f t="shared" si="20"/>
        <v>309877.08177191543</v>
      </c>
      <c r="D248" s="21">
        <f t="shared" si="16"/>
        <v>4417.4004774456516</v>
      </c>
      <c r="E248" s="21">
        <f t="shared" si="17"/>
        <v>1463.1574155918374</v>
      </c>
      <c r="F248" s="21">
        <f t="shared" si="18"/>
        <v>2954.2430618538142</v>
      </c>
      <c r="G248" s="21">
        <f t="shared" si="19"/>
        <v>0</v>
      </c>
    </row>
    <row r="249" spans="2:7" ht="16.8" customHeight="1" x14ac:dyDescent="0.25">
      <c r="B249" s="20">
        <f t="shared" si="4"/>
        <v>245</v>
      </c>
      <c r="C249" s="23">
        <f t="shared" si="20"/>
        <v>308400.04075857636</v>
      </c>
      <c r="D249" s="21">
        <f t="shared" si="16"/>
        <v>4417.4004774456525</v>
      </c>
      <c r="E249" s="21">
        <f t="shared" si="17"/>
        <v>1477.0410133390887</v>
      </c>
      <c r="F249" s="21">
        <f t="shared" si="18"/>
        <v>2940.3594641065638</v>
      </c>
      <c r="G249" s="21">
        <f t="shared" si="19"/>
        <v>0</v>
      </c>
    </row>
    <row r="250" spans="2:7" ht="16.8" customHeight="1" x14ac:dyDescent="0.25">
      <c r="B250" s="20">
        <f t="shared" si="4"/>
        <v>246</v>
      </c>
      <c r="C250" s="23">
        <f t="shared" si="20"/>
        <v>306908.98440890579</v>
      </c>
      <c r="D250" s="21">
        <f t="shared" si="16"/>
        <v>4417.4004774456525</v>
      </c>
      <c r="E250" s="21">
        <f t="shared" si="17"/>
        <v>1491.0563496705499</v>
      </c>
      <c r="F250" s="21">
        <f t="shared" si="18"/>
        <v>2926.3441277751026</v>
      </c>
      <c r="G250" s="21">
        <f t="shared" si="19"/>
        <v>0</v>
      </c>
    </row>
    <row r="251" spans="2:7" ht="16.8" customHeight="1" x14ac:dyDescent="0.25">
      <c r="B251" s="20">
        <f t="shared" si="4"/>
        <v>247</v>
      </c>
      <c r="C251" s="23">
        <f t="shared" si="20"/>
        <v>305403.77973427944</v>
      </c>
      <c r="D251" s="21">
        <f t="shared" si="16"/>
        <v>4417.4004774456507</v>
      </c>
      <c r="E251" s="21">
        <f t="shared" si="17"/>
        <v>1505.2046746263673</v>
      </c>
      <c r="F251" s="21">
        <f t="shared" si="18"/>
        <v>2912.1958028192835</v>
      </c>
      <c r="G251" s="21">
        <f t="shared" si="19"/>
        <v>0</v>
      </c>
    </row>
    <row r="252" spans="2:7" ht="16.8" customHeight="1" x14ac:dyDescent="0.25">
      <c r="B252" s="20">
        <f t="shared" si="4"/>
        <v>248</v>
      </c>
      <c r="C252" s="23">
        <f t="shared" si="20"/>
        <v>303884.2924841714</v>
      </c>
      <c r="D252" s="21">
        <f t="shared" si="16"/>
        <v>4417.4004774456516</v>
      </c>
      <c r="E252" s="21">
        <f t="shared" si="17"/>
        <v>1519.487250108064</v>
      </c>
      <c r="F252" s="21">
        <f t="shared" si="18"/>
        <v>2897.9132273375876</v>
      </c>
      <c r="G252" s="21">
        <f t="shared" si="19"/>
        <v>0</v>
      </c>
    </row>
    <row r="253" spans="2:7" ht="16.8" customHeight="1" x14ac:dyDescent="0.25">
      <c r="B253" s="20">
        <f t="shared" si="4"/>
        <v>249</v>
      </c>
      <c r="C253" s="23">
        <f t="shared" si="20"/>
        <v>302350.38713418035</v>
      </c>
      <c r="D253" s="21">
        <f t="shared" si="16"/>
        <v>4417.4004774456525</v>
      </c>
      <c r="E253" s="21">
        <f t="shared" si="17"/>
        <v>1533.9053499910792</v>
      </c>
      <c r="F253" s="21">
        <f t="shared" si="18"/>
        <v>2883.4951274545733</v>
      </c>
      <c r="G253" s="21">
        <f t="shared" si="19"/>
        <v>0</v>
      </c>
    </row>
    <row r="254" spans="2:7" ht="16.8" customHeight="1" x14ac:dyDescent="0.25">
      <c r="B254" s="20">
        <f t="shared" si="4"/>
        <v>250</v>
      </c>
      <c r="C254" s="23">
        <f t="shared" si="20"/>
        <v>300801.92687394196</v>
      </c>
      <c r="D254" s="21">
        <f t="shared" si="16"/>
        <v>4417.4004774456525</v>
      </c>
      <c r="E254" s="21">
        <f t="shared" si="17"/>
        <v>1548.4602602383934</v>
      </c>
      <c r="F254" s="21">
        <f t="shared" si="18"/>
        <v>2868.9402172072591</v>
      </c>
      <c r="G254" s="21">
        <f t="shared" si="19"/>
        <v>0</v>
      </c>
    </row>
    <row r="255" spans="2:7" ht="16.8" customHeight="1" x14ac:dyDescent="0.25">
      <c r="B255" s="20">
        <f t="shared" si="4"/>
        <v>251</v>
      </c>
      <c r="C255" s="23">
        <f t="shared" si="20"/>
        <v>299238.77359492675</v>
      </c>
      <c r="D255" s="21">
        <f t="shared" si="16"/>
        <v>4417.4004774456525</v>
      </c>
      <c r="E255" s="21">
        <f t="shared" si="17"/>
        <v>1563.153279015226</v>
      </c>
      <c r="F255" s="21">
        <f t="shared" si="18"/>
        <v>2854.2471984304266</v>
      </c>
      <c r="G255" s="21">
        <f t="shared" si="19"/>
        <v>0</v>
      </c>
    </row>
    <row r="256" spans="2:7" ht="16.8" customHeight="1" x14ac:dyDescent="0.25">
      <c r="B256" s="20">
        <f t="shared" si="4"/>
        <v>252</v>
      </c>
      <c r="C256" s="23">
        <f t="shared" si="20"/>
        <v>297660.78787812195</v>
      </c>
      <c r="D256" s="21">
        <f t="shared" si="16"/>
        <v>4417.4004774456535</v>
      </c>
      <c r="E256" s="21">
        <f t="shared" si="17"/>
        <v>1577.985716804817</v>
      </c>
      <c r="F256" s="21">
        <f t="shared" si="18"/>
        <v>2839.4147606408364</v>
      </c>
      <c r="G256" s="21">
        <f t="shared" si="19"/>
        <v>0</v>
      </c>
    </row>
    <row r="257" spans="2:7" ht="16.8" customHeight="1" x14ac:dyDescent="0.25">
      <c r="B257" s="20">
        <f t="shared" si="4"/>
        <v>253</v>
      </c>
      <c r="C257" s="23">
        <f t="shared" si="20"/>
        <v>296067.82898159663</v>
      </c>
      <c r="D257" s="21">
        <f t="shared" si="16"/>
        <v>4417.4004774456525</v>
      </c>
      <c r="E257" s="21">
        <f t="shared" si="17"/>
        <v>1592.9588965253065</v>
      </c>
      <c r="F257" s="21">
        <f t="shared" si="18"/>
        <v>2824.441580920346</v>
      </c>
      <c r="G257" s="21">
        <f t="shared" si="19"/>
        <v>0</v>
      </c>
    </row>
    <row r="258" spans="2:7" ht="16.8" customHeight="1" x14ac:dyDescent="0.25">
      <c r="B258" s="20">
        <f t="shared" si="4"/>
        <v>254</v>
      </c>
      <c r="C258" s="23">
        <f t="shared" si="20"/>
        <v>294459.75482794887</v>
      </c>
      <c r="D258" s="21">
        <f t="shared" si="16"/>
        <v>4417.4004774456525</v>
      </c>
      <c r="E258" s="21">
        <f t="shared" si="17"/>
        <v>1608.0741536477371</v>
      </c>
      <c r="F258" s="21">
        <f t="shared" si="18"/>
        <v>2809.3263237979154</v>
      </c>
      <c r="G258" s="21">
        <f t="shared" si="19"/>
        <v>0</v>
      </c>
    </row>
    <row r="259" spans="2:7" ht="16.8" customHeight="1" x14ac:dyDescent="0.25">
      <c r="B259" s="20">
        <f t="shared" si="4"/>
        <v>255</v>
      </c>
      <c r="C259" s="23">
        <f t="shared" si="20"/>
        <v>292836.42199163372</v>
      </c>
      <c r="D259" s="21">
        <f t="shared" si="16"/>
        <v>4417.4004774456525</v>
      </c>
      <c r="E259" s="21">
        <f t="shared" si="17"/>
        <v>1623.3328363151554</v>
      </c>
      <c r="F259" s="21">
        <f t="shared" si="18"/>
        <v>2794.0676411304971</v>
      </c>
      <c r="G259" s="21">
        <f t="shared" si="19"/>
        <v>0</v>
      </c>
    </row>
    <row r="260" spans="2:7" ht="16.8" customHeight="1" x14ac:dyDescent="0.25">
      <c r="B260" s="20">
        <f t="shared" si="4"/>
        <v>256</v>
      </c>
      <c r="C260" s="23">
        <f t="shared" si="20"/>
        <v>291197.68568617088</v>
      </c>
      <c r="D260" s="21">
        <f t="shared" si="16"/>
        <v>4417.4004774456535</v>
      </c>
      <c r="E260" s="21">
        <f t="shared" si="17"/>
        <v>1638.7363054628604</v>
      </c>
      <c r="F260" s="21">
        <f t="shared" si="18"/>
        <v>2778.6641719827931</v>
      </c>
      <c r="G260" s="21">
        <f t="shared" si="19"/>
        <v>0</v>
      </c>
    </row>
    <row r="261" spans="2:7" ht="16.8" customHeight="1" x14ac:dyDescent="0.25">
      <c r="B261" s="20">
        <f t="shared" ref="B261:B424" si="21">+B260+1</f>
        <v>257</v>
      </c>
      <c r="C261" s="23">
        <f t="shared" si="20"/>
        <v>289543.39975123107</v>
      </c>
      <c r="D261" s="21">
        <f t="shared" ref="D261:D324" si="22">IFERROR(-PMT($J$10,$J$11-B260,C260)+G261,0)</f>
        <v>4417.4004774456535</v>
      </c>
      <c r="E261" s="21">
        <f t="shared" ref="E261:E324" si="23">IFERROR(D261-F261-G261,0)</f>
        <v>1654.2859349397809</v>
      </c>
      <c r="F261" s="21">
        <f t="shared" ref="F261:F324" si="24">IFERROR(+C260*$J$10,0)</f>
        <v>2763.1145425058726</v>
      </c>
      <c r="G261" s="21">
        <f t="shared" ref="G261:G324" si="25">G260</f>
        <v>0</v>
      </c>
    </row>
    <row r="262" spans="2:7" ht="16.8" customHeight="1" x14ac:dyDescent="0.25">
      <c r="B262" s="20">
        <f t="shared" si="21"/>
        <v>258</v>
      </c>
      <c r="C262" s="23">
        <f t="shared" si="20"/>
        <v>287873.41663960007</v>
      </c>
      <c r="D262" s="21">
        <f t="shared" si="22"/>
        <v>4417.4004774456535</v>
      </c>
      <c r="E262" s="21">
        <f t="shared" si="23"/>
        <v>1669.9831116310174</v>
      </c>
      <c r="F262" s="21">
        <f t="shared" si="24"/>
        <v>2747.417365814636</v>
      </c>
      <c r="G262" s="21">
        <f t="shared" si="25"/>
        <v>0</v>
      </c>
    </row>
    <row r="263" spans="2:7" ht="16.8" customHeight="1" x14ac:dyDescent="0.25">
      <c r="B263" s="20">
        <f t="shared" si="21"/>
        <v>259</v>
      </c>
      <c r="C263" s="23">
        <f t="shared" si="20"/>
        <v>286187.58740401856</v>
      </c>
      <c r="D263" s="21">
        <f t="shared" si="22"/>
        <v>4417.4004774456535</v>
      </c>
      <c r="E263" s="21">
        <f t="shared" si="23"/>
        <v>1685.8292355815352</v>
      </c>
      <c r="F263" s="21">
        <f t="shared" si="24"/>
        <v>2731.5712418641183</v>
      </c>
      <c r="G263" s="21">
        <f t="shared" si="25"/>
        <v>0</v>
      </c>
    </row>
    <row r="264" spans="2:7" ht="16.8" customHeight="1" x14ac:dyDescent="0.25">
      <c r="B264" s="20">
        <f t="shared" si="21"/>
        <v>260</v>
      </c>
      <c r="C264" s="23">
        <f t="shared" ref="C264:C327" si="26">IF((IFERROR(C263-E264,0)-H264)&lt;0,0,IFERROR(C263-E264,0)-H264)</f>
        <v>284485.76168389752</v>
      </c>
      <c r="D264" s="21">
        <f t="shared" si="22"/>
        <v>4417.4004774456535</v>
      </c>
      <c r="E264" s="21">
        <f t="shared" si="23"/>
        <v>1701.8257201210345</v>
      </c>
      <c r="F264" s="21">
        <f t="shared" si="24"/>
        <v>2715.574757324619</v>
      </c>
      <c r="G264" s="21">
        <f t="shared" si="25"/>
        <v>0</v>
      </c>
    </row>
    <row r="265" spans="2:7" ht="16.8" customHeight="1" x14ac:dyDescent="0.25">
      <c r="B265" s="20">
        <f t="shared" si="21"/>
        <v>261</v>
      </c>
      <c r="C265" s="23">
        <f t="shared" si="26"/>
        <v>282767.78769190749</v>
      </c>
      <c r="D265" s="21">
        <f t="shared" si="22"/>
        <v>4417.4004774456535</v>
      </c>
      <c r="E265" s="21">
        <f t="shared" si="23"/>
        <v>1717.9739919900103</v>
      </c>
      <c r="F265" s="21">
        <f t="shared" si="24"/>
        <v>2699.4264854556432</v>
      </c>
      <c r="G265" s="21">
        <f t="shared" si="25"/>
        <v>0</v>
      </c>
    </row>
    <row r="266" spans="2:7" ht="16.8" customHeight="1" x14ac:dyDescent="0.25">
      <c r="B266" s="20">
        <f t="shared" si="21"/>
        <v>262</v>
      </c>
      <c r="C266" s="23">
        <f t="shared" si="26"/>
        <v>281033.51220044051</v>
      </c>
      <c r="D266" s="21">
        <f t="shared" si="22"/>
        <v>4417.4004774456525</v>
      </c>
      <c r="E266" s="21">
        <f t="shared" si="23"/>
        <v>1734.2754914670022</v>
      </c>
      <c r="F266" s="21">
        <f t="shared" si="24"/>
        <v>2683.1249859786503</v>
      </c>
      <c r="G266" s="21">
        <f t="shared" si="25"/>
        <v>0</v>
      </c>
    </row>
    <row r="267" spans="2:7" ht="16.8" customHeight="1" x14ac:dyDescent="0.25">
      <c r="B267" s="20">
        <f t="shared" si="21"/>
        <v>263</v>
      </c>
      <c r="C267" s="23">
        <f t="shared" si="26"/>
        <v>279282.78052794345</v>
      </c>
      <c r="D267" s="21">
        <f t="shared" si="22"/>
        <v>4417.4004774456535</v>
      </c>
      <c r="E267" s="21">
        <f t="shared" si="23"/>
        <v>1750.7316724970551</v>
      </c>
      <c r="F267" s="21">
        <f t="shared" si="24"/>
        <v>2666.6688049485983</v>
      </c>
      <c r="G267" s="21">
        <f t="shared" si="25"/>
        <v>0</v>
      </c>
    </row>
    <row r="268" spans="2:7" ht="16.8" customHeight="1" x14ac:dyDescent="0.25">
      <c r="B268" s="20">
        <f t="shared" si="21"/>
        <v>264</v>
      </c>
      <c r="C268" s="23">
        <f t="shared" si="26"/>
        <v>277515.43652512203</v>
      </c>
      <c r="D268" s="21">
        <f t="shared" si="22"/>
        <v>4417.4004774456525</v>
      </c>
      <c r="E268" s="21">
        <f t="shared" si="23"/>
        <v>1767.3440028213954</v>
      </c>
      <c r="F268" s="21">
        <f t="shared" si="24"/>
        <v>2650.0564746242571</v>
      </c>
      <c r="G268" s="21">
        <f t="shared" si="25"/>
        <v>0</v>
      </c>
    </row>
    <row r="269" spans="2:7" ht="16.8" customHeight="1" x14ac:dyDescent="0.25">
      <c r="B269" s="20">
        <f t="shared" si="21"/>
        <v>265</v>
      </c>
      <c r="C269" s="23">
        <f t="shared" si="26"/>
        <v>275731.32256101369</v>
      </c>
      <c r="D269" s="21">
        <f t="shared" si="22"/>
        <v>4417.4004774456525</v>
      </c>
      <c r="E269" s="21">
        <f t="shared" si="23"/>
        <v>1784.113964108345</v>
      </c>
      <c r="F269" s="21">
        <f t="shared" si="24"/>
        <v>2633.2865133373075</v>
      </c>
      <c r="G269" s="21">
        <f t="shared" si="25"/>
        <v>0</v>
      </c>
    </row>
    <row r="270" spans="2:7" ht="16.8" customHeight="1" x14ac:dyDescent="0.25">
      <c r="B270" s="20">
        <f t="shared" si="21"/>
        <v>266</v>
      </c>
      <c r="C270" s="23">
        <f t="shared" si="26"/>
        <v>273930.27950892824</v>
      </c>
      <c r="D270" s="21">
        <f t="shared" si="22"/>
        <v>4417.4004774456535</v>
      </c>
      <c r="E270" s="21">
        <f t="shared" si="23"/>
        <v>1801.0430520854679</v>
      </c>
      <c r="F270" s="21">
        <f t="shared" si="24"/>
        <v>2616.3574253601855</v>
      </c>
      <c r="G270" s="21">
        <f t="shared" si="25"/>
        <v>0</v>
      </c>
    </row>
    <row r="271" spans="2:7" ht="16.8" customHeight="1" x14ac:dyDescent="0.25">
      <c r="B271" s="20">
        <f t="shared" si="21"/>
        <v>267</v>
      </c>
      <c r="C271" s="23">
        <f t="shared" si="26"/>
        <v>272112.14673225529</v>
      </c>
      <c r="D271" s="21">
        <f t="shared" si="22"/>
        <v>4417.4004774456535</v>
      </c>
      <c r="E271" s="21">
        <f t="shared" si="23"/>
        <v>1818.1327766729764</v>
      </c>
      <c r="F271" s="21">
        <f t="shared" si="24"/>
        <v>2599.267700772677</v>
      </c>
      <c r="G271" s="21">
        <f t="shared" si="25"/>
        <v>0</v>
      </c>
    </row>
    <row r="272" spans="2:7" ht="16.8" customHeight="1" x14ac:dyDescent="0.25">
      <c r="B272" s="20">
        <f t="shared" si="21"/>
        <v>268</v>
      </c>
      <c r="C272" s="23">
        <f t="shared" si="26"/>
        <v>270276.7620701369</v>
      </c>
      <c r="D272" s="21">
        <f t="shared" si="22"/>
        <v>4417.4004774456535</v>
      </c>
      <c r="E272" s="21">
        <f t="shared" si="23"/>
        <v>1835.3846621184043</v>
      </c>
      <c r="F272" s="21">
        <f t="shared" si="24"/>
        <v>2582.0158153272491</v>
      </c>
      <c r="G272" s="21">
        <f t="shared" si="25"/>
        <v>0</v>
      </c>
    </row>
    <row r="273" spans="2:7" ht="16.8" customHeight="1" x14ac:dyDescent="0.25">
      <c r="B273" s="20">
        <f t="shared" si="21"/>
        <v>269</v>
      </c>
      <c r="C273" s="23">
        <f t="shared" si="26"/>
        <v>268423.96182300436</v>
      </c>
      <c r="D273" s="21">
        <f t="shared" si="22"/>
        <v>4417.4004774456535</v>
      </c>
      <c r="E273" s="21">
        <f t="shared" si="23"/>
        <v>1852.8002471325553</v>
      </c>
      <c r="F273" s="21">
        <f t="shared" si="24"/>
        <v>2564.6002303130981</v>
      </c>
      <c r="G273" s="21">
        <f t="shared" si="25"/>
        <v>0</v>
      </c>
    </row>
    <row r="274" spans="2:7" ht="16.8" customHeight="1" x14ac:dyDescent="0.25">
      <c r="B274" s="20">
        <f t="shared" si="21"/>
        <v>270</v>
      </c>
      <c r="C274" s="23">
        <f t="shared" si="26"/>
        <v>266553.58073797764</v>
      </c>
      <c r="D274" s="21">
        <f t="shared" si="22"/>
        <v>4417.4004774456553</v>
      </c>
      <c r="E274" s="21">
        <f t="shared" si="23"/>
        <v>1870.3810850267423</v>
      </c>
      <c r="F274" s="21">
        <f t="shared" si="24"/>
        <v>2547.019392418913</v>
      </c>
      <c r="G274" s="21">
        <f t="shared" si="25"/>
        <v>0</v>
      </c>
    </row>
    <row r="275" spans="2:7" ht="16.8" customHeight="1" x14ac:dyDescent="0.25">
      <c r="B275" s="20">
        <f t="shared" si="21"/>
        <v>271</v>
      </c>
      <c r="C275" s="23">
        <f t="shared" si="26"/>
        <v>264665.45199412631</v>
      </c>
      <c r="D275" s="21">
        <f t="shared" si="22"/>
        <v>4417.4004774456553</v>
      </c>
      <c r="E275" s="21">
        <f t="shared" si="23"/>
        <v>1888.1287438513218</v>
      </c>
      <c r="F275" s="21">
        <f t="shared" si="24"/>
        <v>2529.2717335943335</v>
      </c>
      <c r="G275" s="21">
        <f t="shared" si="25"/>
        <v>0</v>
      </c>
    </row>
    <row r="276" spans="2:7" ht="16.8" customHeight="1" x14ac:dyDescent="0.25">
      <c r="B276" s="20">
        <f t="shared" si="21"/>
        <v>272</v>
      </c>
      <c r="C276" s="23">
        <f t="shared" si="26"/>
        <v>262759.40718759072</v>
      </c>
      <c r="D276" s="21">
        <f t="shared" si="22"/>
        <v>4417.4004774456553</v>
      </c>
      <c r="E276" s="21">
        <f t="shared" si="23"/>
        <v>1906.0448065355613</v>
      </c>
      <c r="F276" s="21">
        <f t="shared" si="24"/>
        <v>2511.355670910094</v>
      </c>
      <c r="G276" s="21">
        <f t="shared" si="25"/>
        <v>0</v>
      </c>
    </row>
    <row r="277" spans="2:7" ht="16.8" customHeight="1" x14ac:dyDescent="0.25">
      <c r="B277" s="20">
        <f t="shared" si="21"/>
        <v>273</v>
      </c>
      <c r="C277" s="23">
        <f t="shared" si="26"/>
        <v>260835.27631656191</v>
      </c>
      <c r="D277" s="21">
        <f t="shared" si="22"/>
        <v>4417.4004774456544</v>
      </c>
      <c r="E277" s="21">
        <f t="shared" si="23"/>
        <v>1924.130871028814</v>
      </c>
      <c r="F277" s="21">
        <f t="shared" si="24"/>
        <v>2493.2696064168404</v>
      </c>
      <c r="G277" s="21">
        <f t="shared" si="25"/>
        <v>0</v>
      </c>
    </row>
    <row r="278" spans="2:7" ht="16.8" customHeight="1" x14ac:dyDescent="0.25">
      <c r="B278" s="20">
        <f t="shared" si="21"/>
        <v>274</v>
      </c>
      <c r="C278" s="23">
        <f t="shared" si="26"/>
        <v>258892.88776611886</v>
      </c>
      <c r="D278" s="21">
        <f t="shared" si="22"/>
        <v>4417.4004774456535</v>
      </c>
      <c r="E278" s="21">
        <f t="shared" si="23"/>
        <v>1942.3885504430446</v>
      </c>
      <c r="F278" s="21">
        <f t="shared" si="24"/>
        <v>2475.0119270026089</v>
      </c>
      <c r="G278" s="21">
        <f t="shared" si="25"/>
        <v>0</v>
      </c>
    </row>
    <row r="279" spans="2:7" ht="16.8" customHeight="1" x14ac:dyDescent="0.25">
      <c r="B279" s="20">
        <f t="shared" si="21"/>
        <v>275</v>
      </c>
      <c r="C279" s="23">
        <f t="shared" si="26"/>
        <v>256932.06829292217</v>
      </c>
      <c r="D279" s="21">
        <f t="shared" si="22"/>
        <v>4417.4004774456535</v>
      </c>
      <c r="E279" s="21">
        <f t="shared" si="23"/>
        <v>1960.8194731967033</v>
      </c>
      <c r="F279" s="21">
        <f t="shared" si="24"/>
        <v>2456.5810042489502</v>
      </c>
      <c r="G279" s="21">
        <f t="shared" si="25"/>
        <v>0</v>
      </c>
    </row>
    <row r="280" spans="2:7" ht="16.8" customHeight="1" x14ac:dyDescent="0.25">
      <c r="B280" s="20">
        <f t="shared" si="21"/>
        <v>276</v>
      </c>
      <c r="C280" s="23">
        <f t="shared" si="26"/>
        <v>254952.64300976219</v>
      </c>
      <c r="D280" s="21">
        <f t="shared" si="22"/>
        <v>4417.4004774456544</v>
      </c>
      <c r="E280" s="21">
        <f t="shared" si="23"/>
        <v>1979.4252831599661</v>
      </c>
      <c r="F280" s="21">
        <f t="shared" si="24"/>
        <v>2437.9751942856883</v>
      </c>
      <c r="G280" s="21">
        <f t="shared" si="25"/>
        <v>0</v>
      </c>
    </row>
    <row r="281" spans="2:7" ht="16.8" customHeight="1" x14ac:dyDescent="0.25">
      <c r="B281" s="20">
        <f t="shared" si="21"/>
        <v>277</v>
      </c>
      <c r="C281" s="23">
        <f t="shared" si="26"/>
        <v>252954.43536996085</v>
      </c>
      <c r="D281" s="21">
        <f t="shared" si="22"/>
        <v>4417.4004774456535</v>
      </c>
      <c r="E281" s="21">
        <f t="shared" si="23"/>
        <v>1998.2076398013483</v>
      </c>
      <c r="F281" s="21">
        <f t="shared" si="24"/>
        <v>2419.1928376443052</v>
      </c>
      <c r="G281" s="21">
        <f t="shared" si="25"/>
        <v>0</v>
      </c>
    </row>
    <row r="282" spans="2:7" ht="16.8" customHeight="1" x14ac:dyDescent="0.25">
      <c r="B282" s="20">
        <f t="shared" si="21"/>
        <v>278</v>
      </c>
      <c r="C282" s="23">
        <f t="shared" si="26"/>
        <v>250937.26715162513</v>
      </c>
      <c r="D282" s="21">
        <f t="shared" si="22"/>
        <v>4417.4004774456544</v>
      </c>
      <c r="E282" s="21">
        <f t="shared" si="23"/>
        <v>2017.1682183357261</v>
      </c>
      <c r="F282" s="21">
        <f t="shared" si="24"/>
        <v>2400.2322591099282</v>
      </c>
      <c r="G282" s="21">
        <f t="shared" si="25"/>
        <v>0</v>
      </c>
    </row>
    <row r="283" spans="2:7" ht="16.8" customHeight="1" x14ac:dyDescent="0.25">
      <c r="B283" s="20">
        <f t="shared" si="21"/>
        <v>279</v>
      </c>
      <c r="C283" s="23">
        <f t="shared" si="26"/>
        <v>248900.9584417514</v>
      </c>
      <c r="D283" s="21">
        <f t="shared" si="22"/>
        <v>4417.4004774456535</v>
      </c>
      <c r="E283" s="21">
        <f t="shared" si="23"/>
        <v>2036.3087098737346</v>
      </c>
      <c r="F283" s="21">
        <f t="shared" si="24"/>
        <v>2381.0917675719188</v>
      </c>
      <c r="G283" s="21">
        <f t="shared" si="25"/>
        <v>0</v>
      </c>
    </row>
    <row r="284" spans="2:7" ht="16.8" customHeight="1" x14ac:dyDescent="0.25">
      <c r="B284" s="20">
        <f t="shared" si="21"/>
        <v>280</v>
      </c>
      <c r="C284" s="23">
        <f t="shared" si="26"/>
        <v>246845.32762017878</v>
      </c>
      <c r="D284" s="21">
        <f t="shared" si="22"/>
        <v>4417.4004774456544</v>
      </c>
      <c r="E284" s="21">
        <f t="shared" si="23"/>
        <v>2055.6308215726153</v>
      </c>
      <c r="F284" s="21">
        <f t="shared" si="24"/>
        <v>2361.769655873039</v>
      </c>
      <c r="G284" s="21">
        <f t="shared" si="25"/>
        <v>0</v>
      </c>
    </row>
    <row r="285" spans="2:7" ht="16.8" customHeight="1" x14ac:dyDescent="0.25">
      <c r="B285" s="20">
        <f t="shared" si="21"/>
        <v>281</v>
      </c>
      <c r="C285" s="23">
        <f t="shared" si="26"/>
        <v>244770.19134339032</v>
      </c>
      <c r="D285" s="21">
        <f t="shared" si="22"/>
        <v>4417.4004774456544</v>
      </c>
      <c r="E285" s="21">
        <f t="shared" si="23"/>
        <v>2075.1362767884648</v>
      </c>
      <c r="F285" s="21">
        <f t="shared" si="24"/>
        <v>2342.2642006571896</v>
      </c>
      <c r="G285" s="21">
        <f t="shared" si="25"/>
        <v>0</v>
      </c>
    </row>
    <row r="286" spans="2:7" ht="16.8" customHeight="1" x14ac:dyDescent="0.25">
      <c r="B286" s="20">
        <f t="shared" si="21"/>
        <v>282</v>
      </c>
      <c r="C286" s="23">
        <f t="shared" si="26"/>
        <v>242675.36452816037</v>
      </c>
      <c r="D286" s="21">
        <f t="shared" si="22"/>
        <v>4417.4004774456544</v>
      </c>
      <c r="E286" s="21">
        <f t="shared" si="23"/>
        <v>2094.826815229952</v>
      </c>
      <c r="F286" s="21">
        <f t="shared" si="24"/>
        <v>2322.5736622157024</v>
      </c>
      <c r="G286" s="21">
        <f t="shared" si="25"/>
        <v>0</v>
      </c>
    </row>
    <row r="287" spans="2:7" ht="16.8" customHeight="1" x14ac:dyDescent="0.25">
      <c r="B287" s="20">
        <f t="shared" si="21"/>
        <v>283</v>
      </c>
      <c r="C287" s="23">
        <f t="shared" si="26"/>
        <v>240560.66033504688</v>
      </c>
      <c r="D287" s="21">
        <f t="shared" si="22"/>
        <v>4417.4004774456553</v>
      </c>
      <c r="E287" s="21">
        <f t="shared" si="23"/>
        <v>2114.7041931134822</v>
      </c>
      <c r="F287" s="21">
        <f t="shared" si="24"/>
        <v>2302.696284332173</v>
      </c>
      <c r="G287" s="21">
        <f t="shared" si="25"/>
        <v>0</v>
      </c>
    </row>
    <row r="288" spans="2:7" ht="16.8" customHeight="1" x14ac:dyDescent="0.25">
      <c r="B288" s="20">
        <f t="shared" si="21"/>
        <v>284</v>
      </c>
      <c r="C288" s="23">
        <f t="shared" si="26"/>
        <v>238425.89015172704</v>
      </c>
      <c r="D288" s="21">
        <f t="shared" si="22"/>
        <v>4417.4004774456544</v>
      </c>
      <c r="E288" s="21">
        <f t="shared" si="23"/>
        <v>2134.7701833198298</v>
      </c>
      <c r="F288" s="21">
        <f t="shared" si="24"/>
        <v>2282.6302941258245</v>
      </c>
      <c r="G288" s="21">
        <f t="shared" si="25"/>
        <v>0</v>
      </c>
    </row>
    <row r="289" spans="2:7" ht="16.8" customHeight="1" x14ac:dyDescent="0.25">
      <c r="B289" s="20">
        <f t="shared" si="21"/>
        <v>285</v>
      </c>
      <c r="C289" s="23">
        <f t="shared" si="26"/>
        <v>236270.86357617477</v>
      </c>
      <c r="D289" s="21">
        <f t="shared" si="22"/>
        <v>4417.4004774456535</v>
      </c>
      <c r="E289" s="21">
        <f t="shared" si="23"/>
        <v>2155.0265755522723</v>
      </c>
      <c r="F289" s="21">
        <f t="shared" si="24"/>
        <v>2262.3739018933811</v>
      </c>
      <c r="G289" s="21">
        <f t="shared" si="25"/>
        <v>0</v>
      </c>
    </row>
    <row r="290" spans="2:7" ht="16.8" customHeight="1" x14ac:dyDescent="0.25">
      <c r="B290" s="20">
        <f t="shared" si="21"/>
        <v>286</v>
      </c>
      <c r="C290" s="23">
        <f t="shared" si="26"/>
        <v>234095.38839967857</v>
      </c>
      <c r="D290" s="21">
        <f t="shared" si="22"/>
        <v>4417.4004774456535</v>
      </c>
      <c r="E290" s="21">
        <f t="shared" si="23"/>
        <v>2175.4751764962116</v>
      </c>
      <c r="F290" s="21">
        <f t="shared" si="24"/>
        <v>2241.9253009494419</v>
      </c>
      <c r="G290" s="21">
        <f t="shared" si="25"/>
        <v>0</v>
      </c>
    </row>
    <row r="291" spans="2:7" ht="16.8" customHeight="1" x14ac:dyDescent="0.25">
      <c r="B291" s="20">
        <f t="shared" si="21"/>
        <v>287</v>
      </c>
      <c r="C291" s="23">
        <f t="shared" si="26"/>
        <v>231899.27058969825</v>
      </c>
      <c r="D291" s="21">
        <f t="shared" si="22"/>
        <v>4417.4004774456535</v>
      </c>
      <c r="E291" s="21">
        <f t="shared" si="23"/>
        <v>2196.1178099803096</v>
      </c>
      <c r="F291" s="21">
        <f t="shared" si="24"/>
        <v>2221.2826674653438</v>
      </c>
      <c r="G291" s="21">
        <f t="shared" si="25"/>
        <v>0</v>
      </c>
    </row>
    <row r="292" spans="2:7" ht="16.8" customHeight="1" x14ac:dyDescent="0.25">
      <c r="B292" s="20">
        <f t="shared" si="21"/>
        <v>288</v>
      </c>
      <c r="C292" s="23">
        <f t="shared" si="26"/>
        <v>229682.3142725591</v>
      </c>
      <c r="D292" s="21">
        <f t="shared" si="22"/>
        <v>4417.4004774456535</v>
      </c>
      <c r="E292" s="21">
        <f t="shared" si="23"/>
        <v>2216.9563171391628</v>
      </c>
      <c r="F292" s="21">
        <f t="shared" si="24"/>
        <v>2200.4441603064906</v>
      </c>
      <c r="G292" s="21">
        <f t="shared" si="25"/>
        <v>0</v>
      </c>
    </row>
    <row r="293" spans="2:7" ht="16.8" customHeight="1" x14ac:dyDescent="0.25">
      <c r="B293" s="20">
        <f t="shared" si="21"/>
        <v>289</v>
      </c>
      <c r="C293" s="23">
        <f t="shared" si="26"/>
        <v>227444.32171598158</v>
      </c>
      <c r="D293" s="21">
        <f t="shared" si="22"/>
        <v>4417.4004774456553</v>
      </c>
      <c r="E293" s="21">
        <f t="shared" si="23"/>
        <v>2237.9925565775138</v>
      </c>
      <c r="F293" s="21">
        <f t="shared" si="24"/>
        <v>2179.4079208681414</v>
      </c>
      <c r="G293" s="21">
        <f t="shared" si="25"/>
        <v>0</v>
      </c>
    </row>
    <row r="294" spans="2:7" ht="16.8" customHeight="1" x14ac:dyDescent="0.25">
      <c r="B294" s="20">
        <f t="shared" si="21"/>
        <v>290</v>
      </c>
      <c r="C294" s="23">
        <f t="shared" si="26"/>
        <v>225185.09331144555</v>
      </c>
      <c r="D294" s="21">
        <f t="shared" si="22"/>
        <v>4417.4004774456544</v>
      </c>
      <c r="E294" s="21">
        <f t="shared" si="23"/>
        <v>2259.2284045360152</v>
      </c>
      <c r="F294" s="21">
        <f t="shared" si="24"/>
        <v>2158.1720729096392</v>
      </c>
      <c r="G294" s="21">
        <f t="shared" si="25"/>
        <v>0</v>
      </c>
    </row>
    <row r="295" spans="2:7" ht="16.8" customHeight="1" x14ac:dyDescent="0.25">
      <c r="B295" s="20">
        <f t="shared" si="21"/>
        <v>291</v>
      </c>
      <c r="C295" s="23">
        <f t="shared" si="26"/>
        <v>222904.42755638697</v>
      </c>
      <c r="D295" s="21">
        <f t="shared" si="22"/>
        <v>4417.4004774456535</v>
      </c>
      <c r="E295" s="21">
        <f t="shared" si="23"/>
        <v>2280.6657550585851</v>
      </c>
      <c r="F295" s="21">
        <f t="shared" si="24"/>
        <v>2136.7347223870684</v>
      </c>
      <c r="G295" s="21">
        <f t="shared" si="25"/>
        <v>0</v>
      </c>
    </row>
    <row r="296" spans="2:7" ht="16.8" customHeight="1" x14ac:dyDescent="0.25">
      <c r="B296" s="20">
        <f t="shared" si="21"/>
        <v>292</v>
      </c>
      <c r="C296" s="23">
        <f t="shared" si="26"/>
        <v>220602.12103622564</v>
      </c>
      <c r="D296" s="21">
        <f t="shared" si="22"/>
        <v>4417.4004774456544</v>
      </c>
      <c r="E296" s="21">
        <f t="shared" si="23"/>
        <v>2302.3065201613313</v>
      </c>
      <c r="F296" s="21">
        <f t="shared" si="24"/>
        <v>2115.0939572843231</v>
      </c>
      <c r="G296" s="21">
        <f t="shared" si="25"/>
        <v>0</v>
      </c>
    </row>
    <row r="297" spans="2:7" ht="16.8" customHeight="1" x14ac:dyDescent="0.25">
      <c r="B297" s="20">
        <f t="shared" si="21"/>
        <v>293</v>
      </c>
      <c r="C297" s="23">
        <f t="shared" si="26"/>
        <v>218277.96840622256</v>
      </c>
      <c r="D297" s="21">
        <f t="shared" si="22"/>
        <v>4417.4004774456544</v>
      </c>
      <c r="E297" s="21">
        <f t="shared" si="23"/>
        <v>2324.1526300030828</v>
      </c>
      <c r="F297" s="21">
        <f t="shared" si="24"/>
        <v>2093.2478474425716</v>
      </c>
      <c r="G297" s="21">
        <f t="shared" si="25"/>
        <v>0</v>
      </c>
    </row>
    <row r="298" spans="2:7" ht="16.8" customHeight="1" x14ac:dyDescent="0.25">
      <c r="B298" s="20">
        <f t="shared" si="21"/>
        <v>294</v>
      </c>
      <c r="C298" s="23">
        <f t="shared" si="26"/>
        <v>215931.76237316499</v>
      </c>
      <c r="D298" s="21">
        <f t="shared" si="22"/>
        <v>4417.4004774456544</v>
      </c>
      <c r="E298" s="21">
        <f t="shared" si="23"/>
        <v>2346.2060330575487</v>
      </c>
      <c r="F298" s="21">
        <f t="shared" si="24"/>
        <v>2071.1944443881057</v>
      </c>
      <c r="G298" s="21">
        <f t="shared" si="25"/>
        <v>0</v>
      </c>
    </row>
    <row r="299" spans="2:7" ht="16.8" customHeight="1" x14ac:dyDescent="0.25">
      <c r="B299" s="20">
        <f t="shared" si="21"/>
        <v>295</v>
      </c>
      <c r="C299" s="23">
        <f t="shared" si="26"/>
        <v>213563.29367687789</v>
      </c>
      <c r="D299" s="21">
        <f t="shared" si="22"/>
        <v>4417.4004774456535</v>
      </c>
      <c r="E299" s="21">
        <f t="shared" si="23"/>
        <v>2368.4686962871001</v>
      </c>
      <c r="F299" s="21">
        <f t="shared" si="24"/>
        <v>2048.9317811585533</v>
      </c>
      <c r="G299" s="21">
        <f t="shared" si="25"/>
        <v>0</v>
      </c>
    </row>
    <row r="300" spans="2:7" ht="16.8" customHeight="1" x14ac:dyDescent="0.25">
      <c r="B300" s="20">
        <f t="shared" si="21"/>
        <v>296</v>
      </c>
      <c r="C300" s="23">
        <f t="shared" si="26"/>
        <v>211172.35107155968</v>
      </c>
      <c r="D300" s="21">
        <f t="shared" si="22"/>
        <v>4417.4004774456535</v>
      </c>
      <c r="E300" s="21">
        <f t="shared" si="23"/>
        <v>2390.9426053182106</v>
      </c>
      <c r="F300" s="21">
        <f t="shared" si="24"/>
        <v>2026.4578721274429</v>
      </c>
      <c r="G300" s="21">
        <f t="shared" si="25"/>
        <v>0</v>
      </c>
    </row>
    <row r="301" spans="2:7" ht="16.8" customHeight="1" x14ac:dyDescent="0.25">
      <c r="B301" s="20">
        <f t="shared" si="21"/>
        <v>297</v>
      </c>
      <c r="C301" s="23">
        <f t="shared" si="26"/>
        <v>208758.72130694112</v>
      </c>
      <c r="D301" s="21">
        <f t="shared" si="22"/>
        <v>4417.4004774456535</v>
      </c>
      <c r="E301" s="21">
        <f t="shared" si="23"/>
        <v>2413.6297646185476</v>
      </c>
      <c r="F301" s="21">
        <f t="shared" si="24"/>
        <v>2003.7707128271059</v>
      </c>
      <c r="G301" s="21">
        <f t="shared" si="25"/>
        <v>0</v>
      </c>
    </row>
    <row r="302" spans="2:7" ht="16.8" customHeight="1" x14ac:dyDescent="0.25">
      <c r="B302" s="20">
        <f t="shared" si="21"/>
        <v>298</v>
      </c>
      <c r="C302" s="23">
        <f t="shared" si="26"/>
        <v>206322.18910926537</v>
      </c>
      <c r="D302" s="21">
        <f t="shared" si="22"/>
        <v>4417.4004774456535</v>
      </c>
      <c r="E302" s="21">
        <f t="shared" si="23"/>
        <v>2436.5321976757596</v>
      </c>
      <c r="F302" s="21">
        <f t="shared" si="24"/>
        <v>1980.8682797698941</v>
      </c>
      <c r="G302" s="21">
        <f t="shared" si="25"/>
        <v>0</v>
      </c>
    </row>
    <row r="303" spans="2:7" ht="16.8" customHeight="1" x14ac:dyDescent="0.25">
      <c r="B303" s="20">
        <f t="shared" si="21"/>
        <v>299</v>
      </c>
      <c r="C303" s="23">
        <f t="shared" si="26"/>
        <v>203862.53716208742</v>
      </c>
      <c r="D303" s="21">
        <f t="shared" si="22"/>
        <v>4417.4004774456535</v>
      </c>
      <c r="E303" s="21">
        <f t="shared" si="23"/>
        <v>2459.6519471779493</v>
      </c>
      <c r="F303" s="21">
        <f t="shared" si="24"/>
        <v>1957.7485302677042</v>
      </c>
      <c r="G303" s="21">
        <f t="shared" si="25"/>
        <v>0</v>
      </c>
    </row>
    <row r="304" spans="2:7" ht="16.8" customHeight="1" x14ac:dyDescent="0.25">
      <c r="B304" s="20">
        <f t="shared" si="21"/>
        <v>300</v>
      </c>
      <c r="C304" s="23">
        <f t="shared" si="26"/>
        <v>201379.54608689155</v>
      </c>
      <c r="D304" s="21">
        <f t="shared" si="22"/>
        <v>4417.4004774456535</v>
      </c>
      <c r="E304" s="21">
        <f t="shared" si="23"/>
        <v>2482.9910751958651</v>
      </c>
      <c r="F304" s="21">
        <f t="shared" si="24"/>
        <v>1934.4094022497886</v>
      </c>
      <c r="G304" s="21">
        <f t="shared" si="25"/>
        <v>0</v>
      </c>
    </row>
    <row r="305" spans="2:7" ht="16.8" customHeight="1" x14ac:dyDescent="0.25">
      <c r="B305" s="20">
        <f t="shared" si="21"/>
        <v>301</v>
      </c>
      <c r="C305" s="23">
        <f t="shared" si="26"/>
        <v>198872.99442352474</v>
      </c>
      <c r="D305" s="21">
        <f t="shared" si="22"/>
        <v>4417.4004774456535</v>
      </c>
      <c r="E305" s="21">
        <f t="shared" si="23"/>
        <v>2506.5516633668158</v>
      </c>
      <c r="F305" s="21">
        <f t="shared" si="24"/>
        <v>1910.8488140788374</v>
      </c>
      <c r="G305" s="21">
        <f t="shared" si="25"/>
        <v>0</v>
      </c>
    </row>
    <row r="306" spans="2:7" ht="16.8" customHeight="1" x14ac:dyDescent="0.25">
      <c r="B306" s="20">
        <f t="shared" si="21"/>
        <v>302</v>
      </c>
      <c r="C306" s="23">
        <f t="shared" si="26"/>
        <v>196342.6586104444</v>
      </c>
      <c r="D306" s="21">
        <f t="shared" si="22"/>
        <v>4417.4004774456535</v>
      </c>
      <c r="E306" s="21">
        <f t="shared" si="23"/>
        <v>2530.3358130803385</v>
      </c>
      <c r="F306" s="21">
        <f t="shared" si="24"/>
        <v>1887.0646643653149</v>
      </c>
      <c r="G306" s="21">
        <f t="shared" si="25"/>
        <v>0</v>
      </c>
    </row>
    <row r="307" spans="2:7" ht="16.8" customHeight="1" x14ac:dyDescent="0.25">
      <c r="B307" s="20">
        <f t="shared" si="21"/>
        <v>303</v>
      </c>
      <c r="C307" s="23">
        <f t="shared" si="26"/>
        <v>193788.31296477877</v>
      </c>
      <c r="D307" s="21">
        <f t="shared" si="22"/>
        <v>4417.4004774456544</v>
      </c>
      <c r="E307" s="21">
        <f t="shared" si="23"/>
        <v>2554.3456456656186</v>
      </c>
      <c r="F307" s="21">
        <f t="shared" si="24"/>
        <v>1863.0548317800358</v>
      </c>
      <c r="G307" s="21">
        <f t="shared" si="25"/>
        <v>0</v>
      </c>
    </row>
    <row r="308" spans="2:7" ht="16.8" customHeight="1" x14ac:dyDescent="0.25">
      <c r="B308" s="20">
        <f t="shared" si="21"/>
        <v>304</v>
      </c>
      <c r="C308" s="23">
        <f t="shared" si="26"/>
        <v>191209.72966219808</v>
      </c>
      <c r="D308" s="21">
        <f t="shared" si="22"/>
        <v>4417.4004774456535</v>
      </c>
      <c r="E308" s="21">
        <f t="shared" si="23"/>
        <v>2578.5833025806924</v>
      </c>
      <c r="F308" s="21">
        <f t="shared" si="24"/>
        <v>1838.8171748649609</v>
      </c>
      <c r="G308" s="21">
        <f t="shared" si="25"/>
        <v>0</v>
      </c>
    </row>
    <row r="309" spans="2:7" ht="16.8" customHeight="1" x14ac:dyDescent="0.25">
      <c r="B309" s="20">
        <f t="shared" si="21"/>
        <v>305</v>
      </c>
      <c r="C309" s="23">
        <f t="shared" si="26"/>
        <v>188606.67871659462</v>
      </c>
      <c r="D309" s="21">
        <f t="shared" si="22"/>
        <v>4417.4004774456535</v>
      </c>
      <c r="E309" s="21">
        <f t="shared" si="23"/>
        <v>2603.0509456034542</v>
      </c>
      <c r="F309" s="21">
        <f t="shared" si="24"/>
        <v>1814.3495318421994</v>
      </c>
      <c r="G309" s="21">
        <f t="shared" si="25"/>
        <v>0</v>
      </c>
    </row>
    <row r="310" spans="2:7" ht="16.8" customHeight="1" x14ac:dyDescent="0.25">
      <c r="B310" s="20">
        <f t="shared" si="21"/>
        <v>306</v>
      </c>
      <c r="C310" s="23">
        <f t="shared" si="26"/>
        <v>185978.92795957017</v>
      </c>
      <c r="D310" s="21">
        <f t="shared" si="22"/>
        <v>4417.4004774456535</v>
      </c>
      <c r="E310" s="21">
        <f t="shared" si="23"/>
        <v>2627.7507570244561</v>
      </c>
      <c r="F310" s="21">
        <f t="shared" si="24"/>
        <v>1789.6497204211976</v>
      </c>
      <c r="G310" s="21">
        <f t="shared" si="25"/>
        <v>0</v>
      </c>
    </row>
    <row r="311" spans="2:7" ht="16.8" customHeight="1" x14ac:dyDescent="0.25">
      <c r="B311" s="20">
        <f t="shared" si="21"/>
        <v>307</v>
      </c>
      <c r="C311" s="23">
        <f t="shared" si="26"/>
        <v>183326.2430197286</v>
      </c>
      <c r="D311" s="21">
        <f t="shared" si="22"/>
        <v>4417.4004774456535</v>
      </c>
      <c r="E311" s="21">
        <f t="shared" si="23"/>
        <v>2652.6849398415548</v>
      </c>
      <c r="F311" s="21">
        <f t="shared" si="24"/>
        <v>1764.7155376040987</v>
      </c>
      <c r="G311" s="21">
        <f t="shared" si="25"/>
        <v>0</v>
      </c>
    </row>
    <row r="312" spans="2:7" ht="16.8" customHeight="1" x14ac:dyDescent="0.25">
      <c r="B312" s="20">
        <f t="shared" si="21"/>
        <v>308</v>
      </c>
      <c r="C312" s="23">
        <f t="shared" si="26"/>
        <v>180648.38730177219</v>
      </c>
      <c r="D312" s="21">
        <f t="shared" si="22"/>
        <v>4417.4004774456535</v>
      </c>
      <c r="E312" s="21">
        <f t="shared" si="23"/>
        <v>2677.8557179563986</v>
      </c>
      <c r="F312" s="21">
        <f t="shared" si="24"/>
        <v>1739.5447594892551</v>
      </c>
      <c r="G312" s="21">
        <f t="shared" si="25"/>
        <v>0</v>
      </c>
    </row>
    <row r="313" spans="2:7" ht="16.8" customHeight="1" x14ac:dyDescent="0.25">
      <c r="B313" s="20">
        <f t="shared" si="21"/>
        <v>309</v>
      </c>
      <c r="C313" s="23">
        <f t="shared" si="26"/>
        <v>177945.12196539942</v>
      </c>
      <c r="D313" s="21">
        <f t="shared" si="22"/>
        <v>4417.4004774456535</v>
      </c>
      <c r="E313" s="21">
        <f t="shared" si="23"/>
        <v>2703.2653363727759</v>
      </c>
      <c r="F313" s="21">
        <f t="shared" si="24"/>
        <v>1714.1351410728776</v>
      </c>
      <c r="G313" s="21">
        <f t="shared" si="25"/>
        <v>0</v>
      </c>
    </row>
    <row r="314" spans="2:7" ht="16.8" customHeight="1" x14ac:dyDescent="0.25">
      <c r="B314" s="20">
        <f t="shared" si="21"/>
        <v>310</v>
      </c>
      <c r="C314" s="23">
        <f t="shared" si="26"/>
        <v>175216.20590400256</v>
      </c>
      <c r="D314" s="21">
        <f t="shared" si="22"/>
        <v>4417.4004774456525</v>
      </c>
      <c r="E314" s="21">
        <f t="shared" si="23"/>
        <v>2728.9160613968525</v>
      </c>
      <c r="F314" s="21">
        <f t="shared" si="24"/>
        <v>1688.4844160488003</v>
      </c>
      <c r="G314" s="21">
        <f t="shared" si="25"/>
        <v>0</v>
      </c>
    </row>
    <row r="315" spans="2:7" ht="16.8" customHeight="1" x14ac:dyDescent="0.25">
      <c r="B315" s="20">
        <f t="shared" si="21"/>
        <v>311</v>
      </c>
      <c r="C315" s="23">
        <f t="shared" si="26"/>
        <v>172461.39572316327</v>
      </c>
      <c r="D315" s="21">
        <f t="shared" si="22"/>
        <v>4417.4004774456525</v>
      </c>
      <c r="E315" s="21">
        <f t="shared" si="23"/>
        <v>2754.8101808393048</v>
      </c>
      <c r="F315" s="21">
        <f t="shared" si="24"/>
        <v>1662.5902966063477</v>
      </c>
      <c r="G315" s="21">
        <f t="shared" si="25"/>
        <v>0</v>
      </c>
    </row>
    <row r="316" spans="2:7" ht="16.8" customHeight="1" x14ac:dyDescent="0.25">
      <c r="B316" s="20">
        <f t="shared" si="21"/>
        <v>312</v>
      </c>
      <c r="C316" s="23">
        <f t="shared" si="26"/>
        <v>169680.4457189439</v>
      </c>
      <c r="D316" s="21">
        <f t="shared" si="22"/>
        <v>4417.4004774456535</v>
      </c>
      <c r="E316" s="21">
        <f t="shared" si="23"/>
        <v>2780.9500042193713</v>
      </c>
      <c r="F316" s="21">
        <f t="shared" si="24"/>
        <v>1636.4504732262824</v>
      </c>
      <c r="G316" s="21">
        <f t="shared" si="25"/>
        <v>0</v>
      </c>
    </row>
    <row r="317" spans="2:7" ht="16.8" customHeight="1" x14ac:dyDescent="0.25">
      <c r="B317" s="20">
        <f t="shared" si="21"/>
        <v>313</v>
      </c>
      <c r="C317" s="23">
        <f t="shared" si="26"/>
        <v>166873.10785597307</v>
      </c>
      <c r="D317" s="21">
        <f t="shared" si="22"/>
        <v>4417.4004774456525</v>
      </c>
      <c r="E317" s="21">
        <f t="shared" si="23"/>
        <v>2807.3378629708359</v>
      </c>
      <c r="F317" s="21">
        <f t="shared" si="24"/>
        <v>1610.0626144748169</v>
      </c>
      <c r="G317" s="21">
        <f t="shared" si="25"/>
        <v>0</v>
      </c>
    </row>
    <row r="318" spans="2:7" ht="16.8" customHeight="1" x14ac:dyDescent="0.25">
      <c r="B318" s="20">
        <f t="shared" si="21"/>
        <v>314</v>
      </c>
      <c r="C318" s="23">
        <f t="shared" si="26"/>
        <v>164039.13174532307</v>
      </c>
      <c r="D318" s="21">
        <f t="shared" si="22"/>
        <v>4417.4004774456525</v>
      </c>
      <c r="E318" s="21">
        <f t="shared" si="23"/>
        <v>2833.9761106499809</v>
      </c>
      <c r="F318" s="21">
        <f t="shared" si="24"/>
        <v>1583.4243667956719</v>
      </c>
      <c r="G318" s="21">
        <f t="shared" si="25"/>
        <v>0</v>
      </c>
    </row>
    <row r="319" spans="2:7" ht="16.8" customHeight="1" x14ac:dyDescent="0.25">
      <c r="B319" s="20">
        <f t="shared" si="21"/>
        <v>315</v>
      </c>
      <c r="C319" s="23">
        <f t="shared" si="26"/>
        <v>161178.26462217758</v>
      </c>
      <c r="D319" s="21">
        <f t="shared" si="22"/>
        <v>4417.4004774456525</v>
      </c>
      <c r="E319" s="21">
        <f t="shared" si="23"/>
        <v>2860.8671231454937</v>
      </c>
      <c r="F319" s="21">
        <f t="shared" si="24"/>
        <v>1556.5333543001591</v>
      </c>
      <c r="G319" s="21">
        <f t="shared" si="25"/>
        <v>0</v>
      </c>
    </row>
    <row r="320" spans="2:7" ht="16.8" customHeight="1" x14ac:dyDescent="0.25">
      <c r="B320" s="20">
        <f t="shared" si="21"/>
        <v>316</v>
      </c>
      <c r="C320" s="23">
        <f t="shared" si="26"/>
        <v>158290.2513232872</v>
      </c>
      <c r="D320" s="21">
        <f t="shared" si="22"/>
        <v>4417.4004774456525</v>
      </c>
      <c r="E320" s="21">
        <f t="shared" si="23"/>
        <v>2888.0132988903774</v>
      </c>
      <c r="F320" s="21">
        <f t="shared" si="24"/>
        <v>1529.3871785552751</v>
      </c>
      <c r="G320" s="21">
        <f t="shared" si="25"/>
        <v>0</v>
      </c>
    </row>
    <row r="321" spans="2:7" ht="16.8" customHeight="1" x14ac:dyDescent="0.25">
      <c r="B321" s="20">
        <f t="shared" si="21"/>
        <v>317</v>
      </c>
      <c r="C321" s="23">
        <f t="shared" si="26"/>
        <v>155374.83426421133</v>
      </c>
      <c r="D321" s="21">
        <f t="shared" si="22"/>
        <v>4417.4004774456535</v>
      </c>
      <c r="E321" s="21">
        <f t="shared" si="23"/>
        <v>2915.4170590758713</v>
      </c>
      <c r="F321" s="21">
        <f t="shared" si="24"/>
        <v>1501.9834183697822</v>
      </c>
      <c r="G321" s="21">
        <f t="shared" si="25"/>
        <v>0</v>
      </c>
    </row>
    <row r="322" spans="2:7" ht="16.8" customHeight="1" x14ac:dyDescent="0.25">
      <c r="B322" s="20">
        <f t="shared" si="21"/>
        <v>318</v>
      </c>
      <c r="C322" s="23">
        <f t="shared" si="26"/>
        <v>152431.75341634394</v>
      </c>
      <c r="D322" s="21">
        <f t="shared" si="22"/>
        <v>4417.4004774456525</v>
      </c>
      <c r="E322" s="21">
        <f t="shared" si="23"/>
        <v>2943.0808478673925</v>
      </c>
      <c r="F322" s="21">
        <f t="shared" si="24"/>
        <v>1474.3196295782602</v>
      </c>
      <c r="G322" s="21">
        <f t="shared" si="25"/>
        <v>0</v>
      </c>
    </row>
    <row r="323" spans="2:7" ht="16.8" customHeight="1" x14ac:dyDescent="0.25">
      <c r="B323" s="20">
        <f t="shared" si="21"/>
        <v>319</v>
      </c>
      <c r="C323" s="23">
        <f t="shared" si="26"/>
        <v>149460.74628372141</v>
      </c>
      <c r="D323" s="21">
        <f t="shared" si="22"/>
        <v>4417.4004774456535</v>
      </c>
      <c r="E323" s="21">
        <f t="shared" si="23"/>
        <v>2971.0071326225443</v>
      </c>
      <c r="F323" s="21">
        <f t="shared" si="24"/>
        <v>1446.3933448231094</v>
      </c>
      <c r="G323" s="21">
        <f t="shared" si="25"/>
        <v>0</v>
      </c>
    </row>
    <row r="324" spans="2:7" ht="16.8" customHeight="1" x14ac:dyDescent="0.25">
      <c r="B324" s="20">
        <f t="shared" si="21"/>
        <v>320</v>
      </c>
      <c r="C324" s="23">
        <f t="shared" si="26"/>
        <v>146461.54787961024</v>
      </c>
      <c r="D324" s="21">
        <f t="shared" si="22"/>
        <v>4417.4004774456535</v>
      </c>
      <c r="E324" s="21">
        <f t="shared" si="23"/>
        <v>2999.1984041111682</v>
      </c>
      <c r="F324" s="21">
        <f t="shared" si="24"/>
        <v>1418.202073334485</v>
      </c>
      <c r="G324" s="21">
        <f t="shared" si="25"/>
        <v>0</v>
      </c>
    </row>
    <row r="325" spans="2:7" ht="16.8" customHeight="1" x14ac:dyDescent="0.25">
      <c r="B325" s="20">
        <f t="shared" si="21"/>
        <v>321</v>
      </c>
      <c r="C325" s="23">
        <f t="shared" si="26"/>
        <v>143433.89070287274</v>
      </c>
      <c r="D325" s="21">
        <f t="shared" ref="D325:D388" si="27">IFERROR(-PMT($J$10,$J$11-B324,C324)+G325,0)</f>
        <v>4417.4004774456535</v>
      </c>
      <c r="E325" s="21">
        <f t="shared" ref="E325:E388" si="28">IFERROR(D325-F325-G325,0)</f>
        <v>3027.6571767375112</v>
      </c>
      <c r="F325" s="21">
        <f t="shared" ref="F325:F388" si="29">IFERROR(+C324*$J$10,0)</f>
        <v>1389.7433007081422</v>
      </c>
      <c r="G325" s="21">
        <f t="shared" ref="G325:G388" si="30">G324</f>
        <v>0</v>
      </c>
    </row>
    <row r="326" spans="2:7" ht="16.8" customHeight="1" x14ac:dyDescent="0.25">
      <c r="B326" s="20">
        <f t="shared" si="21"/>
        <v>322</v>
      </c>
      <c r="C326" s="23">
        <f t="shared" si="26"/>
        <v>140377.50471410828</v>
      </c>
      <c r="D326" s="21">
        <f t="shared" si="27"/>
        <v>4417.4004774456535</v>
      </c>
      <c r="E326" s="21">
        <f t="shared" si="28"/>
        <v>3056.3859887644776</v>
      </c>
      <c r="F326" s="21">
        <f t="shared" si="29"/>
        <v>1361.0144886811756</v>
      </c>
      <c r="G326" s="21">
        <f t="shared" si="30"/>
        <v>0</v>
      </c>
    </row>
    <row r="327" spans="2:7" ht="16.8" customHeight="1" x14ac:dyDescent="0.25">
      <c r="B327" s="20">
        <f t="shared" si="21"/>
        <v>323</v>
      </c>
      <c r="C327" s="23">
        <f t="shared" si="26"/>
        <v>137292.11731156826</v>
      </c>
      <c r="D327" s="21">
        <f t="shared" si="27"/>
        <v>4417.4004774456544</v>
      </c>
      <c r="E327" s="21">
        <f t="shared" si="28"/>
        <v>3085.3874025400255</v>
      </c>
      <c r="F327" s="21">
        <f t="shared" si="29"/>
        <v>1332.0130749056289</v>
      </c>
      <c r="G327" s="21">
        <f t="shared" si="30"/>
        <v>0</v>
      </c>
    </row>
    <row r="328" spans="2:7" ht="16.8" customHeight="1" x14ac:dyDescent="0.25">
      <c r="B328" s="20">
        <f t="shared" si="21"/>
        <v>324</v>
      </c>
      <c r="C328" s="23">
        <f t="shared" ref="C328:C391" si="31">IF((IFERROR(C327-E328,0)-H328)&lt;0,0,IFERROR(C327-E328,0)-H328)</f>
        <v>134177.45330684257</v>
      </c>
      <c r="D328" s="21">
        <f t="shared" si="27"/>
        <v>4417.4004774456544</v>
      </c>
      <c r="E328" s="21">
        <f t="shared" si="28"/>
        <v>3114.6640047256988</v>
      </c>
      <c r="F328" s="21">
        <f t="shared" si="29"/>
        <v>1302.7364727199556</v>
      </c>
      <c r="G328" s="21">
        <f t="shared" si="30"/>
        <v>0</v>
      </c>
    </row>
    <row r="329" spans="2:7" ht="16.8" customHeight="1" x14ac:dyDescent="0.25">
      <c r="B329" s="20">
        <f t="shared" si="21"/>
        <v>325</v>
      </c>
      <c r="C329" s="23">
        <f t="shared" si="31"/>
        <v>131033.23490031522</v>
      </c>
      <c r="D329" s="21">
        <f t="shared" si="27"/>
        <v>4417.4004774456553</v>
      </c>
      <c r="E329" s="21">
        <f t="shared" si="28"/>
        <v>3144.2184065273409</v>
      </c>
      <c r="F329" s="21">
        <f t="shared" si="29"/>
        <v>1273.1820709183144</v>
      </c>
      <c r="G329" s="21">
        <f t="shared" si="30"/>
        <v>0</v>
      </c>
    </row>
    <row r="330" spans="2:7" ht="16.8" customHeight="1" x14ac:dyDescent="0.25">
      <c r="B330" s="20">
        <f t="shared" si="21"/>
        <v>326</v>
      </c>
      <c r="C330" s="23">
        <f t="shared" si="31"/>
        <v>127859.18165638724</v>
      </c>
      <c r="D330" s="21">
        <f t="shared" si="27"/>
        <v>4417.4004774456535</v>
      </c>
      <c r="E330" s="21">
        <f t="shared" si="28"/>
        <v>3174.0532439279818</v>
      </c>
      <c r="F330" s="21">
        <f t="shared" si="29"/>
        <v>1243.3472335176716</v>
      </c>
      <c r="G330" s="21">
        <f t="shared" si="30"/>
        <v>0</v>
      </c>
    </row>
    <row r="331" spans="2:7" ht="16.8" customHeight="1" x14ac:dyDescent="0.25">
      <c r="B331" s="20">
        <f t="shared" si="21"/>
        <v>327</v>
      </c>
      <c r="C331" s="23">
        <f t="shared" si="31"/>
        <v>124655.01047846429</v>
      </c>
      <c r="D331" s="21">
        <f t="shared" si="27"/>
        <v>4417.4004774456553</v>
      </c>
      <c r="E331" s="21">
        <f t="shared" si="28"/>
        <v>3204.1711779229581</v>
      </c>
      <c r="F331" s="21">
        <f t="shared" si="29"/>
        <v>1213.2292995226974</v>
      </c>
      <c r="G331" s="21">
        <f t="shared" si="30"/>
        <v>0</v>
      </c>
    </row>
    <row r="332" spans="2:7" ht="16.8" customHeight="1" x14ac:dyDescent="0.25">
      <c r="B332" s="20">
        <f t="shared" si="21"/>
        <v>328</v>
      </c>
      <c r="C332" s="23">
        <f t="shared" si="31"/>
        <v>121420.43558370706</v>
      </c>
      <c r="D332" s="21">
        <f t="shared" si="27"/>
        <v>4417.4004774456553</v>
      </c>
      <c r="E332" s="21">
        <f t="shared" si="28"/>
        <v>3234.5748947572279</v>
      </c>
      <c r="F332" s="21">
        <f t="shared" si="29"/>
        <v>1182.8255826884274</v>
      </c>
      <c r="G332" s="21">
        <f t="shared" si="30"/>
        <v>0</v>
      </c>
    </row>
    <row r="333" spans="2:7" ht="16.8" customHeight="1" x14ac:dyDescent="0.25">
      <c r="B333" s="20">
        <f t="shared" si="21"/>
        <v>329</v>
      </c>
      <c r="C333" s="23">
        <f t="shared" si="31"/>
        <v>118155.16847754209</v>
      </c>
      <c r="D333" s="21">
        <f t="shared" si="27"/>
        <v>4417.4004774456544</v>
      </c>
      <c r="E333" s="21">
        <f t="shared" si="28"/>
        <v>3265.2671061649789</v>
      </c>
      <c r="F333" s="21">
        <f t="shared" si="29"/>
        <v>1152.1333712806754</v>
      </c>
      <c r="G333" s="21">
        <f t="shared" si="30"/>
        <v>0</v>
      </c>
    </row>
    <row r="334" spans="2:7" ht="16.8" customHeight="1" x14ac:dyDescent="0.25">
      <c r="B334" s="20">
        <f t="shared" si="21"/>
        <v>330</v>
      </c>
      <c r="C334" s="23">
        <f t="shared" si="31"/>
        <v>114858.9179279306</v>
      </c>
      <c r="D334" s="21">
        <f t="shared" si="27"/>
        <v>4417.4004774456553</v>
      </c>
      <c r="E334" s="21">
        <f t="shared" si="28"/>
        <v>3296.2505496114845</v>
      </c>
      <c r="F334" s="21">
        <f t="shared" si="29"/>
        <v>1121.1499278341707</v>
      </c>
      <c r="G334" s="21">
        <f t="shared" si="30"/>
        <v>0</v>
      </c>
    </row>
    <row r="335" spans="2:7" ht="16.8" customHeight="1" x14ac:dyDescent="0.25">
      <c r="B335" s="20">
        <f t="shared" si="21"/>
        <v>331</v>
      </c>
      <c r="C335" s="23">
        <f t="shared" si="31"/>
        <v>111531.38993939334</v>
      </c>
      <c r="D335" s="21">
        <f t="shared" si="27"/>
        <v>4417.4004774456544</v>
      </c>
      <c r="E335" s="21">
        <f t="shared" si="28"/>
        <v>3327.5279885372529</v>
      </c>
      <c r="F335" s="21">
        <f t="shared" si="29"/>
        <v>1089.8724889084017</v>
      </c>
      <c r="G335" s="21">
        <f t="shared" si="30"/>
        <v>0</v>
      </c>
    </row>
    <row r="336" spans="2:7" ht="16.8" customHeight="1" x14ac:dyDescent="0.25">
      <c r="B336" s="20">
        <f t="shared" si="21"/>
        <v>332</v>
      </c>
      <c r="C336" s="23">
        <f t="shared" si="31"/>
        <v>108172.28772678883</v>
      </c>
      <c r="D336" s="21">
        <f t="shared" si="27"/>
        <v>4417.4004774456553</v>
      </c>
      <c r="E336" s="21">
        <f t="shared" si="28"/>
        <v>3359.1022126045132</v>
      </c>
      <c r="F336" s="21">
        <f t="shared" si="29"/>
        <v>1058.2982648411421</v>
      </c>
      <c r="G336" s="21">
        <f t="shared" si="30"/>
        <v>0</v>
      </c>
    </row>
    <row r="337" spans="2:7" ht="16.8" customHeight="1" x14ac:dyDescent="0.25">
      <c r="B337" s="20">
        <f t="shared" si="21"/>
        <v>333</v>
      </c>
      <c r="C337" s="23">
        <f t="shared" si="31"/>
        <v>104781.3116888428</v>
      </c>
      <c r="D337" s="21">
        <f t="shared" si="27"/>
        <v>4417.4004774456553</v>
      </c>
      <c r="E337" s="21">
        <f t="shared" si="28"/>
        <v>3390.9760379460172</v>
      </c>
      <c r="F337" s="21">
        <f t="shared" si="29"/>
        <v>1026.4244394996381</v>
      </c>
      <c r="G337" s="21">
        <f t="shared" si="30"/>
        <v>0</v>
      </c>
    </row>
    <row r="338" spans="2:7" ht="16.8" customHeight="1" x14ac:dyDescent="0.25">
      <c r="B338" s="20">
        <f t="shared" si="21"/>
        <v>334</v>
      </c>
      <c r="C338" s="23">
        <f t="shared" si="31"/>
        <v>101358.15938142658</v>
      </c>
      <c r="D338" s="21">
        <f t="shared" si="27"/>
        <v>4417.4004774456544</v>
      </c>
      <c r="E338" s="21">
        <f t="shared" si="28"/>
        <v>3423.1523074162187</v>
      </c>
      <c r="F338" s="21">
        <f t="shared" si="29"/>
        <v>994.24817002943553</v>
      </c>
      <c r="G338" s="21">
        <f t="shared" si="30"/>
        <v>0</v>
      </c>
    </row>
    <row r="339" spans="2:7" ht="16.8" customHeight="1" x14ac:dyDescent="0.25">
      <c r="B339" s="20">
        <f t="shared" si="21"/>
        <v>335</v>
      </c>
      <c r="C339" s="23">
        <f t="shared" si="31"/>
        <v>97902.525490581756</v>
      </c>
      <c r="D339" s="21">
        <f t="shared" si="27"/>
        <v>4417.4004774456535</v>
      </c>
      <c r="E339" s="21">
        <f t="shared" si="28"/>
        <v>3455.6338908448306</v>
      </c>
      <c r="F339" s="21">
        <f t="shared" si="29"/>
        <v>961.76658660082273</v>
      </c>
      <c r="G339" s="21">
        <f t="shared" si="30"/>
        <v>0</v>
      </c>
    </row>
    <row r="340" spans="2:7" ht="16.8" customHeight="1" x14ac:dyDescent="0.25">
      <c r="B340" s="20">
        <f t="shared" si="21"/>
        <v>336</v>
      </c>
      <c r="C340" s="23">
        <f t="shared" si="31"/>
        <v>94414.10180528897</v>
      </c>
      <c r="D340" s="21">
        <f t="shared" si="27"/>
        <v>4417.4004774456544</v>
      </c>
      <c r="E340" s="21">
        <f t="shared" si="28"/>
        <v>3488.4236852927856</v>
      </c>
      <c r="F340" s="21">
        <f t="shared" si="29"/>
        <v>928.97679215286871</v>
      </c>
      <c r="G340" s="21">
        <f t="shared" si="30"/>
        <v>0</v>
      </c>
    </row>
    <row r="341" spans="2:7" ht="16.8" customHeight="1" x14ac:dyDescent="0.25">
      <c r="B341" s="20">
        <f t="shared" si="21"/>
        <v>337</v>
      </c>
      <c r="C341" s="23">
        <f t="shared" si="31"/>
        <v>90892.577189978343</v>
      </c>
      <c r="D341" s="21">
        <f t="shared" si="27"/>
        <v>4417.4004774456553</v>
      </c>
      <c r="E341" s="21">
        <f t="shared" si="28"/>
        <v>3521.524615310625</v>
      </c>
      <c r="F341" s="21">
        <f t="shared" si="29"/>
        <v>895.87586213503039</v>
      </c>
      <c r="G341" s="21">
        <f t="shared" si="30"/>
        <v>0</v>
      </c>
    </row>
    <row r="342" spans="2:7" ht="16.8" customHeight="1" x14ac:dyDescent="0.25">
      <c r="B342" s="20">
        <f t="shared" si="21"/>
        <v>338</v>
      </c>
      <c r="C342" s="23">
        <f t="shared" si="31"/>
        <v>87337.637556778995</v>
      </c>
      <c r="D342" s="21">
        <f t="shared" si="27"/>
        <v>4417.4004774456544</v>
      </c>
      <c r="E342" s="21">
        <f t="shared" si="28"/>
        <v>3554.9396331993439</v>
      </c>
      <c r="F342" s="21">
        <f t="shared" si="29"/>
        <v>862.46084424631056</v>
      </c>
      <c r="G342" s="21">
        <f t="shared" si="30"/>
        <v>0</v>
      </c>
    </row>
    <row r="343" spans="2:7" ht="16.8" customHeight="1" x14ac:dyDescent="0.25">
      <c r="B343" s="20">
        <f t="shared" si="21"/>
        <v>339</v>
      </c>
      <c r="C343" s="23">
        <f t="shared" si="31"/>
        <v>83748.965837505282</v>
      </c>
      <c r="D343" s="21">
        <f t="shared" si="27"/>
        <v>4417.4004774456535</v>
      </c>
      <c r="E343" s="21">
        <f t="shared" si="28"/>
        <v>3588.6717192737142</v>
      </c>
      <c r="F343" s="21">
        <f t="shared" si="29"/>
        <v>828.72875817193938</v>
      </c>
      <c r="G343" s="21">
        <f t="shared" si="30"/>
        <v>0</v>
      </c>
    </row>
    <row r="344" spans="2:7" ht="16.8" customHeight="1" x14ac:dyDescent="0.25">
      <c r="B344" s="20">
        <f t="shared" si="21"/>
        <v>340</v>
      </c>
      <c r="C344" s="23">
        <f t="shared" si="31"/>
        <v>80126.241955377191</v>
      </c>
      <c r="D344" s="21">
        <f t="shared" si="27"/>
        <v>4417.4004774456535</v>
      </c>
      <c r="E344" s="21">
        <f t="shared" si="28"/>
        <v>3622.7238821280962</v>
      </c>
      <c r="F344" s="21">
        <f t="shared" si="29"/>
        <v>794.67659531755703</v>
      </c>
      <c r="G344" s="21">
        <f t="shared" si="30"/>
        <v>0</v>
      </c>
    </row>
    <row r="345" spans="2:7" ht="16.8" customHeight="1" x14ac:dyDescent="0.25">
      <c r="B345" s="20">
        <f t="shared" si="21"/>
        <v>341</v>
      </c>
      <c r="C345" s="23">
        <f t="shared" si="31"/>
        <v>76469.142796472413</v>
      </c>
      <c r="D345" s="21">
        <f t="shared" si="27"/>
        <v>4417.4004774456553</v>
      </c>
      <c r="E345" s="21">
        <f t="shared" si="28"/>
        <v>3657.0991589047808</v>
      </c>
      <c r="F345" s="21">
        <f t="shared" si="29"/>
        <v>760.30131854087472</v>
      </c>
      <c r="G345" s="21">
        <f t="shared" si="30"/>
        <v>0</v>
      </c>
    </row>
    <row r="346" spans="2:7" ht="16.8" customHeight="1" x14ac:dyDescent="0.25">
      <c r="B346" s="20">
        <f t="shared" si="21"/>
        <v>342</v>
      </c>
      <c r="C346" s="23">
        <f t="shared" si="31"/>
        <v>72777.342180907552</v>
      </c>
      <c r="D346" s="21">
        <f t="shared" si="27"/>
        <v>4417.4004774456553</v>
      </c>
      <c r="E346" s="21">
        <f t="shared" si="28"/>
        <v>3691.8006155648659</v>
      </c>
      <c r="F346" s="21">
        <f t="shared" si="29"/>
        <v>725.59986188078949</v>
      </c>
      <c r="G346" s="21">
        <f t="shared" si="30"/>
        <v>0</v>
      </c>
    </row>
    <row r="347" spans="2:7" ht="16.8" customHeight="1" x14ac:dyDescent="0.25">
      <c r="B347" s="20">
        <f t="shared" si="21"/>
        <v>343</v>
      </c>
      <c r="C347" s="23">
        <f t="shared" si="31"/>
        <v>69050.510833745822</v>
      </c>
      <c r="D347" s="21">
        <f t="shared" si="27"/>
        <v>4417.4004774456544</v>
      </c>
      <c r="E347" s="21">
        <f t="shared" si="28"/>
        <v>3726.8313471617262</v>
      </c>
      <c r="F347" s="21">
        <f t="shared" si="29"/>
        <v>690.56913028392819</v>
      </c>
      <c r="G347" s="21">
        <f t="shared" si="30"/>
        <v>0</v>
      </c>
    </row>
    <row r="348" spans="2:7" ht="16.8" customHeight="1" x14ac:dyDescent="0.25">
      <c r="B348" s="20">
        <f t="shared" si="21"/>
        <v>344</v>
      </c>
      <c r="C348" s="23">
        <f t="shared" si="31"/>
        <v>65288.316355628762</v>
      </c>
      <c r="D348" s="21">
        <f t="shared" si="27"/>
        <v>4417.4004774456553</v>
      </c>
      <c r="E348" s="21">
        <f t="shared" si="28"/>
        <v>3762.1944781170578</v>
      </c>
      <c r="F348" s="21">
        <f t="shared" si="29"/>
        <v>655.20599932859739</v>
      </c>
      <c r="G348" s="21">
        <f t="shared" si="30"/>
        <v>0</v>
      </c>
    </row>
    <row r="349" spans="2:7" ht="16.8" customHeight="1" x14ac:dyDescent="0.25">
      <c r="B349" s="20">
        <f t="shared" si="21"/>
        <v>345</v>
      </c>
      <c r="C349" s="23">
        <f t="shared" si="31"/>
        <v>61490.423193129223</v>
      </c>
      <c r="D349" s="21">
        <f t="shared" si="27"/>
        <v>4417.4004774456544</v>
      </c>
      <c r="E349" s="21">
        <f t="shared" si="28"/>
        <v>3797.8931624995412</v>
      </c>
      <c r="F349" s="21">
        <f t="shared" si="29"/>
        <v>619.50731494611296</v>
      </c>
      <c r="G349" s="21">
        <f t="shared" si="30"/>
        <v>0</v>
      </c>
    </row>
    <row r="350" spans="2:7" ht="16.8" customHeight="1" x14ac:dyDescent="0.25">
      <c r="B350" s="20">
        <f t="shared" si="21"/>
        <v>346</v>
      </c>
      <c r="C350" s="23">
        <f t="shared" si="31"/>
        <v>57656.492608823057</v>
      </c>
      <c r="D350" s="21">
        <f t="shared" si="27"/>
        <v>4417.4004774456544</v>
      </c>
      <c r="E350" s="21">
        <f t="shared" si="28"/>
        <v>3833.9305843061684</v>
      </c>
      <c r="F350" s="21">
        <f t="shared" si="29"/>
        <v>583.46989313948598</v>
      </c>
      <c r="G350" s="21">
        <f t="shared" si="30"/>
        <v>0</v>
      </c>
    </row>
    <row r="351" spans="2:7" ht="16.8" customHeight="1" x14ac:dyDescent="0.25">
      <c r="B351" s="20">
        <f t="shared" si="21"/>
        <v>347</v>
      </c>
      <c r="C351" s="23">
        <f t="shared" si="31"/>
        <v>53786.182651076844</v>
      </c>
      <c r="D351" s="21">
        <f t="shared" si="27"/>
        <v>4417.4004774456553</v>
      </c>
      <c r="E351" s="21">
        <f t="shared" si="28"/>
        <v>3870.3099577462153</v>
      </c>
      <c r="F351" s="21">
        <f t="shared" si="29"/>
        <v>547.09051969943982</v>
      </c>
      <c r="G351" s="21">
        <f t="shared" si="30"/>
        <v>0</v>
      </c>
    </row>
    <row r="352" spans="2:7" ht="16.8" customHeight="1" x14ac:dyDescent="0.25">
      <c r="B352" s="20">
        <f t="shared" si="21"/>
        <v>348</v>
      </c>
      <c r="C352" s="23">
        <f t="shared" si="31"/>
        <v>49879.148123548919</v>
      </c>
      <c r="D352" s="21">
        <f t="shared" si="27"/>
        <v>4417.4004774456553</v>
      </c>
      <c r="E352" s="21">
        <f t="shared" si="28"/>
        <v>3907.0345275279242</v>
      </c>
      <c r="F352" s="21">
        <f t="shared" si="29"/>
        <v>510.36594991773114</v>
      </c>
      <c r="G352" s="21">
        <f t="shared" si="30"/>
        <v>0</v>
      </c>
    </row>
    <row r="353" spans="2:7" ht="16.8" customHeight="1" x14ac:dyDescent="0.25">
      <c r="B353" s="20">
        <f t="shared" si="21"/>
        <v>349</v>
      </c>
      <c r="C353" s="23">
        <f t="shared" si="31"/>
        <v>45935.040554401014</v>
      </c>
      <c r="D353" s="21">
        <f t="shared" si="27"/>
        <v>4417.4004774456553</v>
      </c>
      <c r="E353" s="21">
        <f t="shared" si="28"/>
        <v>3944.1075691479032</v>
      </c>
      <c r="F353" s="21">
        <f t="shared" si="29"/>
        <v>473.29290829775215</v>
      </c>
      <c r="G353" s="21">
        <f t="shared" si="30"/>
        <v>0</v>
      </c>
    </row>
    <row r="354" spans="2:7" ht="16.8" customHeight="1" x14ac:dyDescent="0.25">
      <c r="B354" s="20">
        <f t="shared" si="21"/>
        <v>350</v>
      </c>
      <c r="C354" s="23">
        <f t="shared" si="31"/>
        <v>41953.508165217747</v>
      </c>
      <c r="D354" s="21">
        <f t="shared" si="27"/>
        <v>4417.4004774456553</v>
      </c>
      <c r="E354" s="21">
        <f t="shared" si="28"/>
        <v>3981.5323891832691</v>
      </c>
      <c r="F354" s="21">
        <f t="shared" si="29"/>
        <v>435.86808826238604</v>
      </c>
      <c r="G354" s="21">
        <f t="shared" si="30"/>
        <v>0</v>
      </c>
    </row>
    <row r="355" spans="2:7" ht="16.8" customHeight="1" x14ac:dyDescent="0.25">
      <c r="B355" s="20">
        <f t="shared" si="21"/>
        <v>351</v>
      </c>
      <c r="C355" s="23">
        <f t="shared" si="31"/>
        <v>37934.195839631182</v>
      </c>
      <c r="D355" s="21">
        <f t="shared" si="27"/>
        <v>4417.4004774456544</v>
      </c>
      <c r="E355" s="21">
        <f t="shared" si="28"/>
        <v>4019.3123255865639</v>
      </c>
      <c r="F355" s="21">
        <f t="shared" si="29"/>
        <v>398.08815185909026</v>
      </c>
      <c r="G355" s="21">
        <f t="shared" si="30"/>
        <v>0</v>
      </c>
    </row>
    <row r="356" spans="2:7" ht="16.8" customHeight="1" x14ac:dyDescent="0.25">
      <c r="B356" s="20">
        <f t="shared" si="21"/>
        <v>352</v>
      </c>
      <c r="C356" s="23">
        <f t="shared" si="31"/>
        <v>33876.74509164771</v>
      </c>
      <c r="D356" s="21">
        <f t="shared" si="27"/>
        <v>4417.4004774456553</v>
      </c>
      <c r="E356" s="21">
        <f t="shared" si="28"/>
        <v>4057.4507479834733</v>
      </c>
      <c r="F356" s="21">
        <f t="shared" si="29"/>
        <v>359.94972946218195</v>
      </c>
      <c r="G356" s="21">
        <f t="shared" si="30"/>
        <v>0</v>
      </c>
    </row>
    <row r="357" spans="2:7" ht="16.8" customHeight="1" x14ac:dyDescent="0.25">
      <c r="B357" s="20">
        <f t="shared" si="21"/>
        <v>353</v>
      </c>
      <c r="C357" s="23">
        <f t="shared" si="31"/>
        <v>29780.794033674352</v>
      </c>
      <c r="D357" s="21">
        <f t="shared" si="27"/>
        <v>4417.4004774456553</v>
      </c>
      <c r="E357" s="21">
        <f t="shared" si="28"/>
        <v>4095.9510579733578</v>
      </c>
      <c r="F357" s="21">
        <f t="shared" si="29"/>
        <v>321.44941947229768</v>
      </c>
      <c r="G357" s="21">
        <f t="shared" si="30"/>
        <v>0</v>
      </c>
    </row>
    <row r="358" spans="2:7" ht="16.8" customHeight="1" x14ac:dyDescent="0.25">
      <c r="B358" s="20">
        <f t="shared" si="21"/>
        <v>354</v>
      </c>
      <c r="C358" s="23">
        <f t="shared" si="31"/>
        <v>25645.977344241699</v>
      </c>
      <c r="D358" s="21">
        <f t="shared" si="27"/>
        <v>4417.4004774456562</v>
      </c>
      <c r="E358" s="21">
        <f t="shared" si="28"/>
        <v>4134.8166894326541</v>
      </c>
      <c r="F358" s="21">
        <f t="shared" si="29"/>
        <v>282.58378801300211</v>
      </c>
      <c r="G358" s="21">
        <f t="shared" si="30"/>
        <v>0</v>
      </c>
    </row>
    <row r="359" spans="2:7" ht="16.8" customHeight="1" x14ac:dyDescent="0.25">
      <c r="B359" s="20">
        <f t="shared" si="21"/>
        <v>355</v>
      </c>
      <c r="C359" s="23">
        <f t="shared" si="31"/>
        <v>21471.92623542056</v>
      </c>
      <c r="D359" s="21">
        <f t="shared" si="27"/>
        <v>4417.4004774456562</v>
      </c>
      <c r="E359" s="21">
        <f t="shared" si="28"/>
        <v>4174.0511088211388</v>
      </c>
      <c r="F359" s="21">
        <f t="shared" si="29"/>
        <v>243.3493686245175</v>
      </c>
      <c r="G359" s="21">
        <f t="shared" si="30"/>
        <v>0</v>
      </c>
    </row>
    <row r="360" spans="2:7" ht="16.8" customHeight="1" x14ac:dyDescent="0.25">
      <c r="B360" s="20">
        <f t="shared" si="21"/>
        <v>356</v>
      </c>
      <c r="C360" s="23">
        <f t="shared" si="31"/>
        <v>17258.268419929453</v>
      </c>
      <c r="D360" s="21">
        <f t="shared" si="27"/>
        <v>4417.4004774456553</v>
      </c>
      <c r="E360" s="21">
        <f t="shared" si="28"/>
        <v>4213.6578154911085</v>
      </c>
      <c r="F360" s="21">
        <f t="shared" si="29"/>
        <v>203.74266195454695</v>
      </c>
      <c r="G360" s="21">
        <f t="shared" si="30"/>
        <v>0</v>
      </c>
    </row>
    <row r="361" spans="2:7" ht="16.8" customHeight="1" x14ac:dyDescent="0.25">
      <c r="B361" s="20">
        <f t="shared" si="21"/>
        <v>357</v>
      </c>
      <c r="C361" s="23">
        <f t="shared" si="31"/>
        <v>13004.62807792996</v>
      </c>
      <c r="D361" s="21">
        <f t="shared" si="27"/>
        <v>4417.4004774456562</v>
      </c>
      <c r="E361" s="21">
        <f t="shared" si="28"/>
        <v>4253.6403419994922</v>
      </c>
      <c r="F361" s="21">
        <f t="shared" si="29"/>
        <v>163.7601354461643</v>
      </c>
      <c r="G361" s="21">
        <f t="shared" si="30"/>
        <v>0</v>
      </c>
    </row>
    <row r="362" spans="2:7" ht="16.8" customHeight="1" x14ac:dyDescent="0.25">
      <c r="B362" s="20">
        <f t="shared" si="21"/>
        <v>358</v>
      </c>
      <c r="C362" s="23">
        <f t="shared" si="31"/>
        <v>8710.6258235070454</v>
      </c>
      <c r="D362" s="21">
        <f t="shared" si="27"/>
        <v>4417.4004774456562</v>
      </c>
      <c r="E362" s="21">
        <f t="shared" si="28"/>
        <v>4294.0022544229141</v>
      </c>
      <c r="F362" s="21">
        <f t="shared" si="29"/>
        <v>123.3982230227421</v>
      </c>
      <c r="G362" s="21">
        <f t="shared" si="30"/>
        <v>0</v>
      </c>
    </row>
    <row r="363" spans="2:7" ht="16.8" customHeight="1" x14ac:dyDescent="0.25">
      <c r="B363" s="20">
        <f t="shared" si="21"/>
        <v>359</v>
      </c>
      <c r="C363" s="23">
        <f t="shared" si="31"/>
        <v>4375.87867083128</v>
      </c>
      <c r="D363" s="21">
        <f t="shared" si="27"/>
        <v>4417.4004774456553</v>
      </c>
      <c r="E363" s="21">
        <f t="shared" si="28"/>
        <v>4334.7471526757654</v>
      </c>
      <c r="F363" s="21">
        <f t="shared" si="29"/>
        <v>82.653324769890276</v>
      </c>
      <c r="G363" s="21">
        <f t="shared" si="30"/>
        <v>0</v>
      </c>
    </row>
    <row r="364" spans="2:7" ht="16.8" customHeight="1" x14ac:dyDescent="0.25">
      <c r="B364" s="20">
        <f t="shared" si="21"/>
        <v>360</v>
      </c>
      <c r="C364" s="23">
        <f t="shared" si="31"/>
        <v>0</v>
      </c>
      <c r="D364" s="21">
        <f t="shared" si="27"/>
        <v>4417.4004774456562</v>
      </c>
      <c r="E364" s="21">
        <f t="shared" si="28"/>
        <v>4375.87867083128</v>
      </c>
      <c r="F364" s="21">
        <f t="shared" si="29"/>
        <v>41.521806614376501</v>
      </c>
      <c r="G364" s="21">
        <f t="shared" si="30"/>
        <v>0</v>
      </c>
    </row>
    <row r="365" spans="2:7" ht="16.8" customHeight="1" x14ac:dyDescent="0.25">
      <c r="B365" s="20">
        <f t="shared" si="21"/>
        <v>361</v>
      </c>
      <c r="C365" s="23">
        <f t="shared" si="31"/>
        <v>0</v>
      </c>
      <c r="D365" s="21">
        <f t="shared" si="27"/>
        <v>0</v>
      </c>
      <c r="E365" s="21">
        <f t="shared" si="28"/>
        <v>0</v>
      </c>
      <c r="F365" s="21">
        <f t="shared" si="29"/>
        <v>0</v>
      </c>
      <c r="G365" s="21">
        <f t="shared" si="30"/>
        <v>0</v>
      </c>
    </row>
    <row r="366" spans="2:7" ht="16.8" customHeight="1" x14ac:dyDescent="0.25">
      <c r="B366" s="20">
        <f t="shared" si="21"/>
        <v>362</v>
      </c>
      <c r="C366" s="23">
        <f t="shared" si="31"/>
        <v>0</v>
      </c>
      <c r="D366" s="21">
        <f t="shared" si="27"/>
        <v>0</v>
      </c>
      <c r="E366" s="21">
        <f t="shared" si="28"/>
        <v>0</v>
      </c>
      <c r="F366" s="21">
        <f t="shared" si="29"/>
        <v>0</v>
      </c>
      <c r="G366" s="21">
        <f t="shared" si="30"/>
        <v>0</v>
      </c>
    </row>
    <row r="367" spans="2:7" ht="16.8" customHeight="1" x14ac:dyDescent="0.25">
      <c r="B367" s="20">
        <f t="shared" si="21"/>
        <v>363</v>
      </c>
      <c r="C367" s="23">
        <f t="shared" si="31"/>
        <v>0</v>
      </c>
      <c r="D367" s="21">
        <f t="shared" si="27"/>
        <v>0</v>
      </c>
      <c r="E367" s="21">
        <f t="shared" si="28"/>
        <v>0</v>
      </c>
      <c r="F367" s="21">
        <f t="shared" si="29"/>
        <v>0</v>
      </c>
      <c r="G367" s="21">
        <f t="shared" si="30"/>
        <v>0</v>
      </c>
    </row>
    <row r="368" spans="2:7" ht="16.8" customHeight="1" x14ac:dyDescent="0.25">
      <c r="B368" s="20">
        <f t="shared" si="21"/>
        <v>364</v>
      </c>
      <c r="C368" s="23">
        <f t="shared" si="31"/>
        <v>0</v>
      </c>
      <c r="D368" s="21">
        <f t="shared" si="27"/>
        <v>0</v>
      </c>
      <c r="E368" s="21">
        <f t="shared" si="28"/>
        <v>0</v>
      </c>
      <c r="F368" s="21">
        <f t="shared" si="29"/>
        <v>0</v>
      </c>
      <c r="G368" s="21">
        <f t="shared" si="30"/>
        <v>0</v>
      </c>
    </row>
    <row r="369" spans="2:7" ht="16.8" customHeight="1" x14ac:dyDescent="0.25">
      <c r="B369" s="20">
        <f t="shared" si="21"/>
        <v>365</v>
      </c>
      <c r="C369" s="23">
        <f t="shared" si="31"/>
        <v>0</v>
      </c>
      <c r="D369" s="21">
        <f t="shared" si="27"/>
        <v>0</v>
      </c>
      <c r="E369" s="21">
        <f t="shared" si="28"/>
        <v>0</v>
      </c>
      <c r="F369" s="21">
        <f t="shared" si="29"/>
        <v>0</v>
      </c>
      <c r="G369" s="21">
        <f t="shared" si="30"/>
        <v>0</v>
      </c>
    </row>
    <row r="370" spans="2:7" ht="16.8" customHeight="1" x14ac:dyDescent="0.25">
      <c r="B370" s="20">
        <f t="shared" si="21"/>
        <v>366</v>
      </c>
      <c r="C370" s="23">
        <f t="shared" si="31"/>
        <v>0</v>
      </c>
      <c r="D370" s="21">
        <f t="shared" si="27"/>
        <v>0</v>
      </c>
      <c r="E370" s="21">
        <f t="shared" si="28"/>
        <v>0</v>
      </c>
      <c r="F370" s="21">
        <f t="shared" si="29"/>
        <v>0</v>
      </c>
      <c r="G370" s="21">
        <f t="shared" si="30"/>
        <v>0</v>
      </c>
    </row>
    <row r="371" spans="2:7" ht="16.8" customHeight="1" x14ac:dyDescent="0.25">
      <c r="B371" s="20">
        <f t="shared" si="21"/>
        <v>367</v>
      </c>
      <c r="C371" s="23">
        <f t="shared" si="31"/>
        <v>0</v>
      </c>
      <c r="D371" s="21">
        <f t="shared" si="27"/>
        <v>0</v>
      </c>
      <c r="E371" s="21">
        <f t="shared" si="28"/>
        <v>0</v>
      </c>
      <c r="F371" s="21">
        <f t="shared" si="29"/>
        <v>0</v>
      </c>
      <c r="G371" s="21">
        <f t="shared" si="30"/>
        <v>0</v>
      </c>
    </row>
    <row r="372" spans="2:7" ht="16.8" customHeight="1" x14ac:dyDescent="0.25">
      <c r="B372" s="20">
        <f t="shared" si="21"/>
        <v>368</v>
      </c>
      <c r="C372" s="23">
        <f t="shared" si="31"/>
        <v>0</v>
      </c>
      <c r="D372" s="21">
        <f t="shared" si="27"/>
        <v>0</v>
      </c>
      <c r="E372" s="21">
        <f t="shared" si="28"/>
        <v>0</v>
      </c>
      <c r="F372" s="21">
        <f t="shared" si="29"/>
        <v>0</v>
      </c>
      <c r="G372" s="21">
        <f t="shared" si="30"/>
        <v>0</v>
      </c>
    </row>
    <row r="373" spans="2:7" ht="16.8" customHeight="1" x14ac:dyDescent="0.25">
      <c r="B373" s="20">
        <f t="shared" si="21"/>
        <v>369</v>
      </c>
      <c r="C373" s="23">
        <f t="shared" si="31"/>
        <v>0</v>
      </c>
      <c r="D373" s="21">
        <f t="shared" si="27"/>
        <v>0</v>
      </c>
      <c r="E373" s="21">
        <f t="shared" si="28"/>
        <v>0</v>
      </c>
      <c r="F373" s="21">
        <f t="shared" si="29"/>
        <v>0</v>
      </c>
      <c r="G373" s="21">
        <f t="shared" si="30"/>
        <v>0</v>
      </c>
    </row>
    <row r="374" spans="2:7" ht="16.8" customHeight="1" x14ac:dyDescent="0.25">
      <c r="B374" s="20">
        <f t="shared" si="21"/>
        <v>370</v>
      </c>
      <c r="C374" s="23">
        <f t="shared" si="31"/>
        <v>0</v>
      </c>
      <c r="D374" s="21">
        <f t="shared" si="27"/>
        <v>0</v>
      </c>
      <c r="E374" s="21">
        <f t="shared" si="28"/>
        <v>0</v>
      </c>
      <c r="F374" s="21">
        <f t="shared" si="29"/>
        <v>0</v>
      </c>
      <c r="G374" s="21">
        <f t="shared" si="30"/>
        <v>0</v>
      </c>
    </row>
    <row r="375" spans="2:7" ht="16.8" customHeight="1" x14ac:dyDescent="0.25">
      <c r="B375" s="20">
        <f t="shared" si="21"/>
        <v>371</v>
      </c>
      <c r="C375" s="23">
        <f t="shared" si="31"/>
        <v>0</v>
      </c>
      <c r="D375" s="21">
        <f t="shared" si="27"/>
        <v>0</v>
      </c>
      <c r="E375" s="21">
        <f t="shared" si="28"/>
        <v>0</v>
      </c>
      <c r="F375" s="21">
        <f t="shared" si="29"/>
        <v>0</v>
      </c>
      <c r="G375" s="21">
        <f t="shared" si="30"/>
        <v>0</v>
      </c>
    </row>
    <row r="376" spans="2:7" ht="16.8" customHeight="1" x14ac:dyDescent="0.25">
      <c r="B376" s="20">
        <f t="shared" si="21"/>
        <v>372</v>
      </c>
      <c r="C376" s="23">
        <f t="shared" si="31"/>
        <v>0</v>
      </c>
      <c r="D376" s="21">
        <f t="shared" si="27"/>
        <v>0</v>
      </c>
      <c r="E376" s="21">
        <f t="shared" si="28"/>
        <v>0</v>
      </c>
      <c r="F376" s="21">
        <f t="shared" si="29"/>
        <v>0</v>
      </c>
      <c r="G376" s="21">
        <f t="shared" si="30"/>
        <v>0</v>
      </c>
    </row>
    <row r="377" spans="2:7" ht="16.8" customHeight="1" x14ac:dyDescent="0.25">
      <c r="B377" s="20">
        <f t="shared" si="21"/>
        <v>373</v>
      </c>
      <c r="C377" s="23">
        <f t="shared" si="31"/>
        <v>0</v>
      </c>
      <c r="D377" s="21">
        <f t="shared" si="27"/>
        <v>0</v>
      </c>
      <c r="E377" s="21">
        <f t="shared" si="28"/>
        <v>0</v>
      </c>
      <c r="F377" s="21">
        <f t="shared" si="29"/>
        <v>0</v>
      </c>
      <c r="G377" s="21">
        <f t="shared" si="30"/>
        <v>0</v>
      </c>
    </row>
    <row r="378" spans="2:7" ht="16.8" customHeight="1" x14ac:dyDescent="0.25">
      <c r="B378" s="20">
        <f t="shared" si="21"/>
        <v>374</v>
      </c>
      <c r="C378" s="23">
        <f t="shared" si="31"/>
        <v>0</v>
      </c>
      <c r="D378" s="21">
        <f t="shared" si="27"/>
        <v>0</v>
      </c>
      <c r="E378" s="21">
        <f t="shared" si="28"/>
        <v>0</v>
      </c>
      <c r="F378" s="21">
        <f t="shared" si="29"/>
        <v>0</v>
      </c>
      <c r="G378" s="21">
        <f t="shared" si="30"/>
        <v>0</v>
      </c>
    </row>
    <row r="379" spans="2:7" ht="16.8" customHeight="1" x14ac:dyDescent="0.25">
      <c r="B379" s="20">
        <f t="shared" si="21"/>
        <v>375</v>
      </c>
      <c r="C379" s="23">
        <f t="shared" si="31"/>
        <v>0</v>
      </c>
      <c r="D379" s="21">
        <f t="shared" si="27"/>
        <v>0</v>
      </c>
      <c r="E379" s="21">
        <f t="shared" si="28"/>
        <v>0</v>
      </c>
      <c r="F379" s="21">
        <f t="shared" si="29"/>
        <v>0</v>
      </c>
      <c r="G379" s="21">
        <f t="shared" si="30"/>
        <v>0</v>
      </c>
    </row>
    <row r="380" spans="2:7" ht="16.8" customHeight="1" x14ac:dyDescent="0.25">
      <c r="B380" s="20">
        <f t="shared" si="21"/>
        <v>376</v>
      </c>
      <c r="C380" s="23">
        <f t="shared" si="31"/>
        <v>0</v>
      </c>
      <c r="D380" s="21">
        <f t="shared" si="27"/>
        <v>0</v>
      </c>
      <c r="E380" s="21">
        <f t="shared" si="28"/>
        <v>0</v>
      </c>
      <c r="F380" s="21">
        <f t="shared" si="29"/>
        <v>0</v>
      </c>
      <c r="G380" s="21">
        <f t="shared" si="30"/>
        <v>0</v>
      </c>
    </row>
    <row r="381" spans="2:7" ht="16.8" customHeight="1" x14ac:dyDescent="0.25">
      <c r="B381" s="20">
        <f t="shared" si="21"/>
        <v>377</v>
      </c>
      <c r="C381" s="23">
        <f t="shared" si="31"/>
        <v>0</v>
      </c>
      <c r="D381" s="21">
        <f t="shared" si="27"/>
        <v>0</v>
      </c>
      <c r="E381" s="21">
        <f t="shared" si="28"/>
        <v>0</v>
      </c>
      <c r="F381" s="21">
        <f t="shared" si="29"/>
        <v>0</v>
      </c>
      <c r="G381" s="21">
        <f t="shared" si="30"/>
        <v>0</v>
      </c>
    </row>
    <row r="382" spans="2:7" ht="16.8" customHeight="1" x14ac:dyDescent="0.25">
      <c r="B382" s="20">
        <f t="shared" si="21"/>
        <v>378</v>
      </c>
      <c r="C382" s="23">
        <f t="shared" si="31"/>
        <v>0</v>
      </c>
      <c r="D382" s="21">
        <f t="shared" si="27"/>
        <v>0</v>
      </c>
      <c r="E382" s="21">
        <f t="shared" si="28"/>
        <v>0</v>
      </c>
      <c r="F382" s="21">
        <f t="shared" si="29"/>
        <v>0</v>
      </c>
      <c r="G382" s="21">
        <f t="shared" si="30"/>
        <v>0</v>
      </c>
    </row>
    <row r="383" spans="2:7" ht="16.8" customHeight="1" x14ac:dyDescent="0.25">
      <c r="B383" s="20">
        <f t="shared" si="21"/>
        <v>379</v>
      </c>
      <c r="C383" s="23">
        <f t="shared" si="31"/>
        <v>0</v>
      </c>
      <c r="D383" s="21">
        <f t="shared" si="27"/>
        <v>0</v>
      </c>
      <c r="E383" s="21">
        <f t="shared" si="28"/>
        <v>0</v>
      </c>
      <c r="F383" s="21">
        <f t="shared" si="29"/>
        <v>0</v>
      </c>
      <c r="G383" s="21">
        <f t="shared" si="30"/>
        <v>0</v>
      </c>
    </row>
    <row r="384" spans="2:7" ht="16.8" customHeight="1" x14ac:dyDescent="0.25">
      <c r="B384" s="20">
        <f t="shared" si="21"/>
        <v>380</v>
      </c>
      <c r="C384" s="23">
        <f t="shared" si="31"/>
        <v>0</v>
      </c>
      <c r="D384" s="21">
        <f t="shared" si="27"/>
        <v>0</v>
      </c>
      <c r="E384" s="21">
        <f t="shared" si="28"/>
        <v>0</v>
      </c>
      <c r="F384" s="21">
        <f t="shared" si="29"/>
        <v>0</v>
      </c>
      <c r="G384" s="21">
        <f t="shared" si="30"/>
        <v>0</v>
      </c>
    </row>
    <row r="385" spans="2:7" ht="16.8" customHeight="1" x14ac:dyDescent="0.25">
      <c r="B385" s="20">
        <f t="shared" si="21"/>
        <v>381</v>
      </c>
      <c r="C385" s="23">
        <f t="shared" si="31"/>
        <v>0</v>
      </c>
      <c r="D385" s="21">
        <f t="shared" si="27"/>
        <v>0</v>
      </c>
      <c r="E385" s="21">
        <f t="shared" si="28"/>
        <v>0</v>
      </c>
      <c r="F385" s="21">
        <f t="shared" si="29"/>
        <v>0</v>
      </c>
      <c r="G385" s="21">
        <f t="shared" si="30"/>
        <v>0</v>
      </c>
    </row>
    <row r="386" spans="2:7" ht="16.8" customHeight="1" x14ac:dyDescent="0.25">
      <c r="B386" s="20">
        <f t="shared" si="21"/>
        <v>382</v>
      </c>
      <c r="C386" s="23">
        <f t="shared" si="31"/>
        <v>0</v>
      </c>
      <c r="D386" s="21">
        <f t="shared" si="27"/>
        <v>0</v>
      </c>
      <c r="E386" s="21">
        <f t="shared" si="28"/>
        <v>0</v>
      </c>
      <c r="F386" s="21">
        <f t="shared" si="29"/>
        <v>0</v>
      </c>
      <c r="G386" s="21">
        <f t="shared" si="30"/>
        <v>0</v>
      </c>
    </row>
    <row r="387" spans="2:7" ht="16.8" customHeight="1" x14ac:dyDescent="0.25">
      <c r="B387" s="20">
        <f t="shared" si="21"/>
        <v>383</v>
      </c>
      <c r="C387" s="23">
        <f t="shared" si="31"/>
        <v>0</v>
      </c>
      <c r="D387" s="21">
        <f t="shared" si="27"/>
        <v>0</v>
      </c>
      <c r="E387" s="21">
        <f t="shared" si="28"/>
        <v>0</v>
      </c>
      <c r="F387" s="21">
        <f t="shared" si="29"/>
        <v>0</v>
      </c>
      <c r="G387" s="21">
        <f t="shared" si="30"/>
        <v>0</v>
      </c>
    </row>
    <row r="388" spans="2:7" ht="16.8" customHeight="1" x14ac:dyDescent="0.25">
      <c r="B388" s="20">
        <f t="shared" si="21"/>
        <v>384</v>
      </c>
      <c r="C388" s="23">
        <f t="shared" si="31"/>
        <v>0</v>
      </c>
      <c r="D388" s="21">
        <f t="shared" si="27"/>
        <v>0</v>
      </c>
      <c r="E388" s="21">
        <f t="shared" si="28"/>
        <v>0</v>
      </c>
      <c r="F388" s="21">
        <f t="shared" si="29"/>
        <v>0</v>
      </c>
      <c r="G388" s="21">
        <f t="shared" si="30"/>
        <v>0</v>
      </c>
    </row>
    <row r="389" spans="2:7" ht="16.8" customHeight="1" x14ac:dyDescent="0.25">
      <c r="B389" s="20">
        <f t="shared" si="21"/>
        <v>385</v>
      </c>
      <c r="C389" s="23">
        <f t="shared" si="31"/>
        <v>0</v>
      </c>
      <c r="D389" s="21">
        <f t="shared" ref="D389:D424" si="32">IFERROR(-PMT($J$10,$J$11-B388,C388)+G389,0)</f>
        <v>0</v>
      </c>
      <c r="E389" s="21">
        <f t="shared" ref="E389:E424" si="33">IFERROR(D389-F389-G389,0)</f>
        <v>0</v>
      </c>
      <c r="F389" s="21">
        <f t="shared" ref="F389:F424" si="34">IFERROR(+C388*$J$10,0)</f>
        <v>0</v>
      </c>
      <c r="G389" s="21">
        <f t="shared" ref="G389:G424" si="35">G388</f>
        <v>0</v>
      </c>
    </row>
    <row r="390" spans="2:7" ht="16.8" customHeight="1" x14ac:dyDescent="0.25">
      <c r="B390" s="20">
        <f t="shared" si="21"/>
        <v>386</v>
      </c>
      <c r="C390" s="23">
        <f t="shared" si="31"/>
        <v>0</v>
      </c>
      <c r="D390" s="21">
        <f t="shared" si="32"/>
        <v>0</v>
      </c>
      <c r="E390" s="21">
        <f t="shared" si="33"/>
        <v>0</v>
      </c>
      <c r="F390" s="21">
        <f t="shared" si="34"/>
        <v>0</v>
      </c>
      <c r="G390" s="21">
        <f t="shared" si="35"/>
        <v>0</v>
      </c>
    </row>
    <row r="391" spans="2:7" ht="16.8" customHeight="1" x14ac:dyDescent="0.25">
      <c r="B391" s="20">
        <f t="shared" si="21"/>
        <v>387</v>
      </c>
      <c r="C391" s="23">
        <f t="shared" si="31"/>
        <v>0</v>
      </c>
      <c r="D391" s="21">
        <f t="shared" si="32"/>
        <v>0</v>
      </c>
      <c r="E391" s="21">
        <f t="shared" si="33"/>
        <v>0</v>
      </c>
      <c r="F391" s="21">
        <f t="shared" si="34"/>
        <v>0</v>
      </c>
      <c r="G391" s="21">
        <f t="shared" si="35"/>
        <v>0</v>
      </c>
    </row>
    <row r="392" spans="2:7" ht="16.8" customHeight="1" x14ac:dyDescent="0.25">
      <c r="B392" s="20">
        <f t="shared" si="21"/>
        <v>388</v>
      </c>
      <c r="C392" s="23">
        <f t="shared" ref="C392:C424" si="36">IF((IFERROR(C391-E392,0)-H392)&lt;0,0,IFERROR(C391-E392,0)-H392)</f>
        <v>0</v>
      </c>
      <c r="D392" s="21">
        <f t="shared" si="32"/>
        <v>0</v>
      </c>
      <c r="E392" s="21">
        <f t="shared" si="33"/>
        <v>0</v>
      </c>
      <c r="F392" s="21">
        <f t="shared" si="34"/>
        <v>0</v>
      </c>
      <c r="G392" s="21">
        <f t="shared" si="35"/>
        <v>0</v>
      </c>
    </row>
    <row r="393" spans="2:7" ht="16.8" customHeight="1" x14ac:dyDescent="0.25">
      <c r="B393" s="20">
        <f t="shared" si="21"/>
        <v>389</v>
      </c>
      <c r="C393" s="23">
        <f t="shared" si="36"/>
        <v>0</v>
      </c>
      <c r="D393" s="21">
        <f t="shared" si="32"/>
        <v>0</v>
      </c>
      <c r="E393" s="21">
        <f t="shared" si="33"/>
        <v>0</v>
      </c>
      <c r="F393" s="21">
        <f t="shared" si="34"/>
        <v>0</v>
      </c>
      <c r="G393" s="21">
        <f t="shared" si="35"/>
        <v>0</v>
      </c>
    </row>
    <row r="394" spans="2:7" ht="16.8" customHeight="1" x14ac:dyDescent="0.25">
      <c r="B394" s="20">
        <f t="shared" si="21"/>
        <v>390</v>
      </c>
      <c r="C394" s="23">
        <f t="shared" si="36"/>
        <v>0</v>
      </c>
      <c r="D394" s="21">
        <f t="shared" si="32"/>
        <v>0</v>
      </c>
      <c r="E394" s="21">
        <f t="shared" si="33"/>
        <v>0</v>
      </c>
      <c r="F394" s="21">
        <f t="shared" si="34"/>
        <v>0</v>
      </c>
      <c r="G394" s="21">
        <f t="shared" si="35"/>
        <v>0</v>
      </c>
    </row>
    <row r="395" spans="2:7" ht="16.8" customHeight="1" x14ac:dyDescent="0.25">
      <c r="B395" s="20">
        <f t="shared" si="21"/>
        <v>391</v>
      </c>
      <c r="C395" s="23">
        <f t="shared" si="36"/>
        <v>0</v>
      </c>
      <c r="D395" s="21">
        <f t="shared" si="32"/>
        <v>0</v>
      </c>
      <c r="E395" s="21">
        <f t="shared" si="33"/>
        <v>0</v>
      </c>
      <c r="F395" s="21">
        <f t="shared" si="34"/>
        <v>0</v>
      </c>
      <c r="G395" s="21">
        <f t="shared" si="35"/>
        <v>0</v>
      </c>
    </row>
    <row r="396" spans="2:7" ht="16.8" customHeight="1" x14ac:dyDescent="0.25">
      <c r="B396" s="20">
        <f t="shared" si="21"/>
        <v>392</v>
      </c>
      <c r="C396" s="23">
        <f t="shared" si="36"/>
        <v>0</v>
      </c>
      <c r="D396" s="21">
        <f t="shared" si="32"/>
        <v>0</v>
      </c>
      <c r="E396" s="21">
        <f t="shared" si="33"/>
        <v>0</v>
      </c>
      <c r="F396" s="21">
        <f t="shared" si="34"/>
        <v>0</v>
      </c>
      <c r="G396" s="21">
        <f t="shared" si="35"/>
        <v>0</v>
      </c>
    </row>
    <row r="397" spans="2:7" ht="16.8" customHeight="1" x14ac:dyDescent="0.25">
      <c r="B397" s="20">
        <f t="shared" si="21"/>
        <v>393</v>
      </c>
      <c r="C397" s="23">
        <f t="shared" si="36"/>
        <v>0</v>
      </c>
      <c r="D397" s="21">
        <f t="shared" si="32"/>
        <v>0</v>
      </c>
      <c r="E397" s="21">
        <f t="shared" si="33"/>
        <v>0</v>
      </c>
      <c r="F397" s="21">
        <f t="shared" si="34"/>
        <v>0</v>
      </c>
      <c r="G397" s="21">
        <f t="shared" si="35"/>
        <v>0</v>
      </c>
    </row>
    <row r="398" spans="2:7" ht="16.8" customHeight="1" x14ac:dyDescent="0.25">
      <c r="B398" s="20">
        <f t="shared" si="21"/>
        <v>394</v>
      </c>
      <c r="C398" s="23">
        <f t="shared" si="36"/>
        <v>0</v>
      </c>
      <c r="D398" s="21">
        <f t="shared" si="32"/>
        <v>0</v>
      </c>
      <c r="E398" s="21">
        <f t="shared" si="33"/>
        <v>0</v>
      </c>
      <c r="F398" s="21">
        <f t="shared" si="34"/>
        <v>0</v>
      </c>
      <c r="G398" s="21">
        <f t="shared" si="35"/>
        <v>0</v>
      </c>
    </row>
    <row r="399" spans="2:7" ht="16.8" customHeight="1" x14ac:dyDescent="0.25">
      <c r="B399" s="20">
        <f t="shared" si="21"/>
        <v>395</v>
      </c>
      <c r="C399" s="23">
        <f t="shared" si="36"/>
        <v>0</v>
      </c>
      <c r="D399" s="21">
        <f t="shared" si="32"/>
        <v>0</v>
      </c>
      <c r="E399" s="21">
        <f t="shared" si="33"/>
        <v>0</v>
      </c>
      <c r="F399" s="21">
        <f t="shared" si="34"/>
        <v>0</v>
      </c>
      <c r="G399" s="21">
        <f t="shared" si="35"/>
        <v>0</v>
      </c>
    </row>
    <row r="400" spans="2:7" ht="16.8" customHeight="1" x14ac:dyDescent="0.25">
      <c r="B400" s="20">
        <f t="shared" si="21"/>
        <v>396</v>
      </c>
      <c r="C400" s="23">
        <f t="shared" si="36"/>
        <v>0</v>
      </c>
      <c r="D400" s="21">
        <f t="shared" si="32"/>
        <v>0</v>
      </c>
      <c r="E400" s="21">
        <f t="shared" si="33"/>
        <v>0</v>
      </c>
      <c r="F400" s="21">
        <f t="shared" si="34"/>
        <v>0</v>
      </c>
      <c r="G400" s="21">
        <f t="shared" si="35"/>
        <v>0</v>
      </c>
    </row>
    <row r="401" spans="2:7" ht="16.8" customHeight="1" x14ac:dyDescent="0.25">
      <c r="B401" s="20">
        <f t="shared" si="21"/>
        <v>397</v>
      </c>
      <c r="C401" s="23">
        <f t="shared" si="36"/>
        <v>0</v>
      </c>
      <c r="D401" s="21">
        <f t="shared" si="32"/>
        <v>0</v>
      </c>
      <c r="E401" s="21">
        <f t="shared" si="33"/>
        <v>0</v>
      </c>
      <c r="F401" s="21">
        <f t="shared" si="34"/>
        <v>0</v>
      </c>
      <c r="G401" s="21">
        <f t="shared" si="35"/>
        <v>0</v>
      </c>
    </row>
    <row r="402" spans="2:7" ht="16.8" customHeight="1" x14ac:dyDescent="0.25">
      <c r="B402" s="20">
        <f t="shared" si="21"/>
        <v>398</v>
      </c>
      <c r="C402" s="23">
        <f t="shared" si="36"/>
        <v>0</v>
      </c>
      <c r="D402" s="21">
        <f t="shared" si="32"/>
        <v>0</v>
      </c>
      <c r="E402" s="21">
        <f t="shared" si="33"/>
        <v>0</v>
      </c>
      <c r="F402" s="21">
        <f t="shared" si="34"/>
        <v>0</v>
      </c>
      <c r="G402" s="21">
        <f t="shared" si="35"/>
        <v>0</v>
      </c>
    </row>
    <row r="403" spans="2:7" ht="16.8" customHeight="1" x14ac:dyDescent="0.25">
      <c r="B403" s="20">
        <f t="shared" si="21"/>
        <v>399</v>
      </c>
      <c r="C403" s="23">
        <f t="shared" si="36"/>
        <v>0</v>
      </c>
      <c r="D403" s="21">
        <f t="shared" si="32"/>
        <v>0</v>
      </c>
      <c r="E403" s="21">
        <f t="shared" si="33"/>
        <v>0</v>
      </c>
      <c r="F403" s="21">
        <f t="shared" si="34"/>
        <v>0</v>
      </c>
      <c r="G403" s="21">
        <f t="shared" si="35"/>
        <v>0</v>
      </c>
    </row>
    <row r="404" spans="2:7" ht="16.8" customHeight="1" x14ac:dyDescent="0.25">
      <c r="B404" s="20">
        <f t="shared" si="21"/>
        <v>400</v>
      </c>
      <c r="C404" s="23">
        <f t="shared" si="36"/>
        <v>0</v>
      </c>
      <c r="D404" s="21">
        <f t="shared" si="32"/>
        <v>0</v>
      </c>
      <c r="E404" s="21">
        <f t="shared" si="33"/>
        <v>0</v>
      </c>
      <c r="F404" s="21">
        <f t="shared" si="34"/>
        <v>0</v>
      </c>
      <c r="G404" s="21">
        <f t="shared" si="35"/>
        <v>0</v>
      </c>
    </row>
    <row r="405" spans="2:7" ht="16.8" customHeight="1" x14ac:dyDescent="0.25">
      <c r="B405" s="20">
        <f t="shared" si="21"/>
        <v>401</v>
      </c>
      <c r="C405" s="23">
        <f t="shared" si="36"/>
        <v>0</v>
      </c>
      <c r="D405" s="21">
        <f t="shared" si="32"/>
        <v>0</v>
      </c>
      <c r="E405" s="21">
        <f t="shared" si="33"/>
        <v>0</v>
      </c>
      <c r="F405" s="21">
        <f t="shared" si="34"/>
        <v>0</v>
      </c>
      <c r="G405" s="21">
        <f t="shared" si="35"/>
        <v>0</v>
      </c>
    </row>
    <row r="406" spans="2:7" ht="16.8" customHeight="1" x14ac:dyDescent="0.25">
      <c r="B406" s="20">
        <f t="shared" si="21"/>
        <v>402</v>
      </c>
      <c r="C406" s="23">
        <f t="shared" si="36"/>
        <v>0</v>
      </c>
      <c r="D406" s="21">
        <f t="shared" si="32"/>
        <v>0</v>
      </c>
      <c r="E406" s="21">
        <f t="shared" si="33"/>
        <v>0</v>
      </c>
      <c r="F406" s="21">
        <f t="shared" si="34"/>
        <v>0</v>
      </c>
      <c r="G406" s="21">
        <f t="shared" si="35"/>
        <v>0</v>
      </c>
    </row>
    <row r="407" spans="2:7" ht="16.8" customHeight="1" x14ac:dyDescent="0.25">
      <c r="B407" s="20">
        <f t="shared" si="21"/>
        <v>403</v>
      </c>
      <c r="C407" s="23">
        <f t="shared" si="36"/>
        <v>0</v>
      </c>
      <c r="D407" s="21">
        <f t="shared" si="32"/>
        <v>0</v>
      </c>
      <c r="E407" s="21">
        <f t="shared" si="33"/>
        <v>0</v>
      </c>
      <c r="F407" s="21">
        <f t="shared" si="34"/>
        <v>0</v>
      </c>
      <c r="G407" s="21">
        <f t="shared" si="35"/>
        <v>0</v>
      </c>
    </row>
    <row r="408" spans="2:7" ht="16.8" customHeight="1" x14ac:dyDescent="0.25">
      <c r="B408" s="20">
        <f t="shared" si="21"/>
        <v>404</v>
      </c>
      <c r="C408" s="23">
        <f t="shared" si="36"/>
        <v>0</v>
      </c>
      <c r="D408" s="21">
        <f t="shared" si="32"/>
        <v>0</v>
      </c>
      <c r="E408" s="21">
        <f t="shared" si="33"/>
        <v>0</v>
      </c>
      <c r="F408" s="21">
        <f t="shared" si="34"/>
        <v>0</v>
      </c>
      <c r="G408" s="21">
        <f t="shared" si="35"/>
        <v>0</v>
      </c>
    </row>
    <row r="409" spans="2:7" ht="16.8" customHeight="1" x14ac:dyDescent="0.25">
      <c r="B409" s="20">
        <f t="shared" si="21"/>
        <v>405</v>
      </c>
      <c r="C409" s="23">
        <f t="shared" si="36"/>
        <v>0</v>
      </c>
      <c r="D409" s="21">
        <f t="shared" si="32"/>
        <v>0</v>
      </c>
      <c r="E409" s="21">
        <f t="shared" si="33"/>
        <v>0</v>
      </c>
      <c r="F409" s="21">
        <f t="shared" si="34"/>
        <v>0</v>
      </c>
      <c r="G409" s="21">
        <f t="shared" si="35"/>
        <v>0</v>
      </c>
    </row>
    <row r="410" spans="2:7" ht="16.8" customHeight="1" x14ac:dyDescent="0.25">
      <c r="B410" s="20">
        <f t="shared" si="21"/>
        <v>406</v>
      </c>
      <c r="C410" s="23">
        <f t="shared" si="36"/>
        <v>0</v>
      </c>
      <c r="D410" s="21">
        <f t="shared" si="32"/>
        <v>0</v>
      </c>
      <c r="E410" s="21">
        <f t="shared" si="33"/>
        <v>0</v>
      </c>
      <c r="F410" s="21">
        <f t="shared" si="34"/>
        <v>0</v>
      </c>
      <c r="G410" s="21">
        <f t="shared" si="35"/>
        <v>0</v>
      </c>
    </row>
    <row r="411" spans="2:7" ht="16.8" customHeight="1" x14ac:dyDescent="0.25">
      <c r="B411" s="20">
        <f t="shared" si="21"/>
        <v>407</v>
      </c>
      <c r="C411" s="23">
        <f t="shared" si="36"/>
        <v>0</v>
      </c>
      <c r="D411" s="21">
        <f t="shared" si="32"/>
        <v>0</v>
      </c>
      <c r="E411" s="21">
        <f t="shared" si="33"/>
        <v>0</v>
      </c>
      <c r="F411" s="21">
        <f t="shared" si="34"/>
        <v>0</v>
      </c>
      <c r="G411" s="21">
        <f t="shared" si="35"/>
        <v>0</v>
      </c>
    </row>
    <row r="412" spans="2:7" ht="16.8" customHeight="1" x14ac:dyDescent="0.25">
      <c r="B412" s="20">
        <f t="shared" si="21"/>
        <v>408</v>
      </c>
      <c r="C412" s="23">
        <f t="shared" si="36"/>
        <v>0</v>
      </c>
      <c r="D412" s="21">
        <f t="shared" si="32"/>
        <v>0</v>
      </c>
      <c r="E412" s="21">
        <f t="shared" si="33"/>
        <v>0</v>
      </c>
      <c r="F412" s="21">
        <f t="shared" si="34"/>
        <v>0</v>
      </c>
      <c r="G412" s="21">
        <f t="shared" si="35"/>
        <v>0</v>
      </c>
    </row>
    <row r="413" spans="2:7" ht="16.8" customHeight="1" x14ac:dyDescent="0.25">
      <c r="B413" s="20">
        <f t="shared" si="21"/>
        <v>409</v>
      </c>
      <c r="C413" s="23">
        <f t="shared" si="36"/>
        <v>0</v>
      </c>
      <c r="D413" s="21">
        <f t="shared" si="32"/>
        <v>0</v>
      </c>
      <c r="E413" s="21">
        <f t="shared" si="33"/>
        <v>0</v>
      </c>
      <c r="F413" s="21">
        <f t="shared" si="34"/>
        <v>0</v>
      </c>
      <c r="G413" s="21">
        <f t="shared" si="35"/>
        <v>0</v>
      </c>
    </row>
    <row r="414" spans="2:7" ht="16.8" customHeight="1" x14ac:dyDescent="0.25">
      <c r="B414" s="20">
        <f t="shared" si="21"/>
        <v>410</v>
      </c>
      <c r="C414" s="23">
        <f t="shared" si="36"/>
        <v>0</v>
      </c>
      <c r="D414" s="21">
        <f t="shared" si="32"/>
        <v>0</v>
      </c>
      <c r="E414" s="21">
        <f t="shared" si="33"/>
        <v>0</v>
      </c>
      <c r="F414" s="21">
        <f t="shared" si="34"/>
        <v>0</v>
      </c>
      <c r="G414" s="21">
        <f t="shared" si="35"/>
        <v>0</v>
      </c>
    </row>
    <row r="415" spans="2:7" ht="16.8" customHeight="1" x14ac:dyDescent="0.25">
      <c r="B415" s="20">
        <f t="shared" si="21"/>
        <v>411</v>
      </c>
      <c r="C415" s="23">
        <f t="shared" si="36"/>
        <v>0</v>
      </c>
      <c r="D415" s="21">
        <f t="shared" si="32"/>
        <v>0</v>
      </c>
      <c r="E415" s="21">
        <f t="shared" si="33"/>
        <v>0</v>
      </c>
      <c r="F415" s="21">
        <f t="shared" si="34"/>
        <v>0</v>
      </c>
      <c r="G415" s="21">
        <f t="shared" si="35"/>
        <v>0</v>
      </c>
    </row>
    <row r="416" spans="2:7" ht="16.8" customHeight="1" x14ac:dyDescent="0.25">
      <c r="B416" s="20">
        <f t="shared" si="21"/>
        <v>412</v>
      </c>
      <c r="C416" s="23">
        <f t="shared" si="36"/>
        <v>0</v>
      </c>
      <c r="D416" s="21">
        <f t="shared" si="32"/>
        <v>0</v>
      </c>
      <c r="E416" s="21">
        <f t="shared" si="33"/>
        <v>0</v>
      </c>
      <c r="F416" s="21">
        <f t="shared" si="34"/>
        <v>0</v>
      </c>
      <c r="G416" s="21">
        <f t="shared" si="35"/>
        <v>0</v>
      </c>
    </row>
    <row r="417" spans="2:7" ht="16.8" customHeight="1" x14ac:dyDescent="0.25">
      <c r="B417" s="20">
        <f t="shared" si="21"/>
        <v>413</v>
      </c>
      <c r="C417" s="23">
        <f t="shared" si="36"/>
        <v>0</v>
      </c>
      <c r="D417" s="21">
        <f t="shared" si="32"/>
        <v>0</v>
      </c>
      <c r="E417" s="21">
        <f t="shared" si="33"/>
        <v>0</v>
      </c>
      <c r="F417" s="21">
        <f t="shared" si="34"/>
        <v>0</v>
      </c>
      <c r="G417" s="21">
        <f t="shared" si="35"/>
        <v>0</v>
      </c>
    </row>
    <row r="418" spans="2:7" ht="16.8" customHeight="1" x14ac:dyDescent="0.25">
      <c r="B418" s="20">
        <f t="shared" si="21"/>
        <v>414</v>
      </c>
      <c r="C418" s="23">
        <f t="shared" si="36"/>
        <v>0</v>
      </c>
      <c r="D418" s="21">
        <f t="shared" si="32"/>
        <v>0</v>
      </c>
      <c r="E418" s="21">
        <f t="shared" si="33"/>
        <v>0</v>
      </c>
      <c r="F418" s="21">
        <f t="shared" si="34"/>
        <v>0</v>
      </c>
      <c r="G418" s="21">
        <f t="shared" si="35"/>
        <v>0</v>
      </c>
    </row>
    <row r="419" spans="2:7" ht="16.8" customHeight="1" x14ac:dyDescent="0.25">
      <c r="B419" s="20">
        <f t="shared" si="21"/>
        <v>415</v>
      </c>
      <c r="C419" s="23">
        <f t="shared" si="36"/>
        <v>0</v>
      </c>
      <c r="D419" s="21">
        <f t="shared" si="32"/>
        <v>0</v>
      </c>
      <c r="E419" s="21">
        <f t="shared" si="33"/>
        <v>0</v>
      </c>
      <c r="F419" s="21">
        <f t="shared" si="34"/>
        <v>0</v>
      </c>
      <c r="G419" s="21">
        <f t="shared" si="35"/>
        <v>0</v>
      </c>
    </row>
    <row r="420" spans="2:7" ht="16.8" customHeight="1" x14ac:dyDescent="0.25">
      <c r="B420" s="20">
        <f t="shared" si="21"/>
        <v>416</v>
      </c>
      <c r="C420" s="23">
        <f t="shared" si="36"/>
        <v>0</v>
      </c>
      <c r="D420" s="21">
        <f t="shared" si="32"/>
        <v>0</v>
      </c>
      <c r="E420" s="21">
        <f t="shared" si="33"/>
        <v>0</v>
      </c>
      <c r="F420" s="21">
        <f t="shared" si="34"/>
        <v>0</v>
      </c>
      <c r="G420" s="21">
        <f t="shared" si="35"/>
        <v>0</v>
      </c>
    </row>
    <row r="421" spans="2:7" ht="16.8" customHeight="1" x14ac:dyDescent="0.25">
      <c r="B421" s="20">
        <f t="shared" si="21"/>
        <v>417</v>
      </c>
      <c r="C421" s="23">
        <f t="shared" si="36"/>
        <v>0</v>
      </c>
      <c r="D421" s="21">
        <f t="shared" si="32"/>
        <v>0</v>
      </c>
      <c r="E421" s="21">
        <f t="shared" si="33"/>
        <v>0</v>
      </c>
      <c r="F421" s="21">
        <f t="shared" si="34"/>
        <v>0</v>
      </c>
      <c r="G421" s="21">
        <f t="shared" si="35"/>
        <v>0</v>
      </c>
    </row>
    <row r="422" spans="2:7" ht="16.8" customHeight="1" x14ac:dyDescent="0.25">
      <c r="B422" s="20">
        <f t="shared" si="21"/>
        <v>418</v>
      </c>
      <c r="C422" s="23">
        <f t="shared" si="36"/>
        <v>0</v>
      </c>
      <c r="D422" s="21">
        <f t="shared" si="32"/>
        <v>0</v>
      </c>
      <c r="E422" s="21">
        <f t="shared" si="33"/>
        <v>0</v>
      </c>
      <c r="F422" s="21">
        <f t="shared" si="34"/>
        <v>0</v>
      </c>
      <c r="G422" s="21">
        <f t="shared" si="35"/>
        <v>0</v>
      </c>
    </row>
    <row r="423" spans="2:7" ht="16.8" customHeight="1" x14ac:dyDescent="0.25">
      <c r="B423" s="20">
        <f t="shared" si="21"/>
        <v>419</v>
      </c>
      <c r="C423" s="23">
        <f t="shared" si="36"/>
        <v>0</v>
      </c>
      <c r="D423" s="21">
        <f t="shared" si="32"/>
        <v>0</v>
      </c>
      <c r="E423" s="21">
        <f t="shared" si="33"/>
        <v>0</v>
      </c>
      <c r="F423" s="21">
        <f t="shared" si="34"/>
        <v>0</v>
      </c>
      <c r="G423" s="21">
        <f t="shared" si="35"/>
        <v>0</v>
      </c>
    </row>
    <row r="424" spans="2:7" ht="16.8" customHeight="1" x14ac:dyDescent="0.25">
      <c r="B424" s="20">
        <f t="shared" si="21"/>
        <v>420</v>
      </c>
      <c r="C424" s="23">
        <f t="shared" si="36"/>
        <v>0</v>
      </c>
      <c r="D424" s="21">
        <f t="shared" si="32"/>
        <v>0</v>
      </c>
      <c r="E424" s="21">
        <f t="shared" si="33"/>
        <v>0</v>
      </c>
      <c r="F424" s="21">
        <f t="shared" si="34"/>
        <v>0</v>
      </c>
      <c r="G424" s="21">
        <f t="shared" si="35"/>
        <v>0</v>
      </c>
    </row>
  </sheetData>
  <mergeCells count="1">
    <mergeCell ref="B1:G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J424"/>
  <sheetViews>
    <sheetView showGridLines="0" workbookViewId="0">
      <pane ySplit="3" topLeftCell="A4" activePane="bottomLeft" state="frozen"/>
      <selection activeCell="D363" sqref="D363"/>
      <selection pane="bottomLeft" activeCell="J15" sqref="J15"/>
    </sheetView>
  </sheetViews>
  <sheetFormatPr defaultColWidth="6.77734375" defaultRowHeight="16.8" customHeight="1" x14ac:dyDescent="0.25"/>
  <cols>
    <col min="1" max="1" width="1.44140625" style="15" customWidth="1"/>
    <col min="2" max="2" width="5.21875" style="15" bestFit="1" customWidth="1"/>
    <col min="3" max="3" width="19" style="15" bestFit="1" customWidth="1"/>
    <col min="4" max="4" width="12.88671875" style="15" bestFit="1" customWidth="1"/>
    <col min="5" max="5" width="14.33203125" style="15" bestFit="1" customWidth="1"/>
    <col min="6" max="6" width="12.88671875" style="15" bestFit="1" customWidth="1"/>
    <col min="7" max="7" width="16" style="15" bestFit="1" customWidth="1"/>
    <col min="8" max="8" width="4.77734375" style="15" customWidth="1"/>
    <col min="9" max="9" width="24.33203125" style="15" bestFit="1" customWidth="1"/>
    <col min="10" max="10" width="18.6640625" style="15" bestFit="1" customWidth="1"/>
    <col min="11" max="16384" width="6.77734375" style="15"/>
  </cols>
  <sheetData>
    <row r="1" spans="2:10" ht="16.8" customHeight="1" x14ac:dyDescent="0.25">
      <c r="B1" s="96" t="s">
        <v>58</v>
      </c>
      <c r="C1" s="94"/>
      <c r="D1" s="94"/>
      <c r="E1" s="94"/>
      <c r="F1" s="94"/>
      <c r="G1" s="95"/>
    </row>
    <row r="3" spans="2:10" ht="16.8" customHeight="1" x14ac:dyDescent="0.25">
      <c r="B3" s="11" t="s">
        <v>38</v>
      </c>
      <c r="C3" s="12" t="s">
        <v>46</v>
      </c>
      <c r="D3" s="12" t="s">
        <v>47</v>
      </c>
      <c r="E3" s="12" t="s">
        <v>48</v>
      </c>
      <c r="F3" s="12" t="s">
        <v>49</v>
      </c>
      <c r="G3" s="11" t="s">
        <v>12</v>
      </c>
      <c r="H3" s="9"/>
      <c r="I3" s="19"/>
      <c r="J3" s="19"/>
    </row>
    <row r="4" spans="2:10" ht="16.8" customHeight="1" x14ac:dyDescent="0.25">
      <c r="B4" s="16">
        <v>0</v>
      </c>
      <c r="C4" s="17">
        <f>J8</f>
        <v>450000</v>
      </c>
      <c r="D4" s="18">
        <v>0</v>
      </c>
      <c r="E4" s="18">
        <v>0</v>
      </c>
      <c r="F4" s="18">
        <v>0</v>
      </c>
      <c r="G4" s="21">
        <v>0</v>
      </c>
      <c r="H4" s="19"/>
      <c r="I4" s="14"/>
      <c r="J4" s="14"/>
    </row>
    <row r="5" spans="2:10" ht="16.8" customHeight="1" x14ac:dyDescent="0.25">
      <c r="B5" s="20">
        <v>1</v>
      </c>
      <c r="C5" s="21">
        <f>IFERROR(C4-E5,0)</f>
        <v>448750</v>
      </c>
      <c r="D5" s="21">
        <f>E5+F5+G5</f>
        <v>5519.9568205623709</v>
      </c>
      <c r="E5" s="21">
        <f>C4/$J$11</f>
        <v>1250</v>
      </c>
      <c r="F5" s="21">
        <f>+C4*$J$10</f>
        <v>4269.9568205623709</v>
      </c>
      <c r="G5" s="21">
        <f t="shared" ref="G5:G16" si="0">G4</f>
        <v>0</v>
      </c>
      <c r="H5" s="19"/>
      <c r="I5" s="30" t="s">
        <v>50</v>
      </c>
      <c r="J5" s="37">
        <f>'Preencha Aqui'!C5</f>
        <v>500000</v>
      </c>
    </row>
    <row r="6" spans="2:10" ht="16.8" customHeight="1" x14ac:dyDescent="0.25">
      <c r="B6" s="20">
        <f t="shared" ref="B6:B260" si="1">+B5+1</f>
        <v>2</v>
      </c>
      <c r="C6" s="21">
        <f>IFERROR(C5-E6,0)-H6</f>
        <v>447500</v>
      </c>
      <c r="D6" s="21">
        <f t="shared" ref="D6:D69" si="2">E6+F6+G6</f>
        <v>5508.0958293941421</v>
      </c>
      <c r="E6" s="21">
        <f>IF(B6&gt;$J$11,0,E5)</f>
        <v>1250</v>
      </c>
      <c r="F6" s="21">
        <f t="shared" ref="F6:F69" si="3">+C5*$J$10</f>
        <v>4258.0958293941421</v>
      </c>
      <c r="G6" s="21">
        <f t="shared" si="0"/>
        <v>0</v>
      </c>
      <c r="H6" s="19"/>
      <c r="I6" s="30" t="s">
        <v>2</v>
      </c>
      <c r="J6" s="37">
        <f>'Preencha Aqui'!C6</f>
        <v>0</v>
      </c>
    </row>
    <row r="7" spans="2:10" ht="16.8" customHeight="1" x14ac:dyDescent="0.25">
      <c r="B7" s="20">
        <f t="shared" si="1"/>
        <v>3</v>
      </c>
      <c r="C7" s="21">
        <f t="shared" ref="C7:C70" si="4">IFERROR(C6-E7,0)-H7</f>
        <v>446250</v>
      </c>
      <c r="D7" s="21">
        <f t="shared" si="2"/>
        <v>5496.2348382259133</v>
      </c>
      <c r="E7" s="21">
        <f t="shared" ref="E7:E70" si="5">IF(B7&gt;$J$11,0,E6)</f>
        <v>1250</v>
      </c>
      <c r="F7" s="21">
        <f t="shared" si="3"/>
        <v>4246.2348382259133</v>
      </c>
      <c r="G7" s="21">
        <f t="shared" si="0"/>
        <v>0</v>
      </c>
      <c r="H7" s="19"/>
      <c r="I7" s="30" t="s">
        <v>3</v>
      </c>
      <c r="J7" s="37">
        <f>'Preencha Aqui'!C7</f>
        <v>50000</v>
      </c>
    </row>
    <row r="8" spans="2:10" ht="16.8" customHeight="1" x14ac:dyDescent="0.25">
      <c r="B8" s="20">
        <f t="shared" si="1"/>
        <v>4</v>
      </c>
      <c r="C8" s="21">
        <f t="shared" si="4"/>
        <v>445000</v>
      </c>
      <c r="D8" s="21">
        <f t="shared" si="2"/>
        <v>5484.3738470576845</v>
      </c>
      <c r="E8" s="21">
        <f t="shared" si="5"/>
        <v>1250</v>
      </c>
      <c r="F8" s="21">
        <f t="shared" si="3"/>
        <v>4234.3738470576845</v>
      </c>
      <c r="G8" s="21">
        <f t="shared" si="0"/>
        <v>0</v>
      </c>
      <c r="H8" s="19"/>
      <c r="I8" s="30" t="s">
        <v>51</v>
      </c>
      <c r="J8" s="37">
        <f>'Preencha Aqui'!C8</f>
        <v>450000</v>
      </c>
    </row>
    <row r="9" spans="2:10" ht="16.8" customHeight="1" x14ac:dyDescent="0.25">
      <c r="B9" s="20">
        <f t="shared" si="1"/>
        <v>5</v>
      </c>
      <c r="C9" s="21">
        <f t="shared" si="4"/>
        <v>443750</v>
      </c>
      <c r="D9" s="21">
        <f t="shared" si="2"/>
        <v>5472.5128558894558</v>
      </c>
      <c r="E9" s="21">
        <f t="shared" si="5"/>
        <v>1250</v>
      </c>
      <c r="F9" s="21">
        <f t="shared" si="3"/>
        <v>4222.5128558894558</v>
      </c>
      <c r="G9" s="21">
        <f t="shared" si="0"/>
        <v>0</v>
      </c>
      <c r="H9" s="19"/>
      <c r="I9" s="30" t="s">
        <v>7</v>
      </c>
      <c r="J9" s="79">
        <f>'Preencha Aqui'!C10</f>
        <v>0.12</v>
      </c>
    </row>
    <row r="10" spans="2:10" ht="16.8" customHeight="1" x14ac:dyDescent="0.25">
      <c r="B10" s="24">
        <f t="shared" si="1"/>
        <v>6</v>
      </c>
      <c r="C10" s="21">
        <f t="shared" si="4"/>
        <v>442500</v>
      </c>
      <c r="D10" s="21">
        <f t="shared" si="2"/>
        <v>5460.651864721227</v>
      </c>
      <c r="E10" s="21">
        <f t="shared" si="5"/>
        <v>1250</v>
      </c>
      <c r="F10" s="21">
        <f t="shared" si="3"/>
        <v>4210.651864721227</v>
      </c>
      <c r="G10" s="21">
        <f t="shared" si="0"/>
        <v>0</v>
      </c>
      <c r="H10" s="19"/>
      <c r="I10" s="30" t="s">
        <v>6</v>
      </c>
      <c r="J10" s="79">
        <f>'Preencha Aqui'!D10</f>
        <v>9.4887929345830457E-3</v>
      </c>
    </row>
    <row r="11" spans="2:10" ht="16.8" customHeight="1" x14ac:dyDescent="0.25">
      <c r="B11" s="20">
        <f t="shared" si="1"/>
        <v>7</v>
      </c>
      <c r="C11" s="21">
        <f t="shared" si="4"/>
        <v>441250</v>
      </c>
      <c r="D11" s="21">
        <f t="shared" si="2"/>
        <v>5448.7908735529982</v>
      </c>
      <c r="E11" s="21">
        <f t="shared" si="5"/>
        <v>1250</v>
      </c>
      <c r="F11" s="21">
        <f t="shared" si="3"/>
        <v>4198.7908735529982</v>
      </c>
      <c r="G11" s="21">
        <f t="shared" si="0"/>
        <v>0</v>
      </c>
      <c r="H11" s="19"/>
      <c r="I11" s="30" t="s">
        <v>8</v>
      </c>
      <c r="J11" s="35">
        <f>'Preencha Aqui'!C11</f>
        <v>360</v>
      </c>
    </row>
    <row r="12" spans="2:10" ht="16.8" customHeight="1" x14ac:dyDescent="0.25">
      <c r="B12" s="20">
        <f t="shared" si="1"/>
        <v>8</v>
      </c>
      <c r="C12" s="21">
        <f t="shared" si="4"/>
        <v>440000</v>
      </c>
      <c r="D12" s="21">
        <f t="shared" si="2"/>
        <v>5436.9298823847694</v>
      </c>
      <c r="E12" s="21">
        <f t="shared" si="5"/>
        <v>1250</v>
      </c>
      <c r="F12" s="21">
        <f t="shared" si="3"/>
        <v>4186.9298823847694</v>
      </c>
      <c r="G12" s="21">
        <f t="shared" si="0"/>
        <v>0</v>
      </c>
      <c r="H12" s="19"/>
      <c r="I12" s="30" t="s">
        <v>52</v>
      </c>
      <c r="J12" s="37">
        <f>SUM(F4:F424)</f>
        <v>770727.20611150947</v>
      </c>
    </row>
    <row r="13" spans="2:10" ht="16.8" customHeight="1" x14ac:dyDescent="0.25">
      <c r="B13" s="20">
        <f t="shared" si="1"/>
        <v>9</v>
      </c>
      <c r="C13" s="21">
        <f t="shared" si="4"/>
        <v>438750</v>
      </c>
      <c r="D13" s="21">
        <f t="shared" si="2"/>
        <v>5425.0688912165406</v>
      </c>
      <c r="E13" s="21">
        <f t="shared" si="5"/>
        <v>1250</v>
      </c>
      <c r="F13" s="21">
        <f t="shared" si="3"/>
        <v>4175.0688912165406</v>
      </c>
      <c r="G13" s="21">
        <f t="shared" si="0"/>
        <v>0</v>
      </c>
      <c r="H13" s="19"/>
      <c r="I13" s="30" t="s">
        <v>53</v>
      </c>
      <c r="J13" s="37">
        <f>SUM(D4:D424)</f>
        <v>1220727.2061115096</v>
      </c>
    </row>
    <row r="14" spans="2:10" ht="16.8" customHeight="1" x14ac:dyDescent="0.25">
      <c r="B14" s="20">
        <f t="shared" si="1"/>
        <v>10</v>
      </c>
      <c r="C14" s="21">
        <f t="shared" si="4"/>
        <v>437500</v>
      </c>
      <c r="D14" s="21">
        <f t="shared" si="2"/>
        <v>5413.2079000483109</v>
      </c>
      <c r="E14" s="21">
        <f t="shared" si="5"/>
        <v>1250</v>
      </c>
      <c r="F14" s="21">
        <f t="shared" si="3"/>
        <v>4163.2079000483109</v>
      </c>
      <c r="G14" s="21">
        <f t="shared" si="0"/>
        <v>0</v>
      </c>
      <c r="H14" s="19"/>
      <c r="I14" s="19"/>
      <c r="J14" s="19"/>
    </row>
    <row r="15" spans="2:10" ht="16.8" customHeight="1" x14ac:dyDescent="0.25">
      <c r="B15" s="20">
        <f t="shared" si="1"/>
        <v>11</v>
      </c>
      <c r="C15" s="21">
        <f t="shared" si="4"/>
        <v>436250</v>
      </c>
      <c r="D15" s="21">
        <f t="shared" si="2"/>
        <v>5401.3469088800821</v>
      </c>
      <c r="E15" s="21">
        <f t="shared" si="5"/>
        <v>1250</v>
      </c>
      <c r="F15" s="21">
        <f t="shared" si="3"/>
        <v>4151.3469088800821</v>
      </c>
      <c r="G15" s="21">
        <f t="shared" si="0"/>
        <v>0</v>
      </c>
      <c r="H15" s="19"/>
      <c r="I15" s="19"/>
      <c r="J15" s="19"/>
    </row>
    <row r="16" spans="2:10" ht="16.8" customHeight="1" x14ac:dyDescent="0.25">
      <c r="B16" s="20">
        <f t="shared" si="1"/>
        <v>12</v>
      </c>
      <c r="C16" s="21">
        <f t="shared" si="4"/>
        <v>435000</v>
      </c>
      <c r="D16" s="21">
        <f t="shared" si="2"/>
        <v>5389.4859177118533</v>
      </c>
      <c r="E16" s="21">
        <f t="shared" si="5"/>
        <v>1250</v>
      </c>
      <c r="F16" s="21">
        <f t="shared" si="3"/>
        <v>4139.4859177118533</v>
      </c>
      <c r="G16" s="21">
        <f t="shared" si="0"/>
        <v>0</v>
      </c>
      <c r="H16" s="19"/>
      <c r="I16" s="19"/>
      <c r="J16" s="19"/>
    </row>
    <row r="17" spans="2:10" ht="16.8" customHeight="1" x14ac:dyDescent="0.25">
      <c r="B17" s="20">
        <f t="shared" si="1"/>
        <v>13</v>
      </c>
      <c r="C17" s="21">
        <f t="shared" si="4"/>
        <v>433750</v>
      </c>
      <c r="D17" s="21">
        <f t="shared" si="2"/>
        <v>5377.6249265436245</v>
      </c>
      <c r="E17" s="21">
        <f t="shared" si="5"/>
        <v>1250</v>
      </c>
      <c r="F17" s="21">
        <f t="shared" si="3"/>
        <v>4127.6249265436245</v>
      </c>
      <c r="G17" s="21">
        <f t="shared" ref="G17:G80" si="6">IF(B17&gt;$J$11,0,G16)</f>
        <v>0</v>
      </c>
      <c r="H17" s="19"/>
      <c r="I17" s="19"/>
      <c r="J17" s="19"/>
    </row>
    <row r="18" spans="2:10" ht="16.8" customHeight="1" x14ac:dyDescent="0.25">
      <c r="B18" s="20">
        <f t="shared" si="1"/>
        <v>14</v>
      </c>
      <c r="C18" s="21">
        <f t="shared" si="4"/>
        <v>432500</v>
      </c>
      <c r="D18" s="21">
        <f t="shared" si="2"/>
        <v>5365.7639353753957</v>
      </c>
      <c r="E18" s="21">
        <f t="shared" si="5"/>
        <v>1250</v>
      </c>
      <c r="F18" s="21">
        <f t="shared" si="3"/>
        <v>4115.7639353753957</v>
      </c>
      <c r="G18" s="21">
        <f t="shared" si="6"/>
        <v>0</v>
      </c>
    </row>
    <row r="19" spans="2:10" ht="16.8" customHeight="1" x14ac:dyDescent="0.25">
      <c r="B19" s="20">
        <f t="shared" si="1"/>
        <v>15</v>
      </c>
      <c r="C19" s="21">
        <f t="shared" si="4"/>
        <v>431250</v>
      </c>
      <c r="D19" s="21">
        <f t="shared" si="2"/>
        <v>5353.9029442071669</v>
      </c>
      <c r="E19" s="21">
        <f t="shared" si="5"/>
        <v>1250</v>
      </c>
      <c r="F19" s="21">
        <f t="shared" si="3"/>
        <v>4103.9029442071669</v>
      </c>
      <c r="G19" s="21">
        <f t="shared" si="6"/>
        <v>0</v>
      </c>
    </row>
    <row r="20" spans="2:10" ht="16.8" customHeight="1" x14ac:dyDescent="0.25">
      <c r="B20" s="20">
        <f t="shared" si="1"/>
        <v>16</v>
      </c>
      <c r="C20" s="21">
        <f t="shared" si="4"/>
        <v>430000</v>
      </c>
      <c r="D20" s="21">
        <f t="shared" si="2"/>
        <v>5342.041953038939</v>
      </c>
      <c r="E20" s="21">
        <f t="shared" si="5"/>
        <v>1250</v>
      </c>
      <c r="F20" s="21">
        <f t="shared" si="3"/>
        <v>4092.0419530389386</v>
      </c>
      <c r="G20" s="21">
        <f t="shared" si="6"/>
        <v>0</v>
      </c>
    </row>
    <row r="21" spans="2:10" ht="16.8" customHeight="1" x14ac:dyDescent="0.25">
      <c r="B21" s="20">
        <f t="shared" si="1"/>
        <v>17</v>
      </c>
      <c r="C21" s="21">
        <f t="shared" si="4"/>
        <v>428750</v>
      </c>
      <c r="D21" s="21">
        <f t="shared" si="2"/>
        <v>5330.1809618707102</v>
      </c>
      <c r="E21" s="21">
        <f t="shared" si="5"/>
        <v>1250</v>
      </c>
      <c r="F21" s="21">
        <f t="shared" si="3"/>
        <v>4080.1809618707098</v>
      </c>
      <c r="G21" s="21">
        <f t="shared" si="6"/>
        <v>0</v>
      </c>
    </row>
    <row r="22" spans="2:10" ht="16.8" customHeight="1" x14ac:dyDescent="0.25">
      <c r="B22" s="20">
        <f t="shared" si="1"/>
        <v>18</v>
      </c>
      <c r="C22" s="21">
        <f t="shared" si="4"/>
        <v>427500</v>
      </c>
      <c r="D22" s="21">
        <f t="shared" si="2"/>
        <v>5318.3199707024814</v>
      </c>
      <c r="E22" s="21">
        <f t="shared" si="5"/>
        <v>1250</v>
      </c>
      <c r="F22" s="21">
        <f t="shared" si="3"/>
        <v>4068.319970702481</v>
      </c>
      <c r="G22" s="21">
        <f t="shared" si="6"/>
        <v>0</v>
      </c>
    </row>
    <row r="23" spans="2:10" ht="16.8" customHeight="1" x14ac:dyDescent="0.25">
      <c r="B23" s="20">
        <f t="shared" si="1"/>
        <v>19</v>
      </c>
      <c r="C23" s="21">
        <f t="shared" si="4"/>
        <v>426250</v>
      </c>
      <c r="D23" s="21">
        <f t="shared" si="2"/>
        <v>5306.4589795342526</v>
      </c>
      <c r="E23" s="21">
        <f t="shared" si="5"/>
        <v>1250</v>
      </c>
      <c r="F23" s="21">
        <f t="shared" si="3"/>
        <v>4056.4589795342522</v>
      </c>
      <c r="G23" s="21">
        <f t="shared" si="6"/>
        <v>0</v>
      </c>
    </row>
    <row r="24" spans="2:10" ht="16.8" customHeight="1" x14ac:dyDescent="0.25">
      <c r="B24" s="20">
        <f t="shared" si="1"/>
        <v>20</v>
      </c>
      <c r="C24" s="21">
        <f t="shared" si="4"/>
        <v>425000</v>
      </c>
      <c r="D24" s="21">
        <f t="shared" si="2"/>
        <v>5294.5979883660239</v>
      </c>
      <c r="E24" s="21">
        <f t="shared" si="5"/>
        <v>1250</v>
      </c>
      <c r="F24" s="21">
        <f t="shared" si="3"/>
        <v>4044.5979883660234</v>
      </c>
      <c r="G24" s="21">
        <f t="shared" si="6"/>
        <v>0</v>
      </c>
    </row>
    <row r="25" spans="2:10" ht="16.8" customHeight="1" x14ac:dyDescent="0.25">
      <c r="B25" s="20">
        <f t="shared" si="1"/>
        <v>21</v>
      </c>
      <c r="C25" s="21">
        <f t="shared" si="4"/>
        <v>423750</v>
      </c>
      <c r="D25" s="21">
        <f t="shared" si="2"/>
        <v>5282.7369971977951</v>
      </c>
      <c r="E25" s="21">
        <f t="shared" si="5"/>
        <v>1250</v>
      </c>
      <c r="F25" s="21">
        <f t="shared" si="3"/>
        <v>4032.7369971977946</v>
      </c>
      <c r="G25" s="21">
        <f t="shared" si="6"/>
        <v>0</v>
      </c>
    </row>
    <row r="26" spans="2:10" ht="16.8" customHeight="1" x14ac:dyDescent="0.25">
      <c r="B26" s="20">
        <f t="shared" si="1"/>
        <v>22</v>
      </c>
      <c r="C26" s="21">
        <f t="shared" si="4"/>
        <v>422500</v>
      </c>
      <c r="D26" s="21">
        <f t="shared" si="2"/>
        <v>5270.8760060295663</v>
      </c>
      <c r="E26" s="21">
        <f t="shared" si="5"/>
        <v>1250</v>
      </c>
      <c r="F26" s="21">
        <f t="shared" si="3"/>
        <v>4020.8760060295658</v>
      </c>
      <c r="G26" s="21">
        <f t="shared" si="6"/>
        <v>0</v>
      </c>
    </row>
    <row r="27" spans="2:10" ht="16.8" customHeight="1" x14ac:dyDescent="0.25">
      <c r="B27" s="20">
        <f t="shared" si="1"/>
        <v>23</v>
      </c>
      <c r="C27" s="21">
        <f t="shared" si="4"/>
        <v>421250</v>
      </c>
      <c r="D27" s="21">
        <f t="shared" si="2"/>
        <v>5259.0150148613375</v>
      </c>
      <c r="E27" s="21">
        <f t="shared" si="5"/>
        <v>1250</v>
      </c>
      <c r="F27" s="21">
        <f t="shared" si="3"/>
        <v>4009.015014861337</v>
      </c>
      <c r="G27" s="21">
        <f t="shared" si="6"/>
        <v>0</v>
      </c>
    </row>
    <row r="28" spans="2:10" ht="16.8" customHeight="1" x14ac:dyDescent="0.25">
      <c r="B28" s="20">
        <f t="shared" si="1"/>
        <v>24</v>
      </c>
      <c r="C28" s="21">
        <f t="shared" si="4"/>
        <v>420000</v>
      </c>
      <c r="D28" s="21">
        <f t="shared" si="2"/>
        <v>5247.1540236931087</v>
      </c>
      <c r="E28" s="21">
        <f t="shared" si="5"/>
        <v>1250</v>
      </c>
      <c r="F28" s="21">
        <f t="shared" si="3"/>
        <v>3997.1540236931082</v>
      </c>
      <c r="G28" s="21">
        <f t="shared" si="6"/>
        <v>0</v>
      </c>
    </row>
    <row r="29" spans="2:10" ht="16.8" customHeight="1" x14ac:dyDescent="0.25">
      <c r="B29" s="20">
        <f t="shared" si="1"/>
        <v>25</v>
      </c>
      <c r="C29" s="21">
        <f t="shared" si="4"/>
        <v>418750</v>
      </c>
      <c r="D29" s="21">
        <f t="shared" si="2"/>
        <v>5235.293032524879</v>
      </c>
      <c r="E29" s="21">
        <f t="shared" si="5"/>
        <v>1250</v>
      </c>
      <c r="F29" s="21">
        <f t="shared" si="3"/>
        <v>3985.293032524879</v>
      </c>
      <c r="G29" s="21">
        <f t="shared" si="6"/>
        <v>0</v>
      </c>
    </row>
    <row r="30" spans="2:10" ht="16.8" customHeight="1" x14ac:dyDescent="0.25">
      <c r="B30" s="20">
        <f t="shared" si="1"/>
        <v>26</v>
      </c>
      <c r="C30" s="21">
        <f t="shared" si="4"/>
        <v>417500</v>
      </c>
      <c r="D30" s="21">
        <f t="shared" si="2"/>
        <v>5223.4320413566502</v>
      </c>
      <c r="E30" s="21">
        <f t="shared" si="5"/>
        <v>1250</v>
      </c>
      <c r="F30" s="21">
        <f t="shared" si="3"/>
        <v>3973.4320413566502</v>
      </c>
      <c r="G30" s="21">
        <f t="shared" si="6"/>
        <v>0</v>
      </c>
    </row>
    <row r="31" spans="2:10" ht="16.8" customHeight="1" x14ac:dyDescent="0.25">
      <c r="B31" s="20">
        <f t="shared" si="1"/>
        <v>27</v>
      </c>
      <c r="C31" s="21">
        <f t="shared" si="4"/>
        <v>416250</v>
      </c>
      <c r="D31" s="21">
        <f t="shared" si="2"/>
        <v>5211.5710501884214</v>
      </c>
      <c r="E31" s="21">
        <f t="shared" si="5"/>
        <v>1250</v>
      </c>
      <c r="F31" s="21">
        <f t="shared" si="3"/>
        <v>3961.5710501884214</v>
      </c>
      <c r="G31" s="21">
        <f t="shared" si="6"/>
        <v>0</v>
      </c>
    </row>
    <row r="32" spans="2:10" ht="16.8" customHeight="1" x14ac:dyDescent="0.25">
      <c r="B32" s="20">
        <f t="shared" si="1"/>
        <v>28</v>
      </c>
      <c r="C32" s="21">
        <f t="shared" si="4"/>
        <v>415000</v>
      </c>
      <c r="D32" s="21">
        <f t="shared" si="2"/>
        <v>5199.7100590201926</v>
      </c>
      <c r="E32" s="21">
        <f t="shared" si="5"/>
        <v>1250</v>
      </c>
      <c r="F32" s="21">
        <f t="shared" si="3"/>
        <v>3949.7100590201926</v>
      </c>
      <c r="G32" s="21">
        <f t="shared" si="6"/>
        <v>0</v>
      </c>
    </row>
    <row r="33" spans="2:7" ht="16.8" customHeight="1" x14ac:dyDescent="0.25">
      <c r="B33" s="20">
        <f t="shared" si="1"/>
        <v>29</v>
      </c>
      <c r="C33" s="21">
        <f t="shared" si="4"/>
        <v>413750</v>
      </c>
      <c r="D33" s="21">
        <f t="shared" si="2"/>
        <v>5187.8490678519638</v>
      </c>
      <c r="E33" s="21">
        <f t="shared" si="5"/>
        <v>1250</v>
      </c>
      <c r="F33" s="21">
        <f t="shared" si="3"/>
        <v>3937.8490678519638</v>
      </c>
      <c r="G33" s="21">
        <f t="shared" si="6"/>
        <v>0</v>
      </c>
    </row>
    <row r="34" spans="2:7" ht="16.8" customHeight="1" x14ac:dyDescent="0.25">
      <c r="B34" s="20">
        <f t="shared" si="1"/>
        <v>30</v>
      </c>
      <c r="C34" s="21">
        <f t="shared" si="4"/>
        <v>412500</v>
      </c>
      <c r="D34" s="21">
        <f t="shared" si="2"/>
        <v>5175.988076683735</v>
      </c>
      <c r="E34" s="21">
        <f t="shared" si="5"/>
        <v>1250</v>
      </c>
      <c r="F34" s="21">
        <f t="shared" si="3"/>
        <v>3925.988076683735</v>
      </c>
      <c r="G34" s="21">
        <f t="shared" si="6"/>
        <v>0</v>
      </c>
    </row>
    <row r="35" spans="2:7" ht="16.8" customHeight="1" x14ac:dyDescent="0.25">
      <c r="B35" s="20">
        <f t="shared" si="1"/>
        <v>31</v>
      </c>
      <c r="C35" s="21">
        <f t="shared" si="4"/>
        <v>411250</v>
      </c>
      <c r="D35" s="21">
        <f t="shared" si="2"/>
        <v>5164.1270855155062</v>
      </c>
      <c r="E35" s="21">
        <f t="shared" si="5"/>
        <v>1250</v>
      </c>
      <c r="F35" s="21">
        <f t="shared" si="3"/>
        <v>3914.1270855155062</v>
      </c>
      <c r="G35" s="21">
        <f t="shared" si="6"/>
        <v>0</v>
      </c>
    </row>
    <row r="36" spans="2:7" ht="16.8" customHeight="1" x14ac:dyDescent="0.25">
      <c r="B36" s="20">
        <f t="shared" si="1"/>
        <v>32</v>
      </c>
      <c r="C36" s="21">
        <f t="shared" si="4"/>
        <v>410000</v>
      </c>
      <c r="D36" s="21">
        <f t="shared" si="2"/>
        <v>5152.2660943472774</v>
      </c>
      <c r="E36" s="21">
        <f t="shared" si="5"/>
        <v>1250</v>
      </c>
      <c r="F36" s="21">
        <f t="shared" si="3"/>
        <v>3902.2660943472774</v>
      </c>
      <c r="G36" s="21">
        <f t="shared" si="6"/>
        <v>0</v>
      </c>
    </row>
    <row r="37" spans="2:7" ht="16.8" customHeight="1" x14ac:dyDescent="0.25">
      <c r="B37" s="20">
        <f t="shared" si="1"/>
        <v>33</v>
      </c>
      <c r="C37" s="21">
        <f t="shared" si="4"/>
        <v>408750</v>
      </c>
      <c r="D37" s="21">
        <f t="shared" si="2"/>
        <v>5140.4051031790486</v>
      </c>
      <c r="E37" s="21">
        <f t="shared" si="5"/>
        <v>1250</v>
      </c>
      <c r="F37" s="21">
        <f t="shared" si="3"/>
        <v>3890.4051031790486</v>
      </c>
      <c r="G37" s="21">
        <f t="shared" si="6"/>
        <v>0</v>
      </c>
    </row>
    <row r="38" spans="2:7" ht="16.8" customHeight="1" x14ac:dyDescent="0.25">
      <c r="B38" s="20">
        <f t="shared" si="1"/>
        <v>34</v>
      </c>
      <c r="C38" s="21">
        <f t="shared" si="4"/>
        <v>407500</v>
      </c>
      <c r="D38" s="21">
        <f t="shared" si="2"/>
        <v>5128.5441120108198</v>
      </c>
      <c r="E38" s="21">
        <f t="shared" si="5"/>
        <v>1250</v>
      </c>
      <c r="F38" s="21">
        <f t="shared" si="3"/>
        <v>3878.5441120108198</v>
      </c>
      <c r="G38" s="21">
        <f t="shared" si="6"/>
        <v>0</v>
      </c>
    </row>
    <row r="39" spans="2:7" ht="16.8" customHeight="1" x14ac:dyDescent="0.25">
      <c r="B39" s="20">
        <f t="shared" si="1"/>
        <v>35</v>
      </c>
      <c r="C39" s="21">
        <f t="shared" si="4"/>
        <v>406250</v>
      </c>
      <c r="D39" s="21">
        <f t="shared" si="2"/>
        <v>5116.6831208425911</v>
      </c>
      <c r="E39" s="21">
        <f t="shared" si="5"/>
        <v>1250</v>
      </c>
      <c r="F39" s="21">
        <f t="shared" si="3"/>
        <v>3866.6831208425911</v>
      </c>
      <c r="G39" s="21">
        <f t="shared" si="6"/>
        <v>0</v>
      </c>
    </row>
    <row r="40" spans="2:7" ht="16.8" customHeight="1" x14ac:dyDescent="0.25">
      <c r="B40" s="20">
        <f t="shared" si="1"/>
        <v>36</v>
      </c>
      <c r="C40" s="21">
        <f t="shared" si="4"/>
        <v>405000</v>
      </c>
      <c r="D40" s="21">
        <f t="shared" si="2"/>
        <v>5104.8221296743623</v>
      </c>
      <c r="E40" s="21">
        <f t="shared" si="5"/>
        <v>1250</v>
      </c>
      <c r="F40" s="21">
        <f t="shared" si="3"/>
        <v>3854.8221296743623</v>
      </c>
      <c r="G40" s="21">
        <f t="shared" si="6"/>
        <v>0</v>
      </c>
    </row>
    <row r="41" spans="2:7" ht="16.8" customHeight="1" x14ac:dyDescent="0.25">
      <c r="B41" s="20">
        <f t="shared" si="1"/>
        <v>37</v>
      </c>
      <c r="C41" s="21">
        <f t="shared" si="4"/>
        <v>403750</v>
      </c>
      <c r="D41" s="21">
        <f t="shared" si="2"/>
        <v>5092.9611385061335</v>
      </c>
      <c r="E41" s="21">
        <f t="shared" si="5"/>
        <v>1250</v>
      </c>
      <c r="F41" s="21">
        <f t="shared" si="3"/>
        <v>3842.9611385061335</v>
      </c>
      <c r="G41" s="21">
        <f t="shared" si="6"/>
        <v>0</v>
      </c>
    </row>
    <row r="42" spans="2:7" ht="16.8" customHeight="1" x14ac:dyDescent="0.25">
      <c r="B42" s="20">
        <f t="shared" si="1"/>
        <v>38</v>
      </c>
      <c r="C42" s="21">
        <f t="shared" si="4"/>
        <v>402500</v>
      </c>
      <c r="D42" s="21">
        <f t="shared" si="2"/>
        <v>5081.1001473379047</v>
      </c>
      <c r="E42" s="21">
        <f t="shared" si="5"/>
        <v>1250</v>
      </c>
      <c r="F42" s="21">
        <f t="shared" si="3"/>
        <v>3831.1001473379047</v>
      </c>
      <c r="G42" s="21">
        <f t="shared" si="6"/>
        <v>0</v>
      </c>
    </row>
    <row r="43" spans="2:7" ht="16.8" customHeight="1" x14ac:dyDescent="0.25">
      <c r="B43" s="20">
        <f t="shared" si="1"/>
        <v>39</v>
      </c>
      <c r="C43" s="21">
        <f t="shared" si="4"/>
        <v>401250</v>
      </c>
      <c r="D43" s="21">
        <f t="shared" si="2"/>
        <v>5069.2391561696759</v>
      </c>
      <c r="E43" s="21">
        <f t="shared" si="5"/>
        <v>1250</v>
      </c>
      <c r="F43" s="21">
        <f t="shared" si="3"/>
        <v>3819.2391561696759</v>
      </c>
      <c r="G43" s="21">
        <f t="shared" si="6"/>
        <v>0</v>
      </c>
    </row>
    <row r="44" spans="2:7" ht="16.8" customHeight="1" x14ac:dyDescent="0.25">
      <c r="B44" s="20">
        <f t="shared" si="1"/>
        <v>40</v>
      </c>
      <c r="C44" s="21">
        <f t="shared" si="4"/>
        <v>400000</v>
      </c>
      <c r="D44" s="21">
        <f t="shared" si="2"/>
        <v>5057.3781650014471</v>
      </c>
      <c r="E44" s="21">
        <f t="shared" si="5"/>
        <v>1250</v>
      </c>
      <c r="F44" s="21">
        <f t="shared" si="3"/>
        <v>3807.3781650014471</v>
      </c>
      <c r="G44" s="21">
        <f t="shared" si="6"/>
        <v>0</v>
      </c>
    </row>
    <row r="45" spans="2:7" ht="16.8" customHeight="1" x14ac:dyDescent="0.25">
      <c r="B45" s="20">
        <f t="shared" si="1"/>
        <v>41</v>
      </c>
      <c r="C45" s="21">
        <f t="shared" si="4"/>
        <v>398750</v>
      </c>
      <c r="D45" s="21">
        <f t="shared" si="2"/>
        <v>5045.5171738332183</v>
      </c>
      <c r="E45" s="21">
        <f t="shared" si="5"/>
        <v>1250</v>
      </c>
      <c r="F45" s="21">
        <f t="shared" si="3"/>
        <v>3795.5171738332183</v>
      </c>
      <c r="G45" s="21">
        <f t="shared" si="6"/>
        <v>0</v>
      </c>
    </row>
    <row r="46" spans="2:7" ht="16.8" customHeight="1" x14ac:dyDescent="0.25">
      <c r="B46" s="20">
        <f t="shared" si="1"/>
        <v>42</v>
      </c>
      <c r="C46" s="21">
        <f t="shared" si="4"/>
        <v>397500</v>
      </c>
      <c r="D46" s="21">
        <f t="shared" si="2"/>
        <v>5033.6561826649895</v>
      </c>
      <c r="E46" s="21">
        <f t="shared" si="5"/>
        <v>1250</v>
      </c>
      <c r="F46" s="21">
        <f t="shared" si="3"/>
        <v>3783.6561826649895</v>
      </c>
      <c r="G46" s="21">
        <f t="shared" si="6"/>
        <v>0</v>
      </c>
    </row>
    <row r="47" spans="2:7" ht="16.8" customHeight="1" x14ac:dyDescent="0.25">
      <c r="B47" s="20">
        <f t="shared" si="1"/>
        <v>43</v>
      </c>
      <c r="C47" s="21">
        <f t="shared" si="4"/>
        <v>396250</v>
      </c>
      <c r="D47" s="21">
        <f t="shared" si="2"/>
        <v>5021.7951914967607</v>
      </c>
      <c r="E47" s="21">
        <f t="shared" si="5"/>
        <v>1250</v>
      </c>
      <c r="F47" s="21">
        <f t="shared" si="3"/>
        <v>3771.7951914967607</v>
      </c>
      <c r="G47" s="21">
        <f t="shared" si="6"/>
        <v>0</v>
      </c>
    </row>
    <row r="48" spans="2:7" ht="16.8" customHeight="1" x14ac:dyDescent="0.25">
      <c r="B48" s="20">
        <f t="shared" si="1"/>
        <v>44</v>
      </c>
      <c r="C48" s="21">
        <f t="shared" si="4"/>
        <v>395000</v>
      </c>
      <c r="D48" s="21">
        <f t="shared" si="2"/>
        <v>5009.9342003285319</v>
      </c>
      <c r="E48" s="21">
        <f t="shared" si="5"/>
        <v>1250</v>
      </c>
      <c r="F48" s="21">
        <f t="shared" si="3"/>
        <v>3759.9342003285319</v>
      </c>
      <c r="G48" s="21">
        <f t="shared" si="6"/>
        <v>0</v>
      </c>
    </row>
    <row r="49" spans="2:7" ht="16.8" customHeight="1" x14ac:dyDescent="0.25">
      <c r="B49" s="20">
        <f t="shared" si="1"/>
        <v>45</v>
      </c>
      <c r="C49" s="21">
        <f t="shared" si="4"/>
        <v>393750</v>
      </c>
      <c r="D49" s="21">
        <f t="shared" si="2"/>
        <v>4998.0732091603031</v>
      </c>
      <c r="E49" s="21">
        <f t="shared" si="5"/>
        <v>1250</v>
      </c>
      <c r="F49" s="21">
        <f t="shared" si="3"/>
        <v>3748.0732091603031</v>
      </c>
      <c r="G49" s="21">
        <f t="shared" si="6"/>
        <v>0</v>
      </c>
    </row>
    <row r="50" spans="2:7" ht="16.8" customHeight="1" x14ac:dyDescent="0.25">
      <c r="B50" s="20">
        <f t="shared" si="1"/>
        <v>46</v>
      </c>
      <c r="C50" s="21">
        <f t="shared" si="4"/>
        <v>392500</v>
      </c>
      <c r="D50" s="21">
        <f t="shared" si="2"/>
        <v>4986.2122179920743</v>
      </c>
      <c r="E50" s="21">
        <f t="shared" si="5"/>
        <v>1250</v>
      </c>
      <c r="F50" s="21">
        <f t="shared" si="3"/>
        <v>3736.2122179920743</v>
      </c>
      <c r="G50" s="21">
        <f t="shared" si="6"/>
        <v>0</v>
      </c>
    </row>
    <row r="51" spans="2:7" ht="16.8" customHeight="1" x14ac:dyDescent="0.25">
      <c r="B51" s="20">
        <f t="shared" si="1"/>
        <v>47</v>
      </c>
      <c r="C51" s="21">
        <f t="shared" si="4"/>
        <v>391250</v>
      </c>
      <c r="D51" s="21">
        <f t="shared" si="2"/>
        <v>4974.3512268238455</v>
      </c>
      <c r="E51" s="21">
        <f t="shared" si="5"/>
        <v>1250</v>
      </c>
      <c r="F51" s="21">
        <f t="shared" si="3"/>
        <v>3724.3512268238455</v>
      </c>
      <c r="G51" s="21">
        <f t="shared" si="6"/>
        <v>0</v>
      </c>
    </row>
    <row r="52" spans="2:7" ht="16.8" customHeight="1" x14ac:dyDescent="0.25">
      <c r="B52" s="20">
        <f t="shared" si="1"/>
        <v>48</v>
      </c>
      <c r="C52" s="21">
        <f t="shared" si="4"/>
        <v>390000</v>
      </c>
      <c r="D52" s="21">
        <f t="shared" si="2"/>
        <v>4962.4902356556167</v>
      </c>
      <c r="E52" s="21">
        <f t="shared" si="5"/>
        <v>1250</v>
      </c>
      <c r="F52" s="21">
        <f t="shared" si="3"/>
        <v>3712.4902356556167</v>
      </c>
      <c r="G52" s="21">
        <f t="shared" si="6"/>
        <v>0</v>
      </c>
    </row>
    <row r="53" spans="2:7" ht="16.8" customHeight="1" x14ac:dyDescent="0.25">
      <c r="B53" s="20">
        <f t="shared" si="1"/>
        <v>49</v>
      </c>
      <c r="C53" s="21">
        <f t="shared" si="4"/>
        <v>388750</v>
      </c>
      <c r="D53" s="21">
        <f t="shared" si="2"/>
        <v>4950.629244487388</v>
      </c>
      <c r="E53" s="21">
        <f t="shared" si="5"/>
        <v>1250</v>
      </c>
      <c r="F53" s="21">
        <f t="shared" si="3"/>
        <v>3700.629244487388</v>
      </c>
      <c r="G53" s="21">
        <f t="shared" si="6"/>
        <v>0</v>
      </c>
    </row>
    <row r="54" spans="2:7" ht="16.8" customHeight="1" x14ac:dyDescent="0.25">
      <c r="B54" s="20">
        <f t="shared" si="1"/>
        <v>50</v>
      </c>
      <c r="C54" s="21">
        <f t="shared" si="4"/>
        <v>387500</v>
      </c>
      <c r="D54" s="21">
        <f t="shared" si="2"/>
        <v>4938.7682533191592</v>
      </c>
      <c r="E54" s="21">
        <f t="shared" si="5"/>
        <v>1250</v>
      </c>
      <c r="F54" s="21">
        <f t="shared" si="3"/>
        <v>3688.7682533191592</v>
      </c>
      <c r="G54" s="21">
        <f t="shared" si="6"/>
        <v>0</v>
      </c>
    </row>
    <row r="55" spans="2:7" ht="16.8" customHeight="1" x14ac:dyDescent="0.25">
      <c r="B55" s="20">
        <f t="shared" si="1"/>
        <v>51</v>
      </c>
      <c r="C55" s="21">
        <f t="shared" si="4"/>
        <v>386250</v>
      </c>
      <c r="D55" s="21">
        <f t="shared" si="2"/>
        <v>4926.9072621509304</v>
      </c>
      <c r="E55" s="21">
        <f t="shared" si="5"/>
        <v>1250</v>
      </c>
      <c r="F55" s="21">
        <f t="shared" si="3"/>
        <v>3676.9072621509304</v>
      </c>
      <c r="G55" s="21">
        <f t="shared" si="6"/>
        <v>0</v>
      </c>
    </row>
    <row r="56" spans="2:7" ht="16.8" customHeight="1" x14ac:dyDescent="0.25">
      <c r="B56" s="20">
        <f t="shared" si="1"/>
        <v>52</v>
      </c>
      <c r="C56" s="21">
        <f t="shared" si="4"/>
        <v>385000</v>
      </c>
      <c r="D56" s="21">
        <f t="shared" si="2"/>
        <v>4915.0462709827016</v>
      </c>
      <c r="E56" s="21">
        <f t="shared" si="5"/>
        <v>1250</v>
      </c>
      <c r="F56" s="21">
        <f t="shared" si="3"/>
        <v>3665.0462709827016</v>
      </c>
      <c r="G56" s="21">
        <f t="shared" si="6"/>
        <v>0</v>
      </c>
    </row>
    <row r="57" spans="2:7" ht="16.8" customHeight="1" x14ac:dyDescent="0.25">
      <c r="B57" s="20">
        <f t="shared" si="1"/>
        <v>53</v>
      </c>
      <c r="C57" s="21">
        <f t="shared" si="4"/>
        <v>383750</v>
      </c>
      <c r="D57" s="21">
        <f t="shared" si="2"/>
        <v>4903.1852798144728</v>
      </c>
      <c r="E57" s="21">
        <f t="shared" si="5"/>
        <v>1250</v>
      </c>
      <c r="F57" s="21">
        <f t="shared" si="3"/>
        <v>3653.1852798144728</v>
      </c>
      <c r="G57" s="21">
        <f t="shared" si="6"/>
        <v>0</v>
      </c>
    </row>
    <row r="58" spans="2:7" ht="16.8" customHeight="1" x14ac:dyDescent="0.25">
      <c r="B58" s="20">
        <f t="shared" si="1"/>
        <v>54</v>
      </c>
      <c r="C58" s="21">
        <f t="shared" si="4"/>
        <v>382500</v>
      </c>
      <c r="D58" s="21">
        <f t="shared" si="2"/>
        <v>4891.324288646244</v>
      </c>
      <c r="E58" s="21">
        <f t="shared" si="5"/>
        <v>1250</v>
      </c>
      <c r="F58" s="21">
        <f t="shared" si="3"/>
        <v>3641.324288646244</v>
      </c>
      <c r="G58" s="21">
        <f t="shared" si="6"/>
        <v>0</v>
      </c>
    </row>
    <row r="59" spans="2:7" ht="16.8" customHeight="1" x14ac:dyDescent="0.25">
      <c r="B59" s="20">
        <f t="shared" si="1"/>
        <v>55</v>
      </c>
      <c r="C59" s="21">
        <f t="shared" si="4"/>
        <v>381250</v>
      </c>
      <c r="D59" s="21">
        <f t="shared" si="2"/>
        <v>4879.4632974780152</v>
      </c>
      <c r="E59" s="21">
        <f t="shared" si="5"/>
        <v>1250</v>
      </c>
      <c r="F59" s="21">
        <f t="shared" si="3"/>
        <v>3629.4632974780152</v>
      </c>
      <c r="G59" s="21">
        <f t="shared" si="6"/>
        <v>0</v>
      </c>
    </row>
    <row r="60" spans="2:7" ht="16.8" customHeight="1" x14ac:dyDescent="0.25">
      <c r="B60" s="20">
        <f t="shared" si="1"/>
        <v>56</v>
      </c>
      <c r="C60" s="21">
        <f t="shared" si="4"/>
        <v>380000</v>
      </c>
      <c r="D60" s="21">
        <f t="shared" si="2"/>
        <v>4867.6023063097864</v>
      </c>
      <c r="E60" s="21">
        <f t="shared" si="5"/>
        <v>1250</v>
      </c>
      <c r="F60" s="21">
        <f t="shared" si="3"/>
        <v>3617.6023063097864</v>
      </c>
      <c r="G60" s="21">
        <f t="shared" si="6"/>
        <v>0</v>
      </c>
    </row>
    <row r="61" spans="2:7" ht="16.8" customHeight="1" x14ac:dyDescent="0.25">
      <c r="B61" s="20">
        <f t="shared" si="1"/>
        <v>57</v>
      </c>
      <c r="C61" s="21">
        <f t="shared" si="4"/>
        <v>378750</v>
      </c>
      <c r="D61" s="21">
        <f t="shared" si="2"/>
        <v>4855.7413151415576</v>
      </c>
      <c r="E61" s="21">
        <f t="shared" si="5"/>
        <v>1250</v>
      </c>
      <c r="F61" s="21">
        <f t="shared" si="3"/>
        <v>3605.7413151415576</v>
      </c>
      <c r="G61" s="21">
        <f t="shared" si="6"/>
        <v>0</v>
      </c>
    </row>
    <row r="62" spans="2:7" ht="16.8" customHeight="1" x14ac:dyDescent="0.25">
      <c r="B62" s="20">
        <f t="shared" si="1"/>
        <v>58</v>
      </c>
      <c r="C62" s="21">
        <f t="shared" si="4"/>
        <v>377500</v>
      </c>
      <c r="D62" s="21">
        <f t="shared" si="2"/>
        <v>4843.8803239733279</v>
      </c>
      <c r="E62" s="21">
        <f t="shared" si="5"/>
        <v>1250</v>
      </c>
      <c r="F62" s="21">
        <f t="shared" si="3"/>
        <v>3593.8803239733284</v>
      </c>
      <c r="G62" s="21">
        <f t="shared" si="6"/>
        <v>0</v>
      </c>
    </row>
    <row r="63" spans="2:7" ht="16.8" customHeight="1" x14ac:dyDescent="0.25">
      <c r="B63" s="20">
        <f t="shared" si="1"/>
        <v>59</v>
      </c>
      <c r="C63" s="21">
        <f t="shared" si="4"/>
        <v>376250</v>
      </c>
      <c r="D63" s="21">
        <f t="shared" si="2"/>
        <v>4832.0193328050991</v>
      </c>
      <c r="E63" s="21">
        <f t="shared" si="5"/>
        <v>1250</v>
      </c>
      <c r="F63" s="21">
        <f t="shared" si="3"/>
        <v>3582.0193328050996</v>
      </c>
      <c r="G63" s="21">
        <f t="shared" si="6"/>
        <v>0</v>
      </c>
    </row>
    <row r="64" spans="2:7" ht="16.8" customHeight="1" x14ac:dyDescent="0.25">
      <c r="B64" s="20">
        <f t="shared" si="1"/>
        <v>60</v>
      </c>
      <c r="C64" s="21">
        <f t="shared" si="4"/>
        <v>375000</v>
      </c>
      <c r="D64" s="21">
        <f t="shared" si="2"/>
        <v>4820.1583416368703</v>
      </c>
      <c r="E64" s="21">
        <f t="shared" si="5"/>
        <v>1250</v>
      </c>
      <c r="F64" s="21">
        <f t="shared" si="3"/>
        <v>3570.1583416368708</v>
      </c>
      <c r="G64" s="21">
        <f t="shared" si="6"/>
        <v>0</v>
      </c>
    </row>
    <row r="65" spans="2:7" ht="16.8" customHeight="1" x14ac:dyDescent="0.25">
      <c r="B65" s="20">
        <f t="shared" si="1"/>
        <v>61</v>
      </c>
      <c r="C65" s="21">
        <f t="shared" si="4"/>
        <v>373750</v>
      </c>
      <c r="D65" s="21">
        <f t="shared" si="2"/>
        <v>4808.2973504686415</v>
      </c>
      <c r="E65" s="21">
        <f t="shared" si="5"/>
        <v>1250</v>
      </c>
      <c r="F65" s="21">
        <f t="shared" si="3"/>
        <v>3558.297350468642</v>
      </c>
      <c r="G65" s="21">
        <f t="shared" si="6"/>
        <v>0</v>
      </c>
    </row>
    <row r="66" spans="2:7" ht="16.8" customHeight="1" x14ac:dyDescent="0.25">
      <c r="B66" s="20">
        <f t="shared" si="1"/>
        <v>62</v>
      </c>
      <c r="C66" s="21">
        <f t="shared" si="4"/>
        <v>372500</v>
      </c>
      <c r="D66" s="21">
        <f t="shared" si="2"/>
        <v>4796.4363593004127</v>
      </c>
      <c r="E66" s="21">
        <f t="shared" si="5"/>
        <v>1250</v>
      </c>
      <c r="F66" s="21">
        <f t="shared" si="3"/>
        <v>3546.4363593004132</v>
      </c>
      <c r="G66" s="21">
        <f t="shared" si="6"/>
        <v>0</v>
      </c>
    </row>
    <row r="67" spans="2:7" ht="16.8" customHeight="1" x14ac:dyDescent="0.25">
      <c r="B67" s="20">
        <f t="shared" si="1"/>
        <v>63</v>
      </c>
      <c r="C67" s="21">
        <f t="shared" si="4"/>
        <v>371250</v>
      </c>
      <c r="D67" s="21">
        <f t="shared" si="2"/>
        <v>4784.5753681321839</v>
      </c>
      <c r="E67" s="21">
        <f t="shared" si="5"/>
        <v>1250</v>
      </c>
      <c r="F67" s="21">
        <f t="shared" si="3"/>
        <v>3534.5753681321844</v>
      </c>
      <c r="G67" s="21">
        <f t="shared" si="6"/>
        <v>0</v>
      </c>
    </row>
    <row r="68" spans="2:7" ht="16.8" customHeight="1" x14ac:dyDescent="0.25">
      <c r="B68" s="20">
        <f t="shared" si="1"/>
        <v>64</v>
      </c>
      <c r="C68" s="21">
        <f t="shared" si="4"/>
        <v>370000</v>
      </c>
      <c r="D68" s="21">
        <f t="shared" si="2"/>
        <v>4772.7143769639551</v>
      </c>
      <c r="E68" s="21">
        <f t="shared" si="5"/>
        <v>1250</v>
      </c>
      <c r="F68" s="21">
        <f t="shared" si="3"/>
        <v>3522.7143769639556</v>
      </c>
      <c r="G68" s="21">
        <f t="shared" si="6"/>
        <v>0</v>
      </c>
    </row>
    <row r="69" spans="2:7" ht="16.8" customHeight="1" x14ac:dyDescent="0.25">
      <c r="B69" s="20">
        <f t="shared" si="1"/>
        <v>65</v>
      </c>
      <c r="C69" s="21">
        <f t="shared" si="4"/>
        <v>368750</v>
      </c>
      <c r="D69" s="21">
        <f t="shared" si="2"/>
        <v>4760.8533857957264</v>
      </c>
      <c r="E69" s="21">
        <f t="shared" si="5"/>
        <v>1250</v>
      </c>
      <c r="F69" s="21">
        <f t="shared" si="3"/>
        <v>3510.8533857957268</v>
      </c>
      <c r="G69" s="21">
        <f t="shared" si="6"/>
        <v>0</v>
      </c>
    </row>
    <row r="70" spans="2:7" ht="16.8" customHeight="1" x14ac:dyDescent="0.25">
      <c r="B70" s="20">
        <f t="shared" si="1"/>
        <v>66</v>
      </c>
      <c r="C70" s="21">
        <f t="shared" si="4"/>
        <v>367500</v>
      </c>
      <c r="D70" s="21">
        <f t="shared" ref="D70:D133" si="7">E70+F70+G70</f>
        <v>4748.9923946274976</v>
      </c>
      <c r="E70" s="21">
        <f t="shared" si="5"/>
        <v>1250</v>
      </c>
      <c r="F70" s="21">
        <f t="shared" ref="F70:F133" si="8">+C69*$J$10</f>
        <v>3498.992394627498</v>
      </c>
      <c r="G70" s="21">
        <f t="shared" si="6"/>
        <v>0</v>
      </c>
    </row>
    <row r="71" spans="2:7" ht="16.8" customHeight="1" x14ac:dyDescent="0.25">
      <c r="B71" s="20">
        <f t="shared" si="1"/>
        <v>67</v>
      </c>
      <c r="C71" s="21">
        <f t="shared" ref="C71:C134" si="9">IFERROR(C70-E71,0)-H71</f>
        <v>366250</v>
      </c>
      <c r="D71" s="21">
        <f t="shared" si="7"/>
        <v>4737.1314034592688</v>
      </c>
      <c r="E71" s="21">
        <f t="shared" ref="E71:E134" si="10">IF(B71&gt;$J$11,0,E70)</f>
        <v>1250</v>
      </c>
      <c r="F71" s="21">
        <f t="shared" si="8"/>
        <v>3487.1314034592692</v>
      </c>
      <c r="G71" s="21">
        <f t="shared" si="6"/>
        <v>0</v>
      </c>
    </row>
    <row r="72" spans="2:7" ht="16.8" customHeight="1" x14ac:dyDescent="0.25">
      <c r="B72" s="20">
        <f t="shared" si="1"/>
        <v>68</v>
      </c>
      <c r="C72" s="21">
        <f t="shared" si="9"/>
        <v>365000</v>
      </c>
      <c r="D72" s="21">
        <f t="shared" si="7"/>
        <v>4725.27041229104</v>
      </c>
      <c r="E72" s="21">
        <f t="shared" si="10"/>
        <v>1250</v>
      </c>
      <c r="F72" s="21">
        <f t="shared" si="8"/>
        <v>3475.2704122910404</v>
      </c>
      <c r="G72" s="21">
        <f t="shared" si="6"/>
        <v>0</v>
      </c>
    </row>
    <row r="73" spans="2:7" ht="16.8" customHeight="1" x14ac:dyDescent="0.25">
      <c r="B73" s="20">
        <f t="shared" si="1"/>
        <v>69</v>
      </c>
      <c r="C73" s="21">
        <f t="shared" si="9"/>
        <v>363750</v>
      </c>
      <c r="D73" s="21">
        <f t="shared" si="7"/>
        <v>4713.4094211228112</v>
      </c>
      <c r="E73" s="21">
        <f t="shared" si="10"/>
        <v>1250</v>
      </c>
      <c r="F73" s="21">
        <f t="shared" si="8"/>
        <v>3463.4094211228116</v>
      </c>
      <c r="G73" s="21">
        <f t="shared" si="6"/>
        <v>0</v>
      </c>
    </row>
    <row r="74" spans="2:7" ht="16.8" customHeight="1" x14ac:dyDescent="0.25">
      <c r="B74" s="20">
        <f t="shared" si="1"/>
        <v>70</v>
      </c>
      <c r="C74" s="21">
        <f t="shared" si="9"/>
        <v>362500</v>
      </c>
      <c r="D74" s="21">
        <f t="shared" si="7"/>
        <v>4701.5484299545824</v>
      </c>
      <c r="E74" s="21">
        <f t="shared" si="10"/>
        <v>1250</v>
      </c>
      <c r="F74" s="21">
        <f t="shared" si="8"/>
        <v>3451.5484299545828</v>
      </c>
      <c r="G74" s="21">
        <f t="shared" si="6"/>
        <v>0</v>
      </c>
    </row>
    <row r="75" spans="2:7" ht="16.8" customHeight="1" x14ac:dyDescent="0.25">
      <c r="B75" s="20">
        <f t="shared" si="1"/>
        <v>71</v>
      </c>
      <c r="C75" s="21">
        <f t="shared" si="9"/>
        <v>361250</v>
      </c>
      <c r="D75" s="21">
        <f t="shared" si="7"/>
        <v>4689.6874387863536</v>
      </c>
      <c r="E75" s="21">
        <f t="shared" si="10"/>
        <v>1250</v>
      </c>
      <c r="F75" s="21">
        <f t="shared" si="8"/>
        <v>3439.6874387863541</v>
      </c>
      <c r="G75" s="21">
        <f t="shared" si="6"/>
        <v>0</v>
      </c>
    </row>
    <row r="76" spans="2:7" ht="16.8" customHeight="1" x14ac:dyDescent="0.25">
      <c r="B76" s="20">
        <f t="shared" si="1"/>
        <v>72</v>
      </c>
      <c r="C76" s="21">
        <f t="shared" si="9"/>
        <v>360000</v>
      </c>
      <c r="D76" s="21">
        <f t="shared" si="7"/>
        <v>4677.8264476181248</v>
      </c>
      <c r="E76" s="21">
        <f t="shared" si="10"/>
        <v>1250</v>
      </c>
      <c r="F76" s="21">
        <f t="shared" si="8"/>
        <v>3427.8264476181253</v>
      </c>
      <c r="G76" s="21">
        <f t="shared" si="6"/>
        <v>0</v>
      </c>
    </row>
    <row r="77" spans="2:7" ht="16.8" customHeight="1" x14ac:dyDescent="0.25">
      <c r="B77" s="20">
        <f t="shared" si="1"/>
        <v>73</v>
      </c>
      <c r="C77" s="21">
        <f t="shared" si="9"/>
        <v>358750</v>
      </c>
      <c r="D77" s="21">
        <f t="shared" si="7"/>
        <v>4665.965456449896</v>
      </c>
      <c r="E77" s="21">
        <f t="shared" si="10"/>
        <v>1250</v>
      </c>
      <c r="F77" s="21">
        <f t="shared" si="8"/>
        <v>3415.9654564498965</v>
      </c>
      <c r="G77" s="21">
        <f t="shared" si="6"/>
        <v>0</v>
      </c>
    </row>
    <row r="78" spans="2:7" ht="16.8" customHeight="1" x14ac:dyDescent="0.25">
      <c r="B78" s="20">
        <f t="shared" si="1"/>
        <v>74</v>
      </c>
      <c r="C78" s="21">
        <f t="shared" si="9"/>
        <v>357500</v>
      </c>
      <c r="D78" s="21">
        <f t="shared" si="7"/>
        <v>4654.1044652816672</v>
      </c>
      <c r="E78" s="21">
        <f t="shared" si="10"/>
        <v>1250</v>
      </c>
      <c r="F78" s="21">
        <f t="shared" si="8"/>
        <v>3404.1044652816677</v>
      </c>
      <c r="G78" s="21">
        <f t="shared" si="6"/>
        <v>0</v>
      </c>
    </row>
    <row r="79" spans="2:7" ht="16.8" customHeight="1" x14ac:dyDescent="0.25">
      <c r="B79" s="20">
        <f t="shared" si="1"/>
        <v>75</v>
      </c>
      <c r="C79" s="21">
        <f t="shared" si="9"/>
        <v>356250</v>
      </c>
      <c r="D79" s="21">
        <f t="shared" si="7"/>
        <v>4642.2434741134384</v>
      </c>
      <c r="E79" s="21">
        <f t="shared" si="10"/>
        <v>1250</v>
      </c>
      <c r="F79" s="21">
        <f t="shared" si="8"/>
        <v>3392.2434741134389</v>
      </c>
      <c r="G79" s="21">
        <f t="shared" si="6"/>
        <v>0</v>
      </c>
    </row>
    <row r="80" spans="2:7" ht="16.8" customHeight="1" x14ac:dyDescent="0.25">
      <c r="B80" s="20">
        <f t="shared" si="1"/>
        <v>76</v>
      </c>
      <c r="C80" s="21">
        <f t="shared" si="9"/>
        <v>355000</v>
      </c>
      <c r="D80" s="21">
        <f t="shared" si="7"/>
        <v>4630.3824829452096</v>
      </c>
      <c r="E80" s="21">
        <f t="shared" si="10"/>
        <v>1250</v>
      </c>
      <c r="F80" s="21">
        <f t="shared" si="8"/>
        <v>3380.3824829452101</v>
      </c>
      <c r="G80" s="21">
        <f t="shared" si="6"/>
        <v>0</v>
      </c>
    </row>
    <row r="81" spans="2:7" ht="16.8" customHeight="1" x14ac:dyDescent="0.25">
      <c r="B81" s="20">
        <f t="shared" si="1"/>
        <v>77</v>
      </c>
      <c r="C81" s="21">
        <f t="shared" si="9"/>
        <v>353750</v>
      </c>
      <c r="D81" s="21">
        <f t="shared" si="7"/>
        <v>4618.5214917769808</v>
      </c>
      <c r="E81" s="21">
        <f t="shared" si="10"/>
        <v>1250</v>
      </c>
      <c r="F81" s="21">
        <f t="shared" si="8"/>
        <v>3368.5214917769813</v>
      </c>
      <c r="G81" s="21">
        <f t="shared" ref="G81:G144" si="11">IF(B81&gt;$J$11,0,G80)</f>
        <v>0</v>
      </c>
    </row>
    <row r="82" spans="2:7" ht="16.8" customHeight="1" x14ac:dyDescent="0.25">
      <c r="B82" s="20">
        <f t="shared" si="1"/>
        <v>78</v>
      </c>
      <c r="C82" s="21">
        <f t="shared" si="9"/>
        <v>352500</v>
      </c>
      <c r="D82" s="21">
        <f t="shared" si="7"/>
        <v>4606.660500608752</v>
      </c>
      <c r="E82" s="21">
        <f t="shared" si="10"/>
        <v>1250</v>
      </c>
      <c r="F82" s="21">
        <f t="shared" si="8"/>
        <v>3356.6605006087525</v>
      </c>
      <c r="G82" s="21">
        <f t="shared" si="11"/>
        <v>0</v>
      </c>
    </row>
    <row r="83" spans="2:7" ht="16.8" customHeight="1" x14ac:dyDescent="0.25">
      <c r="B83" s="20">
        <f t="shared" si="1"/>
        <v>79</v>
      </c>
      <c r="C83" s="21">
        <f t="shared" si="9"/>
        <v>351250</v>
      </c>
      <c r="D83" s="21">
        <f t="shared" si="7"/>
        <v>4594.7995094405233</v>
      </c>
      <c r="E83" s="21">
        <f t="shared" si="10"/>
        <v>1250</v>
      </c>
      <c r="F83" s="21">
        <f t="shared" si="8"/>
        <v>3344.7995094405237</v>
      </c>
      <c r="G83" s="21">
        <f t="shared" si="11"/>
        <v>0</v>
      </c>
    </row>
    <row r="84" spans="2:7" ht="16.8" customHeight="1" x14ac:dyDescent="0.25">
      <c r="B84" s="20">
        <f t="shared" si="1"/>
        <v>80</v>
      </c>
      <c r="C84" s="21">
        <f t="shared" si="9"/>
        <v>350000</v>
      </c>
      <c r="D84" s="21">
        <f t="shared" si="7"/>
        <v>4582.9385182722945</v>
      </c>
      <c r="E84" s="21">
        <f t="shared" si="10"/>
        <v>1250</v>
      </c>
      <c r="F84" s="21">
        <f t="shared" si="8"/>
        <v>3332.9385182722949</v>
      </c>
      <c r="G84" s="21">
        <f t="shared" si="11"/>
        <v>0</v>
      </c>
    </row>
    <row r="85" spans="2:7" ht="16.8" customHeight="1" x14ac:dyDescent="0.25">
      <c r="B85" s="20">
        <f t="shared" si="1"/>
        <v>81</v>
      </c>
      <c r="C85" s="21">
        <f t="shared" si="9"/>
        <v>348750</v>
      </c>
      <c r="D85" s="21">
        <f t="shared" si="7"/>
        <v>4571.0775271040657</v>
      </c>
      <c r="E85" s="21">
        <f t="shared" si="10"/>
        <v>1250</v>
      </c>
      <c r="F85" s="21">
        <f t="shared" si="8"/>
        <v>3321.0775271040661</v>
      </c>
      <c r="G85" s="21">
        <f t="shared" si="11"/>
        <v>0</v>
      </c>
    </row>
    <row r="86" spans="2:7" ht="16.8" customHeight="1" x14ac:dyDescent="0.25">
      <c r="B86" s="20">
        <f t="shared" si="1"/>
        <v>82</v>
      </c>
      <c r="C86" s="21">
        <f t="shared" si="9"/>
        <v>347500</v>
      </c>
      <c r="D86" s="21">
        <f t="shared" si="7"/>
        <v>4559.2165359358369</v>
      </c>
      <c r="E86" s="21">
        <f t="shared" si="10"/>
        <v>1250</v>
      </c>
      <c r="F86" s="21">
        <f t="shared" si="8"/>
        <v>3309.2165359358373</v>
      </c>
      <c r="G86" s="21">
        <f t="shared" si="11"/>
        <v>0</v>
      </c>
    </row>
    <row r="87" spans="2:7" ht="16.8" customHeight="1" x14ac:dyDescent="0.25">
      <c r="B87" s="20">
        <f t="shared" si="1"/>
        <v>83</v>
      </c>
      <c r="C87" s="21">
        <f t="shared" si="9"/>
        <v>346250</v>
      </c>
      <c r="D87" s="21">
        <f t="shared" si="7"/>
        <v>4547.3555447676081</v>
      </c>
      <c r="E87" s="21">
        <f t="shared" si="10"/>
        <v>1250</v>
      </c>
      <c r="F87" s="21">
        <f t="shared" si="8"/>
        <v>3297.3555447676085</v>
      </c>
      <c r="G87" s="21">
        <f t="shared" si="11"/>
        <v>0</v>
      </c>
    </row>
    <row r="88" spans="2:7" ht="16.8" customHeight="1" x14ac:dyDescent="0.25">
      <c r="B88" s="20">
        <f t="shared" si="1"/>
        <v>84</v>
      </c>
      <c r="C88" s="21">
        <f t="shared" si="9"/>
        <v>345000</v>
      </c>
      <c r="D88" s="21">
        <f t="shared" si="7"/>
        <v>4535.4945535993793</v>
      </c>
      <c r="E88" s="21">
        <f t="shared" si="10"/>
        <v>1250</v>
      </c>
      <c r="F88" s="21">
        <f t="shared" si="8"/>
        <v>3285.4945535993797</v>
      </c>
      <c r="G88" s="21">
        <f t="shared" si="11"/>
        <v>0</v>
      </c>
    </row>
    <row r="89" spans="2:7" ht="16.8" customHeight="1" x14ac:dyDescent="0.25">
      <c r="B89" s="20">
        <f t="shared" si="1"/>
        <v>85</v>
      </c>
      <c r="C89" s="21">
        <f t="shared" si="9"/>
        <v>343750</v>
      </c>
      <c r="D89" s="21">
        <f t="shared" si="7"/>
        <v>4523.6335624311505</v>
      </c>
      <c r="E89" s="21">
        <f t="shared" si="10"/>
        <v>1250</v>
      </c>
      <c r="F89" s="21">
        <f t="shared" si="8"/>
        <v>3273.6335624311509</v>
      </c>
      <c r="G89" s="21">
        <f t="shared" si="11"/>
        <v>0</v>
      </c>
    </row>
    <row r="90" spans="2:7" ht="16.8" customHeight="1" x14ac:dyDescent="0.25">
      <c r="B90" s="20">
        <f t="shared" si="1"/>
        <v>86</v>
      </c>
      <c r="C90" s="21">
        <f t="shared" si="9"/>
        <v>342500</v>
      </c>
      <c r="D90" s="21">
        <f t="shared" si="7"/>
        <v>4511.7725712629217</v>
      </c>
      <c r="E90" s="21">
        <f t="shared" si="10"/>
        <v>1250</v>
      </c>
      <c r="F90" s="21">
        <f t="shared" si="8"/>
        <v>3261.7725712629222</v>
      </c>
      <c r="G90" s="21">
        <f t="shared" si="11"/>
        <v>0</v>
      </c>
    </row>
    <row r="91" spans="2:7" ht="16.8" customHeight="1" x14ac:dyDescent="0.25">
      <c r="B91" s="20">
        <f t="shared" si="1"/>
        <v>87</v>
      </c>
      <c r="C91" s="21">
        <f t="shared" si="9"/>
        <v>341250</v>
      </c>
      <c r="D91" s="21">
        <f t="shared" si="7"/>
        <v>4499.9115800946929</v>
      </c>
      <c r="E91" s="21">
        <f t="shared" si="10"/>
        <v>1250</v>
      </c>
      <c r="F91" s="21">
        <f t="shared" si="8"/>
        <v>3249.9115800946934</v>
      </c>
      <c r="G91" s="21">
        <f t="shared" si="11"/>
        <v>0</v>
      </c>
    </row>
    <row r="92" spans="2:7" ht="16.8" customHeight="1" x14ac:dyDescent="0.25">
      <c r="B92" s="20">
        <f t="shared" si="1"/>
        <v>88</v>
      </c>
      <c r="C92" s="21">
        <f t="shared" si="9"/>
        <v>340000</v>
      </c>
      <c r="D92" s="21">
        <f t="shared" si="7"/>
        <v>4488.0505889264641</v>
      </c>
      <c r="E92" s="21">
        <f t="shared" si="10"/>
        <v>1250</v>
      </c>
      <c r="F92" s="21">
        <f t="shared" si="8"/>
        <v>3238.0505889264646</v>
      </c>
      <c r="G92" s="21">
        <f t="shared" si="11"/>
        <v>0</v>
      </c>
    </row>
    <row r="93" spans="2:7" ht="16.8" customHeight="1" x14ac:dyDescent="0.25">
      <c r="B93" s="20">
        <f t="shared" si="1"/>
        <v>89</v>
      </c>
      <c r="C93" s="21">
        <f t="shared" si="9"/>
        <v>338750</v>
      </c>
      <c r="D93" s="21">
        <f t="shared" si="7"/>
        <v>4476.1895977582353</v>
      </c>
      <c r="E93" s="21">
        <f t="shared" si="10"/>
        <v>1250</v>
      </c>
      <c r="F93" s="21">
        <f t="shared" si="8"/>
        <v>3226.1895977582353</v>
      </c>
      <c r="G93" s="21">
        <f t="shared" si="11"/>
        <v>0</v>
      </c>
    </row>
    <row r="94" spans="2:7" ht="16.8" customHeight="1" x14ac:dyDescent="0.25">
      <c r="B94" s="20">
        <f t="shared" si="1"/>
        <v>90</v>
      </c>
      <c r="C94" s="21">
        <f t="shared" si="9"/>
        <v>337500</v>
      </c>
      <c r="D94" s="21">
        <f t="shared" si="7"/>
        <v>4464.3286065900065</v>
      </c>
      <c r="E94" s="21">
        <f t="shared" si="10"/>
        <v>1250</v>
      </c>
      <c r="F94" s="21">
        <f t="shared" si="8"/>
        <v>3214.3286065900065</v>
      </c>
      <c r="G94" s="21">
        <f t="shared" si="11"/>
        <v>0</v>
      </c>
    </row>
    <row r="95" spans="2:7" ht="16.8" customHeight="1" x14ac:dyDescent="0.25">
      <c r="B95" s="20">
        <f t="shared" si="1"/>
        <v>91</v>
      </c>
      <c r="C95" s="21">
        <f t="shared" si="9"/>
        <v>336250</v>
      </c>
      <c r="D95" s="21">
        <f t="shared" si="7"/>
        <v>4452.4676154217777</v>
      </c>
      <c r="E95" s="21">
        <f t="shared" si="10"/>
        <v>1250</v>
      </c>
      <c r="F95" s="21">
        <f t="shared" si="8"/>
        <v>3202.4676154217777</v>
      </c>
      <c r="G95" s="21">
        <f t="shared" si="11"/>
        <v>0</v>
      </c>
    </row>
    <row r="96" spans="2:7" ht="16.8" customHeight="1" x14ac:dyDescent="0.25">
      <c r="B96" s="20">
        <f t="shared" si="1"/>
        <v>92</v>
      </c>
      <c r="C96" s="21">
        <f t="shared" si="9"/>
        <v>335000</v>
      </c>
      <c r="D96" s="21">
        <f t="shared" si="7"/>
        <v>4440.6066242535489</v>
      </c>
      <c r="E96" s="21">
        <f t="shared" si="10"/>
        <v>1250</v>
      </c>
      <c r="F96" s="21">
        <f t="shared" si="8"/>
        <v>3190.6066242535489</v>
      </c>
      <c r="G96" s="21">
        <f t="shared" si="11"/>
        <v>0</v>
      </c>
    </row>
    <row r="97" spans="2:7" ht="16.8" customHeight="1" x14ac:dyDescent="0.25">
      <c r="B97" s="20">
        <f t="shared" si="1"/>
        <v>93</v>
      </c>
      <c r="C97" s="21">
        <f t="shared" si="9"/>
        <v>333750</v>
      </c>
      <c r="D97" s="21">
        <f t="shared" si="7"/>
        <v>4428.7456330853202</v>
      </c>
      <c r="E97" s="21">
        <f t="shared" si="10"/>
        <v>1250</v>
      </c>
      <c r="F97" s="21">
        <f t="shared" si="8"/>
        <v>3178.7456330853202</v>
      </c>
      <c r="G97" s="21">
        <f t="shared" si="11"/>
        <v>0</v>
      </c>
    </row>
    <row r="98" spans="2:7" ht="16.8" customHeight="1" x14ac:dyDescent="0.25">
      <c r="B98" s="20">
        <f t="shared" si="1"/>
        <v>94</v>
      </c>
      <c r="C98" s="21">
        <f t="shared" si="9"/>
        <v>332500</v>
      </c>
      <c r="D98" s="21">
        <f t="shared" si="7"/>
        <v>4416.8846419170914</v>
      </c>
      <c r="E98" s="21">
        <f t="shared" si="10"/>
        <v>1250</v>
      </c>
      <c r="F98" s="21">
        <f t="shared" si="8"/>
        <v>3166.8846419170914</v>
      </c>
      <c r="G98" s="21">
        <f t="shared" si="11"/>
        <v>0</v>
      </c>
    </row>
    <row r="99" spans="2:7" ht="16.8" customHeight="1" x14ac:dyDescent="0.25">
      <c r="B99" s="20">
        <f t="shared" si="1"/>
        <v>95</v>
      </c>
      <c r="C99" s="21">
        <f t="shared" si="9"/>
        <v>331250</v>
      </c>
      <c r="D99" s="21">
        <f t="shared" si="7"/>
        <v>4405.0236507488626</v>
      </c>
      <c r="E99" s="21">
        <f t="shared" si="10"/>
        <v>1250</v>
      </c>
      <c r="F99" s="21">
        <f t="shared" si="8"/>
        <v>3155.0236507488626</v>
      </c>
      <c r="G99" s="21">
        <f t="shared" si="11"/>
        <v>0</v>
      </c>
    </row>
    <row r="100" spans="2:7" ht="16.8" customHeight="1" x14ac:dyDescent="0.25">
      <c r="B100" s="20">
        <f t="shared" si="1"/>
        <v>96</v>
      </c>
      <c r="C100" s="21">
        <f t="shared" si="9"/>
        <v>330000</v>
      </c>
      <c r="D100" s="21">
        <f t="shared" si="7"/>
        <v>4393.1626595806338</v>
      </c>
      <c r="E100" s="21">
        <f t="shared" si="10"/>
        <v>1250</v>
      </c>
      <c r="F100" s="21">
        <f t="shared" si="8"/>
        <v>3143.1626595806338</v>
      </c>
      <c r="G100" s="21">
        <f t="shared" si="11"/>
        <v>0</v>
      </c>
    </row>
    <row r="101" spans="2:7" ht="16.8" customHeight="1" x14ac:dyDescent="0.25">
      <c r="B101" s="20">
        <f t="shared" si="1"/>
        <v>97</v>
      </c>
      <c r="C101" s="21">
        <f t="shared" si="9"/>
        <v>328750</v>
      </c>
      <c r="D101" s="21">
        <f t="shared" si="7"/>
        <v>4381.301668412405</v>
      </c>
      <c r="E101" s="21">
        <f t="shared" si="10"/>
        <v>1250</v>
      </c>
      <c r="F101" s="21">
        <f t="shared" si="8"/>
        <v>3131.301668412405</v>
      </c>
      <c r="G101" s="21">
        <f t="shared" si="11"/>
        <v>0</v>
      </c>
    </row>
    <row r="102" spans="2:7" ht="16.8" customHeight="1" x14ac:dyDescent="0.25">
      <c r="B102" s="20">
        <f t="shared" si="1"/>
        <v>98</v>
      </c>
      <c r="C102" s="21">
        <f t="shared" si="9"/>
        <v>327500</v>
      </c>
      <c r="D102" s="21">
        <f t="shared" si="7"/>
        <v>4369.4406772441762</v>
      </c>
      <c r="E102" s="21">
        <f t="shared" si="10"/>
        <v>1250</v>
      </c>
      <c r="F102" s="21">
        <f t="shared" si="8"/>
        <v>3119.4406772441762</v>
      </c>
      <c r="G102" s="21">
        <f t="shared" si="11"/>
        <v>0</v>
      </c>
    </row>
    <row r="103" spans="2:7" ht="16.8" customHeight="1" x14ac:dyDescent="0.25">
      <c r="B103" s="20">
        <f t="shared" si="1"/>
        <v>99</v>
      </c>
      <c r="C103" s="21">
        <f t="shared" si="9"/>
        <v>326250</v>
      </c>
      <c r="D103" s="21">
        <f t="shared" si="7"/>
        <v>4357.5796860759474</v>
      </c>
      <c r="E103" s="21">
        <f t="shared" si="10"/>
        <v>1250</v>
      </c>
      <c r="F103" s="21">
        <f t="shared" si="8"/>
        <v>3107.5796860759474</v>
      </c>
      <c r="G103" s="21">
        <f t="shared" si="11"/>
        <v>0</v>
      </c>
    </row>
    <row r="104" spans="2:7" ht="16.8" customHeight="1" x14ac:dyDescent="0.25">
      <c r="B104" s="20">
        <f t="shared" si="1"/>
        <v>100</v>
      </c>
      <c r="C104" s="21">
        <f t="shared" si="9"/>
        <v>325000</v>
      </c>
      <c r="D104" s="21">
        <f t="shared" si="7"/>
        <v>4345.7186949077186</v>
      </c>
      <c r="E104" s="21">
        <f t="shared" si="10"/>
        <v>1250</v>
      </c>
      <c r="F104" s="21">
        <f t="shared" si="8"/>
        <v>3095.7186949077186</v>
      </c>
      <c r="G104" s="21">
        <f t="shared" si="11"/>
        <v>0</v>
      </c>
    </row>
    <row r="105" spans="2:7" ht="16.8" customHeight="1" x14ac:dyDescent="0.25">
      <c r="B105" s="20">
        <f t="shared" si="1"/>
        <v>101</v>
      </c>
      <c r="C105" s="21">
        <f t="shared" si="9"/>
        <v>323750</v>
      </c>
      <c r="D105" s="21">
        <f t="shared" si="7"/>
        <v>4333.8577037394898</v>
      </c>
      <c r="E105" s="21">
        <f t="shared" si="10"/>
        <v>1250</v>
      </c>
      <c r="F105" s="21">
        <f t="shared" si="8"/>
        <v>3083.8577037394898</v>
      </c>
      <c r="G105" s="21">
        <f t="shared" si="11"/>
        <v>0</v>
      </c>
    </row>
    <row r="106" spans="2:7" ht="16.8" customHeight="1" x14ac:dyDescent="0.25">
      <c r="B106" s="20">
        <f t="shared" si="1"/>
        <v>102</v>
      </c>
      <c r="C106" s="21">
        <f t="shared" si="9"/>
        <v>322500</v>
      </c>
      <c r="D106" s="21">
        <f t="shared" si="7"/>
        <v>4321.996712571261</v>
      </c>
      <c r="E106" s="21">
        <f t="shared" si="10"/>
        <v>1250</v>
      </c>
      <c r="F106" s="21">
        <f t="shared" si="8"/>
        <v>3071.996712571261</v>
      </c>
      <c r="G106" s="21">
        <f t="shared" si="11"/>
        <v>0</v>
      </c>
    </row>
    <row r="107" spans="2:7" ht="16.8" customHeight="1" x14ac:dyDescent="0.25">
      <c r="B107" s="20">
        <f t="shared" si="1"/>
        <v>103</v>
      </c>
      <c r="C107" s="21">
        <f t="shared" si="9"/>
        <v>321250</v>
      </c>
      <c r="D107" s="21">
        <f t="shared" si="7"/>
        <v>4310.1357214030322</v>
      </c>
      <c r="E107" s="21">
        <f t="shared" si="10"/>
        <v>1250</v>
      </c>
      <c r="F107" s="21">
        <f t="shared" si="8"/>
        <v>3060.1357214030322</v>
      </c>
      <c r="G107" s="21">
        <f t="shared" si="11"/>
        <v>0</v>
      </c>
    </row>
    <row r="108" spans="2:7" ht="16.8" customHeight="1" x14ac:dyDescent="0.25">
      <c r="B108" s="20">
        <f t="shared" si="1"/>
        <v>104</v>
      </c>
      <c r="C108" s="21">
        <f t="shared" si="9"/>
        <v>320000</v>
      </c>
      <c r="D108" s="21">
        <f t="shared" si="7"/>
        <v>4298.2747302348034</v>
      </c>
      <c r="E108" s="21">
        <f t="shared" si="10"/>
        <v>1250</v>
      </c>
      <c r="F108" s="21">
        <f t="shared" si="8"/>
        <v>3048.2747302348034</v>
      </c>
      <c r="G108" s="21">
        <f t="shared" si="11"/>
        <v>0</v>
      </c>
    </row>
    <row r="109" spans="2:7" ht="16.8" customHeight="1" x14ac:dyDescent="0.25">
      <c r="B109" s="20">
        <f t="shared" si="1"/>
        <v>105</v>
      </c>
      <c r="C109" s="21">
        <f t="shared" si="9"/>
        <v>318750</v>
      </c>
      <c r="D109" s="21">
        <f t="shared" si="7"/>
        <v>4286.4137390665746</v>
      </c>
      <c r="E109" s="21">
        <f t="shared" si="10"/>
        <v>1250</v>
      </c>
      <c r="F109" s="21">
        <f t="shared" si="8"/>
        <v>3036.4137390665746</v>
      </c>
      <c r="G109" s="21">
        <f t="shared" si="11"/>
        <v>0</v>
      </c>
    </row>
    <row r="110" spans="2:7" ht="16.8" customHeight="1" x14ac:dyDescent="0.25">
      <c r="B110" s="20">
        <f t="shared" si="1"/>
        <v>106</v>
      </c>
      <c r="C110" s="21">
        <f t="shared" si="9"/>
        <v>317500</v>
      </c>
      <c r="D110" s="21">
        <f t="shared" si="7"/>
        <v>4274.5527478983458</v>
      </c>
      <c r="E110" s="21">
        <f t="shared" si="10"/>
        <v>1250</v>
      </c>
      <c r="F110" s="21">
        <f t="shared" si="8"/>
        <v>3024.5527478983458</v>
      </c>
      <c r="G110" s="21">
        <f t="shared" si="11"/>
        <v>0</v>
      </c>
    </row>
    <row r="111" spans="2:7" ht="16.8" customHeight="1" x14ac:dyDescent="0.25">
      <c r="B111" s="20">
        <f t="shared" si="1"/>
        <v>107</v>
      </c>
      <c r="C111" s="21">
        <f t="shared" si="9"/>
        <v>316250</v>
      </c>
      <c r="D111" s="21">
        <f t="shared" si="7"/>
        <v>4262.691756730117</v>
      </c>
      <c r="E111" s="21">
        <f t="shared" si="10"/>
        <v>1250</v>
      </c>
      <c r="F111" s="21">
        <f t="shared" si="8"/>
        <v>3012.691756730117</v>
      </c>
      <c r="G111" s="21">
        <f t="shared" si="11"/>
        <v>0</v>
      </c>
    </row>
    <row r="112" spans="2:7" ht="16.8" customHeight="1" x14ac:dyDescent="0.25">
      <c r="B112" s="20">
        <f t="shared" si="1"/>
        <v>108</v>
      </c>
      <c r="C112" s="21">
        <f t="shared" si="9"/>
        <v>315000</v>
      </c>
      <c r="D112" s="21">
        <f t="shared" si="7"/>
        <v>4250.8307655618883</v>
      </c>
      <c r="E112" s="21">
        <f t="shared" si="10"/>
        <v>1250</v>
      </c>
      <c r="F112" s="21">
        <f t="shared" si="8"/>
        <v>3000.8307655618883</v>
      </c>
      <c r="G112" s="21">
        <f t="shared" si="11"/>
        <v>0</v>
      </c>
    </row>
    <row r="113" spans="2:7" ht="16.8" customHeight="1" x14ac:dyDescent="0.25">
      <c r="B113" s="20">
        <f t="shared" si="1"/>
        <v>109</v>
      </c>
      <c r="C113" s="21">
        <f t="shared" si="9"/>
        <v>313750</v>
      </c>
      <c r="D113" s="21">
        <f t="shared" si="7"/>
        <v>4238.9697743936595</v>
      </c>
      <c r="E113" s="21">
        <f t="shared" si="10"/>
        <v>1250</v>
      </c>
      <c r="F113" s="21">
        <f t="shared" si="8"/>
        <v>2988.9697743936595</v>
      </c>
      <c r="G113" s="21">
        <f t="shared" si="11"/>
        <v>0</v>
      </c>
    </row>
    <row r="114" spans="2:7" ht="16.8" customHeight="1" x14ac:dyDescent="0.25">
      <c r="B114" s="20">
        <f t="shared" si="1"/>
        <v>110</v>
      </c>
      <c r="C114" s="21">
        <f t="shared" si="9"/>
        <v>312500</v>
      </c>
      <c r="D114" s="21">
        <f t="shared" si="7"/>
        <v>4227.1087832254307</v>
      </c>
      <c r="E114" s="21">
        <f t="shared" si="10"/>
        <v>1250</v>
      </c>
      <c r="F114" s="21">
        <f t="shared" si="8"/>
        <v>2977.1087832254307</v>
      </c>
      <c r="G114" s="21">
        <f t="shared" si="11"/>
        <v>0</v>
      </c>
    </row>
    <row r="115" spans="2:7" ht="16.8" customHeight="1" x14ac:dyDescent="0.25">
      <c r="B115" s="20">
        <f t="shared" si="1"/>
        <v>111</v>
      </c>
      <c r="C115" s="21">
        <f t="shared" si="9"/>
        <v>311250</v>
      </c>
      <c r="D115" s="21">
        <f t="shared" si="7"/>
        <v>4215.2477920572019</v>
      </c>
      <c r="E115" s="21">
        <f t="shared" si="10"/>
        <v>1250</v>
      </c>
      <c r="F115" s="21">
        <f t="shared" si="8"/>
        <v>2965.2477920572019</v>
      </c>
      <c r="G115" s="21">
        <f t="shared" si="11"/>
        <v>0</v>
      </c>
    </row>
    <row r="116" spans="2:7" ht="16.8" customHeight="1" x14ac:dyDescent="0.25">
      <c r="B116" s="20">
        <f t="shared" si="1"/>
        <v>112</v>
      </c>
      <c r="C116" s="21">
        <f t="shared" si="9"/>
        <v>310000</v>
      </c>
      <c r="D116" s="21">
        <f t="shared" si="7"/>
        <v>4203.3868008889731</v>
      </c>
      <c r="E116" s="21">
        <f t="shared" si="10"/>
        <v>1250</v>
      </c>
      <c r="F116" s="21">
        <f t="shared" si="8"/>
        <v>2953.3868008889731</v>
      </c>
      <c r="G116" s="21">
        <f t="shared" si="11"/>
        <v>0</v>
      </c>
    </row>
    <row r="117" spans="2:7" ht="16.8" customHeight="1" x14ac:dyDescent="0.25">
      <c r="B117" s="20">
        <f t="shared" si="1"/>
        <v>113</v>
      </c>
      <c r="C117" s="21">
        <f t="shared" si="9"/>
        <v>308750</v>
      </c>
      <c r="D117" s="21">
        <f t="shared" si="7"/>
        <v>4191.5258097207443</v>
      </c>
      <c r="E117" s="21">
        <f t="shared" si="10"/>
        <v>1250</v>
      </c>
      <c r="F117" s="21">
        <f t="shared" si="8"/>
        <v>2941.5258097207443</v>
      </c>
      <c r="G117" s="21">
        <f t="shared" si="11"/>
        <v>0</v>
      </c>
    </row>
    <row r="118" spans="2:7" ht="16.8" customHeight="1" x14ac:dyDescent="0.25">
      <c r="B118" s="20">
        <f t="shared" si="1"/>
        <v>114</v>
      </c>
      <c r="C118" s="21">
        <f t="shared" si="9"/>
        <v>307500</v>
      </c>
      <c r="D118" s="21">
        <f t="shared" si="7"/>
        <v>4179.6648185525155</v>
      </c>
      <c r="E118" s="21">
        <f t="shared" si="10"/>
        <v>1250</v>
      </c>
      <c r="F118" s="21">
        <f t="shared" si="8"/>
        <v>2929.6648185525155</v>
      </c>
      <c r="G118" s="21">
        <f t="shared" si="11"/>
        <v>0</v>
      </c>
    </row>
    <row r="119" spans="2:7" ht="16.8" customHeight="1" x14ac:dyDescent="0.25">
      <c r="B119" s="20">
        <f t="shared" si="1"/>
        <v>115</v>
      </c>
      <c r="C119" s="21">
        <f t="shared" si="9"/>
        <v>306250</v>
      </c>
      <c r="D119" s="21">
        <f t="shared" si="7"/>
        <v>4167.8038273842867</v>
      </c>
      <c r="E119" s="21">
        <f t="shared" si="10"/>
        <v>1250</v>
      </c>
      <c r="F119" s="21">
        <f t="shared" si="8"/>
        <v>2917.8038273842867</v>
      </c>
      <c r="G119" s="21">
        <f t="shared" si="11"/>
        <v>0</v>
      </c>
    </row>
    <row r="120" spans="2:7" ht="16.8" customHeight="1" x14ac:dyDescent="0.25">
      <c r="B120" s="20">
        <f t="shared" si="1"/>
        <v>116</v>
      </c>
      <c r="C120" s="21">
        <f t="shared" si="9"/>
        <v>305000</v>
      </c>
      <c r="D120" s="21">
        <f t="shared" si="7"/>
        <v>4155.9428362160579</v>
      </c>
      <c r="E120" s="21">
        <f t="shared" si="10"/>
        <v>1250</v>
      </c>
      <c r="F120" s="21">
        <f t="shared" si="8"/>
        <v>2905.9428362160579</v>
      </c>
      <c r="G120" s="21">
        <f t="shared" si="11"/>
        <v>0</v>
      </c>
    </row>
    <row r="121" spans="2:7" ht="16.8" customHeight="1" x14ac:dyDescent="0.25">
      <c r="B121" s="20">
        <f t="shared" si="1"/>
        <v>117</v>
      </c>
      <c r="C121" s="21">
        <f t="shared" si="9"/>
        <v>303750</v>
      </c>
      <c r="D121" s="21">
        <f t="shared" si="7"/>
        <v>4144.0818450478291</v>
      </c>
      <c r="E121" s="21">
        <f t="shared" si="10"/>
        <v>1250</v>
      </c>
      <c r="F121" s="21">
        <f t="shared" si="8"/>
        <v>2894.0818450478291</v>
      </c>
      <c r="G121" s="21">
        <f t="shared" si="11"/>
        <v>0</v>
      </c>
    </row>
    <row r="122" spans="2:7" ht="16.8" customHeight="1" x14ac:dyDescent="0.25">
      <c r="B122" s="20">
        <f t="shared" si="1"/>
        <v>118</v>
      </c>
      <c r="C122" s="21">
        <f t="shared" si="9"/>
        <v>302500</v>
      </c>
      <c r="D122" s="21">
        <f t="shared" si="7"/>
        <v>4132.2208538796003</v>
      </c>
      <c r="E122" s="21">
        <f t="shared" si="10"/>
        <v>1250</v>
      </c>
      <c r="F122" s="21">
        <f t="shared" si="8"/>
        <v>2882.2208538796003</v>
      </c>
      <c r="G122" s="21">
        <f t="shared" si="11"/>
        <v>0</v>
      </c>
    </row>
    <row r="123" spans="2:7" ht="16.8" customHeight="1" x14ac:dyDescent="0.25">
      <c r="B123" s="20">
        <f t="shared" si="1"/>
        <v>119</v>
      </c>
      <c r="C123" s="21">
        <f t="shared" si="9"/>
        <v>301250</v>
      </c>
      <c r="D123" s="21">
        <f t="shared" si="7"/>
        <v>4120.3598627113715</v>
      </c>
      <c r="E123" s="21">
        <f t="shared" si="10"/>
        <v>1250</v>
      </c>
      <c r="F123" s="21">
        <f t="shared" si="8"/>
        <v>2870.3598627113715</v>
      </c>
      <c r="G123" s="21">
        <f t="shared" si="11"/>
        <v>0</v>
      </c>
    </row>
    <row r="124" spans="2:7" ht="16.8" customHeight="1" x14ac:dyDescent="0.25">
      <c r="B124" s="20">
        <f t="shared" si="1"/>
        <v>120</v>
      </c>
      <c r="C124" s="21">
        <f t="shared" si="9"/>
        <v>300000</v>
      </c>
      <c r="D124" s="21">
        <f t="shared" si="7"/>
        <v>4108.4988715431427</v>
      </c>
      <c r="E124" s="21">
        <f t="shared" si="10"/>
        <v>1250</v>
      </c>
      <c r="F124" s="21">
        <f t="shared" si="8"/>
        <v>2858.4988715431427</v>
      </c>
      <c r="G124" s="21">
        <f t="shared" si="11"/>
        <v>0</v>
      </c>
    </row>
    <row r="125" spans="2:7" ht="16.8" customHeight="1" x14ac:dyDescent="0.25">
      <c r="B125" s="20">
        <f t="shared" si="1"/>
        <v>121</v>
      </c>
      <c r="C125" s="21">
        <f t="shared" si="9"/>
        <v>298750</v>
      </c>
      <c r="D125" s="21">
        <f t="shared" si="7"/>
        <v>4096.6378803749139</v>
      </c>
      <c r="E125" s="21">
        <f t="shared" si="10"/>
        <v>1250</v>
      </c>
      <c r="F125" s="21">
        <f t="shared" si="8"/>
        <v>2846.6378803749139</v>
      </c>
      <c r="G125" s="21">
        <f t="shared" si="11"/>
        <v>0</v>
      </c>
    </row>
    <row r="126" spans="2:7" ht="16.8" customHeight="1" x14ac:dyDescent="0.25">
      <c r="B126" s="20">
        <f t="shared" si="1"/>
        <v>122</v>
      </c>
      <c r="C126" s="21">
        <f t="shared" si="9"/>
        <v>297500</v>
      </c>
      <c r="D126" s="21">
        <f t="shared" si="7"/>
        <v>4084.7768892066847</v>
      </c>
      <c r="E126" s="21">
        <f t="shared" si="10"/>
        <v>1250</v>
      </c>
      <c r="F126" s="21">
        <f t="shared" si="8"/>
        <v>2834.7768892066847</v>
      </c>
      <c r="G126" s="21">
        <f t="shared" si="11"/>
        <v>0</v>
      </c>
    </row>
    <row r="127" spans="2:7" ht="16.8" customHeight="1" x14ac:dyDescent="0.25">
      <c r="B127" s="20">
        <f t="shared" si="1"/>
        <v>123</v>
      </c>
      <c r="C127" s="21">
        <f t="shared" si="9"/>
        <v>296250</v>
      </c>
      <c r="D127" s="21">
        <f t="shared" si="7"/>
        <v>4072.9158980384559</v>
      </c>
      <c r="E127" s="21">
        <f t="shared" si="10"/>
        <v>1250</v>
      </c>
      <c r="F127" s="21">
        <f t="shared" si="8"/>
        <v>2822.9158980384559</v>
      </c>
      <c r="G127" s="21">
        <f t="shared" si="11"/>
        <v>0</v>
      </c>
    </row>
    <row r="128" spans="2:7" ht="16.8" customHeight="1" x14ac:dyDescent="0.25">
      <c r="B128" s="20">
        <f t="shared" si="1"/>
        <v>124</v>
      </c>
      <c r="C128" s="21">
        <f t="shared" si="9"/>
        <v>295000</v>
      </c>
      <c r="D128" s="21">
        <f t="shared" si="7"/>
        <v>4061.0549068702271</v>
      </c>
      <c r="E128" s="21">
        <f t="shared" si="10"/>
        <v>1250</v>
      </c>
      <c r="F128" s="21">
        <f t="shared" si="8"/>
        <v>2811.0549068702271</v>
      </c>
      <c r="G128" s="21">
        <f t="shared" si="11"/>
        <v>0</v>
      </c>
    </row>
    <row r="129" spans="2:7" ht="16.8" customHeight="1" x14ac:dyDescent="0.25">
      <c r="B129" s="20">
        <f t="shared" si="1"/>
        <v>125</v>
      </c>
      <c r="C129" s="21">
        <f t="shared" si="9"/>
        <v>293750</v>
      </c>
      <c r="D129" s="21">
        <f t="shared" si="7"/>
        <v>4049.1939157019983</v>
      </c>
      <c r="E129" s="21">
        <f t="shared" si="10"/>
        <v>1250</v>
      </c>
      <c r="F129" s="21">
        <f t="shared" si="8"/>
        <v>2799.1939157019983</v>
      </c>
      <c r="G129" s="21">
        <f t="shared" si="11"/>
        <v>0</v>
      </c>
    </row>
    <row r="130" spans="2:7" ht="16.8" customHeight="1" x14ac:dyDescent="0.25">
      <c r="B130" s="20">
        <f t="shared" si="1"/>
        <v>126</v>
      </c>
      <c r="C130" s="21">
        <f t="shared" si="9"/>
        <v>292500</v>
      </c>
      <c r="D130" s="21">
        <f t="shared" si="7"/>
        <v>4037.3329245337695</v>
      </c>
      <c r="E130" s="21">
        <f t="shared" si="10"/>
        <v>1250</v>
      </c>
      <c r="F130" s="21">
        <f t="shared" si="8"/>
        <v>2787.3329245337695</v>
      </c>
      <c r="G130" s="21">
        <f t="shared" si="11"/>
        <v>0</v>
      </c>
    </row>
    <row r="131" spans="2:7" ht="16.8" customHeight="1" x14ac:dyDescent="0.25">
      <c r="B131" s="20">
        <f t="shared" si="1"/>
        <v>127</v>
      </c>
      <c r="C131" s="21">
        <f t="shared" si="9"/>
        <v>291250</v>
      </c>
      <c r="D131" s="21">
        <f t="shared" si="7"/>
        <v>4025.4719333655407</v>
      </c>
      <c r="E131" s="21">
        <f t="shared" si="10"/>
        <v>1250</v>
      </c>
      <c r="F131" s="21">
        <f t="shared" si="8"/>
        <v>2775.4719333655407</v>
      </c>
      <c r="G131" s="21">
        <f t="shared" si="11"/>
        <v>0</v>
      </c>
    </row>
    <row r="132" spans="2:7" ht="16.8" customHeight="1" x14ac:dyDescent="0.25">
      <c r="B132" s="20">
        <f t="shared" si="1"/>
        <v>128</v>
      </c>
      <c r="C132" s="21">
        <f t="shared" si="9"/>
        <v>290000</v>
      </c>
      <c r="D132" s="21">
        <f t="shared" si="7"/>
        <v>4013.6109421973119</v>
      </c>
      <c r="E132" s="21">
        <f t="shared" si="10"/>
        <v>1250</v>
      </c>
      <c r="F132" s="21">
        <f t="shared" si="8"/>
        <v>2763.6109421973119</v>
      </c>
      <c r="G132" s="21">
        <f t="shared" si="11"/>
        <v>0</v>
      </c>
    </row>
    <row r="133" spans="2:7" ht="16.8" customHeight="1" x14ac:dyDescent="0.25">
      <c r="B133" s="20">
        <f t="shared" si="1"/>
        <v>129</v>
      </c>
      <c r="C133" s="21">
        <f t="shared" si="9"/>
        <v>288750</v>
      </c>
      <c r="D133" s="21">
        <f t="shared" si="7"/>
        <v>4001.7499510290831</v>
      </c>
      <c r="E133" s="21">
        <f t="shared" si="10"/>
        <v>1250</v>
      </c>
      <c r="F133" s="21">
        <f t="shared" si="8"/>
        <v>2751.7499510290831</v>
      </c>
      <c r="G133" s="21">
        <f t="shared" si="11"/>
        <v>0</v>
      </c>
    </row>
    <row r="134" spans="2:7" ht="16.8" customHeight="1" x14ac:dyDescent="0.25">
      <c r="B134" s="20">
        <f t="shared" si="1"/>
        <v>130</v>
      </c>
      <c r="C134" s="21">
        <f t="shared" si="9"/>
        <v>287500</v>
      </c>
      <c r="D134" s="21">
        <f t="shared" ref="D134:D197" si="12">E134+F134+G134</f>
        <v>3989.8889598608544</v>
      </c>
      <c r="E134" s="21">
        <f t="shared" si="10"/>
        <v>1250</v>
      </c>
      <c r="F134" s="21">
        <f t="shared" ref="F134:F197" si="13">+C133*$J$10</f>
        <v>2739.8889598608544</v>
      </c>
      <c r="G134" s="21">
        <f t="shared" si="11"/>
        <v>0</v>
      </c>
    </row>
    <row r="135" spans="2:7" ht="16.8" customHeight="1" x14ac:dyDescent="0.25">
      <c r="B135" s="20">
        <f t="shared" si="1"/>
        <v>131</v>
      </c>
      <c r="C135" s="21">
        <f t="shared" ref="C135:C198" si="14">IFERROR(C134-E135,0)-H135</f>
        <v>286250</v>
      </c>
      <c r="D135" s="21">
        <f t="shared" si="12"/>
        <v>3978.0279686926256</v>
      </c>
      <c r="E135" s="21">
        <f t="shared" ref="E135:E198" si="15">IF(B135&gt;$J$11,0,E134)</f>
        <v>1250</v>
      </c>
      <c r="F135" s="21">
        <f t="shared" si="13"/>
        <v>2728.0279686926256</v>
      </c>
      <c r="G135" s="21">
        <f t="shared" si="11"/>
        <v>0</v>
      </c>
    </row>
    <row r="136" spans="2:7" ht="16.8" customHeight="1" x14ac:dyDescent="0.25">
      <c r="B136" s="20">
        <f t="shared" si="1"/>
        <v>132</v>
      </c>
      <c r="C136" s="21">
        <f t="shared" si="14"/>
        <v>285000</v>
      </c>
      <c r="D136" s="21">
        <f t="shared" si="12"/>
        <v>3966.1669775243968</v>
      </c>
      <c r="E136" s="21">
        <f t="shared" si="15"/>
        <v>1250</v>
      </c>
      <c r="F136" s="21">
        <f t="shared" si="13"/>
        <v>2716.1669775243968</v>
      </c>
      <c r="G136" s="21">
        <f t="shared" si="11"/>
        <v>0</v>
      </c>
    </row>
    <row r="137" spans="2:7" ht="16.8" customHeight="1" x14ac:dyDescent="0.25">
      <c r="B137" s="20">
        <f t="shared" si="1"/>
        <v>133</v>
      </c>
      <c r="C137" s="21">
        <f t="shared" si="14"/>
        <v>283750</v>
      </c>
      <c r="D137" s="21">
        <f t="shared" si="12"/>
        <v>3954.305986356168</v>
      </c>
      <c r="E137" s="21">
        <f t="shared" si="15"/>
        <v>1250</v>
      </c>
      <c r="F137" s="21">
        <f t="shared" si="13"/>
        <v>2704.305986356168</v>
      </c>
      <c r="G137" s="21">
        <f t="shared" si="11"/>
        <v>0</v>
      </c>
    </row>
    <row r="138" spans="2:7" ht="16.8" customHeight="1" x14ac:dyDescent="0.25">
      <c r="B138" s="20">
        <f t="shared" si="1"/>
        <v>134</v>
      </c>
      <c r="C138" s="21">
        <f t="shared" si="14"/>
        <v>282500</v>
      </c>
      <c r="D138" s="21">
        <f t="shared" si="12"/>
        <v>3942.4449951879392</v>
      </c>
      <c r="E138" s="21">
        <f t="shared" si="15"/>
        <v>1250</v>
      </c>
      <c r="F138" s="21">
        <f t="shared" si="13"/>
        <v>2692.4449951879392</v>
      </c>
      <c r="G138" s="21">
        <f t="shared" si="11"/>
        <v>0</v>
      </c>
    </row>
    <row r="139" spans="2:7" ht="16.8" customHeight="1" x14ac:dyDescent="0.25">
      <c r="B139" s="20">
        <f t="shared" si="1"/>
        <v>135</v>
      </c>
      <c r="C139" s="21">
        <f t="shared" si="14"/>
        <v>281250</v>
      </c>
      <c r="D139" s="21">
        <f t="shared" si="12"/>
        <v>3930.5840040197104</v>
      </c>
      <c r="E139" s="21">
        <f t="shared" si="15"/>
        <v>1250</v>
      </c>
      <c r="F139" s="21">
        <f t="shared" si="13"/>
        <v>2680.5840040197104</v>
      </c>
      <c r="G139" s="21">
        <f t="shared" si="11"/>
        <v>0</v>
      </c>
    </row>
    <row r="140" spans="2:7" ht="16.8" customHeight="1" x14ac:dyDescent="0.25">
      <c r="B140" s="20">
        <f t="shared" si="1"/>
        <v>136</v>
      </c>
      <c r="C140" s="21">
        <f t="shared" si="14"/>
        <v>280000</v>
      </c>
      <c r="D140" s="21">
        <f t="shared" si="12"/>
        <v>3918.7230128514816</v>
      </c>
      <c r="E140" s="21">
        <f t="shared" si="15"/>
        <v>1250</v>
      </c>
      <c r="F140" s="21">
        <f t="shared" si="13"/>
        <v>2668.7230128514816</v>
      </c>
      <c r="G140" s="21">
        <f t="shared" si="11"/>
        <v>0</v>
      </c>
    </row>
    <row r="141" spans="2:7" ht="16.8" customHeight="1" x14ac:dyDescent="0.25">
      <c r="B141" s="20">
        <f t="shared" si="1"/>
        <v>137</v>
      </c>
      <c r="C141" s="21">
        <f t="shared" si="14"/>
        <v>278750</v>
      </c>
      <c r="D141" s="21">
        <f t="shared" si="12"/>
        <v>3906.8620216832528</v>
      </c>
      <c r="E141" s="21">
        <f t="shared" si="15"/>
        <v>1250</v>
      </c>
      <c r="F141" s="21">
        <f t="shared" si="13"/>
        <v>2656.8620216832528</v>
      </c>
      <c r="G141" s="21">
        <f t="shared" si="11"/>
        <v>0</v>
      </c>
    </row>
    <row r="142" spans="2:7" ht="16.8" customHeight="1" x14ac:dyDescent="0.25">
      <c r="B142" s="20">
        <f t="shared" si="1"/>
        <v>138</v>
      </c>
      <c r="C142" s="21">
        <f t="shared" si="14"/>
        <v>277500</v>
      </c>
      <c r="D142" s="21">
        <f t="shared" si="12"/>
        <v>3895.001030515024</v>
      </c>
      <c r="E142" s="21">
        <f t="shared" si="15"/>
        <v>1250</v>
      </c>
      <c r="F142" s="21">
        <f t="shared" si="13"/>
        <v>2645.001030515024</v>
      </c>
      <c r="G142" s="21">
        <f t="shared" si="11"/>
        <v>0</v>
      </c>
    </row>
    <row r="143" spans="2:7" ht="16.8" customHeight="1" x14ac:dyDescent="0.25">
      <c r="B143" s="20">
        <f t="shared" si="1"/>
        <v>139</v>
      </c>
      <c r="C143" s="21">
        <f t="shared" si="14"/>
        <v>276250</v>
      </c>
      <c r="D143" s="21">
        <f t="shared" si="12"/>
        <v>3883.1400393467952</v>
      </c>
      <c r="E143" s="21">
        <f t="shared" si="15"/>
        <v>1250</v>
      </c>
      <c r="F143" s="21">
        <f t="shared" si="13"/>
        <v>2633.1400393467952</v>
      </c>
      <c r="G143" s="21">
        <f t="shared" si="11"/>
        <v>0</v>
      </c>
    </row>
    <row r="144" spans="2:7" ht="16.8" customHeight="1" x14ac:dyDescent="0.25">
      <c r="B144" s="20">
        <f t="shared" si="1"/>
        <v>140</v>
      </c>
      <c r="C144" s="21">
        <f t="shared" si="14"/>
        <v>275000</v>
      </c>
      <c r="D144" s="21">
        <f t="shared" si="12"/>
        <v>3871.2790481785664</v>
      </c>
      <c r="E144" s="21">
        <f t="shared" si="15"/>
        <v>1250</v>
      </c>
      <c r="F144" s="21">
        <f t="shared" si="13"/>
        <v>2621.2790481785664</v>
      </c>
      <c r="G144" s="21">
        <f t="shared" si="11"/>
        <v>0</v>
      </c>
    </row>
    <row r="145" spans="2:7" ht="16.8" customHeight="1" x14ac:dyDescent="0.25">
      <c r="B145" s="20">
        <f t="shared" si="1"/>
        <v>141</v>
      </c>
      <c r="C145" s="21">
        <f t="shared" si="14"/>
        <v>273750</v>
      </c>
      <c r="D145" s="21">
        <f t="shared" si="12"/>
        <v>3859.4180570103376</v>
      </c>
      <c r="E145" s="21">
        <f t="shared" si="15"/>
        <v>1250</v>
      </c>
      <c r="F145" s="21">
        <f t="shared" si="13"/>
        <v>2609.4180570103376</v>
      </c>
      <c r="G145" s="21">
        <f t="shared" ref="G145:G208" si="16">IF(B145&gt;$J$11,0,G144)</f>
        <v>0</v>
      </c>
    </row>
    <row r="146" spans="2:7" ht="16.8" customHeight="1" x14ac:dyDescent="0.25">
      <c r="B146" s="20">
        <f t="shared" si="1"/>
        <v>142</v>
      </c>
      <c r="C146" s="21">
        <f t="shared" si="14"/>
        <v>272500</v>
      </c>
      <c r="D146" s="21">
        <f t="shared" si="12"/>
        <v>3847.5570658421088</v>
      </c>
      <c r="E146" s="21">
        <f t="shared" si="15"/>
        <v>1250</v>
      </c>
      <c r="F146" s="21">
        <f t="shared" si="13"/>
        <v>2597.5570658421088</v>
      </c>
      <c r="G146" s="21">
        <f t="shared" si="16"/>
        <v>0</v>
      </c>
    </row>
    <row r="147" spans="2:7" ht="16.8" customHeight="1" x14ac:dyDescent="0.25">
      <c r="B147" s="20">
        <f t="shared" si="1"/>
        <v>143</v>
      </c>
      <c r="C147" s="21">
        <f t="shared" si="14"/>
        <v>271250</v>
      </c>
      <c r="D147" s="21">
        <f t="shared" si="12"/>
        <v>3835.69607467388</v>
      </c>
      <c r="E147" s="21">
        <f t="shared" si="15"/>
        <v>1250</v>
      </c>
      <c r="F147" s="21">
        <f t="shared" si="13"/>
        <v>2585.69607467388</v>
      </c>
      <c r="G147" s="21">
        <f t="shared" si="16"/>
        <v>0</v>
      </c>
    </row>
    <row r="148" spans="2:7" ht="16.8" customHeight="1" x14ac:dyDescent="0.25">
      <c r="B148" s="20">
        <f t="shared" si="1"/>
        <v>144</v>
      </c>
      <c r="C148" s="21">
        <f t="shared" si="14"/>
        <v>270000</v>
      </c>
      <c r="D148" s="21">
        <f t="shared" si="12"/>
        <v>3823.8350835056513</v>
      </c>
      <c r="E148" s="21">
        <f t="shared" si="15"/>
        <v>1250</v>
      </c>
      <c r="F148" s="21">
        <f t="shared" si="13"/>
        <v>2573.8350835056513</v>
      </c>
      <c r="G148" s="21">
        <f t="shared" si="16"/>
        <v>0</v>
      </c>
    </row>
    <row r="149" spans="2:7" ht="16.8" customHeight="1" x14ac:dyDescent="0.25">
      <c r="B149" s="20">
        <f t="shared" si="1"/>
        <v>145</v>
      </c>
      <c r="C149" s="21">
        <f t="shared" si="14"/>
        <v>268750</v>
      </c>
      <c r="D149" s="21">
        <f t="shared" si="12"/>
        <v>3811.9740923374225</v>
      </c>
      <c r="E149" s="21">
        <f t="shared" si="15"/>
        <v>1250</v>
      </c>
      <c r="F149" s="21">
        <f t="shared" si="13"/>
        <v>2561.9740923374225</v>
      </c>
      <c r="G149" s="21">
        <f t="shared" si="16"/>
        <v>0</v>
      </c>
    </row>
    <row r="150" spans="2:7" ht="16.8" customHeight="1" x14ac:dyDescent="0.25">
      <c r="B150" s="20">
        <f t="shared" si="1"/>
        <v>146</v>
      </c>
      <c r="C150" s="21">
        <f t="shared" si="14"/>
        <v>267500</v>
      </c>
      <c r="D150" s="21">
        <f t="shared" si="12"/>
        <v>3800.1131011691937</v>
      </c>
      <c r="E150" s="21">
        <f t="shared" si="15"/>
        <v>1250</v>
      </c>
      <c r="F150" s="21">
        <f t="shared" si="13"/>
        <v>2550.1131011691937</v>
      </c>
      <c r="G150" s="21">
        <f t="shared" si="16"/>
        <v>0</v>
      </c>
    </row>
    <row r="151" spans="2:7" ht="16.8" customHeight="1" x14ac:dyDescent="0.25">
      <c r="B151" s="20">
        <f t="shared" si="1"/>
        <v>147</v>
      </c>
      <c r="C151" s="21">
        <f t="shared" si="14"/>
        <v>266250</v>
      </c>
      <c r="D151" s="21">
        <f t="shared" si="12"/>
        <v>3788.2521100009649</v>
      </c>
      <c r="E151" s="21">
        <f t="shared" si="15"/>
        <v>1250</v>
      </c>
      <c r="F151" s="21">
        <f t="shared" si="13"/>
        <v>2538.2521100009649</v>
      </c>
      <c r="G151" s="21">
        <f t="shared" si="16"/>
        <v>0</v>
      </c>
    </row>
    <row r="152" spans="2:7" ht="16.8" customHeight="1" x14ac:dyDescent="0.25">
      <c r="B152" s="20">
        <f t="shared" si="1"/>
        <v>148</v>
      </c>
      <c r="C152" s="21">
        <f t="shared" si="14"/>
        <v>265000</v>
      </c>
      <c r="D152" s="21">
        <f t="shared" si="12"/>
        <v>3776.3911188327361</v>
      </c>
      <c r="E152" s="21">
        <f t="shared" si="15"/>
        <v>1250</v>
      </c>
      <c r="F152" s="21">
        <f t="shared" si="13"/>
        <v>2526.3911188327361</v>
      </c>
      <c r="G152" s="21">
        <f t="shared" si="16"/>
        <v>0</v>
      </c>
    </row>
    <row r="153" spans="2:7" ht="16.8" customHeight="1" x14ac:dyDescent="0.25">
      <c r="B153" s="20">
        <f t="shared" si="1"/>
        <v>149</v>
      </c>
      <c r="C153" s="21">
        <f t="shared" si="14"/>
        <v>263750</v>
      </c>
      <c r="D153" s="21">
        <f t="shared" si="12"/>
        <v>3764.5301276645073</v>
      </c>
      <c r="E153" s="21">
        <f t="shared" si="15"/>
        <v>1250</v>
      </c>
      <c r="F153" s="21">
        <f t="shared" si="13"/>
        <v>2514.5301276645073</v>
      </c>
      <c r="G153" s="21">
        <f t="shared" si="16"/>
        <v>0</v>
      </c>
    </row>
    <row r="154" spans="2:7" ht="16.8" customHeight="1" x14ac:dyDescent="0.25">
      <c r="B154" s="20">
        <f t="shared" si="1"/>
        <v>150</v>
      </c>
      <c r="C154" s="21">
        <f t="shared" si="14"/>
        <v>262500</v>
      </c>
      <c r="D154" s="21">
        <f t="shared" si="12"/>
        <v>3752.6691364962785</v>
      </c>
      <c r="E154" s="21">
        <f t="shared" si="15"/>
        <v>1250</v>
      </c>
      <c r="F154" s="21">
        <f t="shared" si="13"/>
        <v>2502.6691364962785</v>
      </c>
      <c r="G154" s="21">
        <f t="shared" si="16"/>
        <v>0</v>
      </c>
    </row>
    <row r="155" spans="2:7" ht="16.8" customHeight="1" x14ac:dyDescent="0.25">
      <c r="B155" s="20">
        <f t="shared" si="1"/>
        <v>151</v>
      </c>
      <c r="C155" s="21">
        <f t="shared" si="14"/>
        <v>261250</v>
      </c>
      <c r="D155" s="21">
        <f t="shared" si="12"/>
        <v>3740.8081453280497</v>
      </c>
      <c r="E155" s="21">
        <f t="shared" si="15"/>
        <v>1250</v>
      </c>
      <c r="F155" s="21">
        <f t="shared" si="13"/>
        <v>2490.8081453280497</v>
      </c>
      <c r="G155" s="21">
        <f t="shared" si="16"/>
        <v>0</v>
      </c>
    </row>
    <row r="156" spans="2:7" ht="16.8" customHeight="1" x14ac:dyDescent="0.25">
      <c r="B156" s="20">
        <f t="shared" si="1"/>
        <v>152</v>
      </c>
      <c r="C156" s="21">
        <f t="shared" si="14"/>
        <v>260000</v>
      </c>
      <c r="D156" s="21">
        <f t="shared" si="12"/>
        <v>3728.9471541598209</v>
      </c>
      <c r="E156" s="21">
        <f t="shared" si="15"/>
        <v>1250</v>
      </c>
      <c r="F156" s="21">
        <f t="shared" si="13"/>
        <v>2478.9471541598209</v>
      </c>
      <c r="G156" s="21">
        <f t="shared" si="16"/>
        <v>0</v>
      </c>
    </row>
    <row r="157" spans="2:7" ht="16.8" customHeight="1" x14ac:dyDescent="0.25">
      <c r="B157" s="20">
        <f t="shared" si="1"/>
        <v>153</v>
      </c>
      <c r="C157" s="21">
        <f t="shared" si="14"/>
        <v>258750</v>
      </c>
      <c r="D157" s="21">
        <f t="shared" si="12"/>
        <v>3717.0861629915917</v>
      </c>
      <c r="E157" s="21">
        <f t="shared" si="15"/>
        <v>1250</v>
      </c>
      <c r="F157" s="21">
        <f t="shared" si="13"/>
        <v>2467.0861629915917</v>
      </c>
      <c r="G157" s="21">
        <f t="shared" si="16"/>
        <v>0</v>
      </c>
    </row>
    <row r="158" spans="2:7" ht="16.8" customHeight="1" x14ac:dyDescent="0.25">
      <c r="B158" s="20">
        <f t="shared" si="1"/>
        <v>154</v>
      </c>
      <c r="C158" s="21">
        <f t="shared" si="14"/>
        <v>257500</v>
      </c>
      <c r="D158" s="21">
        <f t="shared" si="12"/>
        <v>3705.2251718233629</v>
      </c>
      <c r="E158" s="21">
        <f t="shared" si="15"/>
        <v>1250</v>
      </c>
      <c r="F158" s="21">
        <f t="shared" si="13"/>
        <v>2455.2251718233629</v>
      </c>
      <c r="G158" s="21">
        <f t="shared" si="16"/>
        <v>0</v>
      </c>
    </row>
    <row r="159" spans="2:7" ht="16.8" customHeight="1" x14ac:dyDescent="0.25">
      <c r="B159" s="20">
        <f t="shared" si="1"/>
        <v>155</v>
      </c>
      <c r="C159" s="21">
        <f t="shared" si="14"/>
        <v>256250</v>
      </c>
      <c r="D159" s="21">
        <f t="shared" si="12"/>
        <v>3693.3641806551341</v>
      </c>
      <c r="E159" s="21">
        <f t="shared" si="15"/>
        <v>1250</v>
      </c>
      <c r="F159" s="21">
        <f t="shared" si="13"/>
        <v>2443.3641806551341</v>
      </c>
      <c r="G159" s="21">
        <f t="shared" si="16"/>
        <v>0</v>
      </c>
    </row>
    <row r="160" spans="2:7" ht="16.8" customHeight="1" x14ac:dyDescent="0.25">
      <c r="B160" s="20">
        <f t="shared" si="1"/>
        <v>156</v>
      </c>
      <c r="C160" s="21">
        <f t="shared" si="14"/>
        <v>255000</v>
      </c>
      <c r="D160" s="21">
        <f t="shared" si="12"/>
        <v>3681.5031894869053</v>
      </c>
      <c r="E160" s="21">
        <f t="shared" si="15"/>
        <v>1250</v>
      </c>
      <c r="F160" s="21">
        <f t="shared" si="13"/>
        <v>2431.5031894869053</v>
      </c>
      <c r="G160" s="21">
        <f t="shared" si="16"/>
        <v>0</v>
      </c>
    </row>
    <row r="161" spans="2:7" ht="16.8" customHeight="1" x14ac:dyDescent="0.25">
      <c r="B161" s="20">
        <f t="shared" si="1"/>
        <v>157</v>
      </c>
      <c r="C161" s="21">
        <f t="shared" si="14"/>
        <v>253750</v>
      </c>
      <c r="D161" s="21">
        <f t="shared" si="12"/>
        <v>3669.6421983186765</v>
      </c>
      <c r="E161" s="21">
        <f t="shared" si="15"/>
        <v>1250</v>
      </c>
      <c r="F161" s="21">
        <f t="shared" si="13"/>
        <v>2419.6421983186765</v>
      </c>
      <c r="G161" s="21">
        <f t="shared" si="16"/>
        <v>0</v>
      </c>
    </row>
    <row r="162" spans="2:7" ht="16.8" customHeight="1" x14ac:dyDescent="0.25">
      <c r="B162" s="20">
        <f t="shared" si="1"/>
        <v>158</v>
      </c>
      <c r="C162" s="21">
        <f t="shared" si="14"/>
        <v>252500</v>
      </c>
      <c r="D162" s="21">
        <f t="shared" si="12"/>
        <v>3657.7812071504477</v>
      </c>
      <c r="E162" s="21">
        <f t="shared" si="15"/>
        <v>1250</v>
      </c>
      <c r="F162" s="21">
        <f t="shared" si="13"/>
        <v>2407.7812071504477</v>
      </c>
      <c r="G162" s="21">
        <f t="shared" si="16"/>
        <v>0</v>
      </c>
    </row>
    <row r="163" spans="2:7" ht="16.8" customHeight="1" x14ac:dyDescent="0.25">
      <c r="B163" s="20">
        <f t="shared" si="1"/>
        <v>159</v>
      </c>
      <c r="C163" s="21">
        <f t="shared" si="14"/>
        <v>251250</v>
      </c>
      <c r="D163" s="21">
        <f t="shared" si="12"/>
        <v>3645.9202159822189</v>
      </c>
      <c r="E163" s="21">
        <f t="shared" si="15"/>
        <v>1250</v>
      </c>
      <c r="F163" s="21">
        <f t="shared" si="13"/>
        <v>2395.9202159822189</v>
      </c>
      <c r="G163" s="21">
        <f t="shared" si="16"/>
        <v>0</v>
      </c>
    </row>
    <row r="164" spans="2:7" ht="16.8" customHeight="1" x14ac:dyDescent="0.25">
      <c r="B164" s="20">
        <f t="shared" si="1"/>
        <v>160</v>
      </c>
      <c r="C164" s="21">
        <f t="shared" si="14"/>
        <v>250000</v>
      </c>
      <c r="D164" s="21">
        <f t="shared" si="12"/>
        <v>3634.0592248139901</v>
      </c>
      <c r="E164" s="21">
        <f t="shared" si="15"/>
        <v>1250</v>
      </c>
      <c r="F164" s="21">
        <f t="shared" si="13"/>
        <v>2384.0592248139901</v>
      </c>
      <c r="G164" s="21">
        <f t="shared" si="16"/>
        <v>0</v>
      </c>
    </row>
    <row r="165" spans="2:7" ht="16.8" customHeight="1" x14ac:dyDescent="0.25">
      <c r="B165" s="20">
        <f t="shared" si="1"/>
        <v>161</v>
      </c>
      <c r="C165" s="21">
        <f t="shared" si="14"/>
        <v>248750</v>
      </c>
      <c r="D165" s="21">
        <f t="shared" si="12"/>
        <v>3622.1982336457613</v>
      </c>
      <c r="E165" s="21">
        <f t="shared" si="15"/>
        <v>1250</v>
      </c>
      <c r="F165" s="21">
        <f t="shared" si="13"/>
        <v>2372.1982336457613</v>
      </c>
      <c r="G165" s="21">
        <f t="shared" si="16"/>
        <v>0</v>
      </c>
    </row>
    <row r="166" spans="2:7" ht="16.8" customHeight="1" x14ac:dyDescent="0.25">
      <c r="B166" s="20">
        <f t="shared" si="1"/>
        <v>162</v>
      </c>
      <c r="C166" s="21">
        <f t="shared" si="14"/>
        <v>247500</v>
      </c>
      <c r="D166" s="21">
        <f t="shared" si="12"/>
        <v>3610.3372424775325</v>
      </c>
      <c r="E166" s="21">
        <f t="shared" si="15"/>
        <v>1250</v>
      </c>
      <c r="F166" s="21">
        <f t="shared" si="13"/>
        <v>2360.3372424775325</v>
      </c>
      <c r="G166" s="21">
        <f t="shared" si="16"/>
        <v>0</v>
      </c>
    </row>
    <row r="167" spans="2:7" ht="16.8" customHeight="1" x14ac:dyDescent="0.25">
      <c r="B167" s="20">
        <f t="shared" si="1"/>
        <v>163</v>
      </c>
      <c r="C167" s="21">
        <f t="shared" si="14"/>
        <v>246250</v>
      </c>
      <c r="D167" s="21">
        <f t="shared" si="12"/>
        <v>3598.4762513093037</v>
      </c>
      <c r="E167" s="21">
        <f t="shared" si="15"/>
        <v>1250</v>
      </c>
      <c r="F167" s="21">
        <f t="shared" si="13"/>
        <v>2348.4762513093037</v>
      </c>
      <c r="G167" s="21">
        <f t="shared" si="16"/>
        <v>0</v>
      </c>
    </row>
    <row r="168" spans="2:7" ht="16.8" customHeight="1" x14ac:dyDescent="0.25">
      <c r="B168" s="20">
        <f t="shared" si="1"/>
        <v>164</v>
      </c>
      <c r="C168" s="21">
        <f t="shared" si="14"/>
        <v>245000</v>
      </c>
      <c r="D168" s="21">
        <f t="shared" si="12"/>
        <v>3586.6152601410749</v>
      </c>
      <c r="E168" s="21">
        <f t="shared" si="15"/>
        <v>1250</v>
      </c>
      <c r="F168" s="21">
        <f t="shared" si="13"/>
        <v>2336.6152601410749</v>
      </c>
      <c r="G168" s="21">
        <f t="shared" si="16"/>
        <v>0</v>
      </c>
    </row>
    <row r="169" spans="2:7" ht="16.8" customHeight="1" x14ac:dyDescent="0.25">
      <c r="B169" s="20">
        <f t="shared" si="1"/>
        <v>165</v>
      </c>
      <c r="C169" s="21">
        <f t="shared" si="14"/>
        <v>243750</v>
      </c>
      <c r="D169" s="21">
        <f t="shared" si="12"/>
        <v>3574.7542689728461</v>
      </c>
      <c r="E169" s="21">
        <f t="shared" si="15"/>
        <v>1250</v>
      </c>
      <c r="F169" s="21">
        <f t="shared" si="13"/>
        <v>2324.7542689728461</v>
      </c>
      <c r="G169" s="21">
        <f t="shared" si="16"/>
        <v>0</v>
      </c>
    </row>
    <row r="170" spans="2:7" ht="16.8" customHeight="1" x14ac:dyDescent="0.25">
      <c r="B170" s="20">
        <f t="shared" si="1"/>
        <v>166</v>
      </c>
      <c r="C170" s="21">
        <f t="shared" si="14"/>
        <v>242500</v>
      </c>
      <c r="D170" s="21">
        <f t="shared" si="12"/>
        <v>3562.8932778046174</v>
      </c>
      <c r="E170" s="21">
        <f t="shared" si="15"/>
        <v>1250</v>
      </c>
      <c r="F170" s="21">
        <f t="shared" si="13"/>
        <v>2312.8932778046174</v>
      </c>
      <c r="G170" s="21">
        <f t="shared" si="16"/>
        <v>0</v>
      </c>
    </row>
    <row r="171" spans="2:7" ht="16.8" customHeight="1" x14ac:dyDescent="0.25">
      <c r="B171" s="20">
        <f t="shared" si="1"/>
        <v>167</v>
      </c>
      <c r="C171" s="21">
        <f t="shared" si="14"/>
        <v>241250</v>
      </c>
      <c r="D171" s="21">
        <f t="shared" si="12"/>
        <v>3551.0322866363886</v>
      </c>
      <c r="E171" s="21">
        <f t="shared" si="15"/>
        <v>1250</v>
      </c>
      <c r="F171" s="21">
        <f t="shared" si="13"/>
        <v>2301.0322866363886</v>
      </c>
      <c r="G171" s="21">
        <f t="shared" si="16"/>
        <v>0</v>
      </c>
    </row>
    <row r="172" spans="2:7" ht="16.8" customHeight="1" x14ac:dyDescent="0.25">
      <c r="B172" s="20">
        <f t="shared" si="1"/>
        <v>168</v>
      </c>
      <c r="C172" s="21">
        <f t="shared" si="14"/>
        <v>240000</v>
      </c>
      <c r="D172" s="21">
        <f t="shared" si="12"/>
        <v>3539.1712954681598</v>
      </c>
      <c r="E172" s="21">
        <f t="shared" si="15"/>
        <v>1250</v>
      </c>
      <c r="F172" s="21">
        <f t="shared" si="13"/>
        <v>2289.1712954681598</v>
      </c>
      <c r="G172" s="21">
        <f t="shared" si="16"/>
        <v>0</v>
      </c>
    </row>
    <row r="173" spans="2:7" ht="16.8" customHeight="1" x14ac:dyDescent="0.25">
      <c r="B173" s="20">
        <f t="shared" si="1"/>
        <v>169</v>
      </c>
      <c r="C173" s="21">
        <f t="shared" si="14"/>
        <v>238750</v>
      </c>
      <c r="D173" s="21">
        <f t="shared" si="12"/>
        <v>3527.310304299931</v>
      </c>
      <c r="E173" s="21">
        <f t="shared" si="15"/>
        <v>1250</v>
      </c>
      <c r="F173" s="21">
        <f t="shared" si="13"/>
        <v>2277.310304299931</v>
      </c>
      <c r="G173" s="21">
        <f t="shared" si="16"/>
        <v>0</v>
      </c>
    </row>
    <row r="174" spans="2:7" ht="16.8" customHeight="1" x14ac:dyDescent="0.25">
      <c r="B174" s="20">
        <f t="shared" si="1"/>
        <v>170</v>
      </c>
      <c r="C174" s="21">
        <f t="shared" si="14"/>
        <v>237500</v>
      </c>
      <c r="D174" s="21">
        <f t="shared" si="12"/>
        <v>3515.4493131317022</v>
      </c>
      <c r="E174" s="21">
        <f t="shared" si="15"/>
        <v>1250</v>
      </c>
      <c r="F174" s="21">
        <f t="shared" si="13"/>
        <v>2265.4493131317022</v>
      </c>
      <c r="G174" s="21">
        <f t="shared" si="16"/>
        <v>0</v>
      </c>
    </row>
    <row r="175" spans="2:7" ht="16.8" customHeight="1" x14ac:dyDescent="0.25">
      <c r="B175" s="20">
        <f t="shared" si="1"/>
        <v>171</v>
      </c>
      <c r="C175" s="21">
        <f t="shared" si="14"/>
        <v>236250</v>
      </c>
      <c r="D175" s="21">
        <f t="shared" si="12"/>
        <v>3503.5883219634734</v>
      </c>
      <c r="E175" s="21">
        <f t="shared" si="15"/>
        <v>1250</v>
      </c>
      <c r="F175" s="21">
        <f t="shared" si="13"/>
        <v>2253.5883219634734</v>
      </c>
      <c r="G175" s="21">
        <f t="shared" si="16"/>
        <v>0</v>
      </c>
    </row>
    <row r="176" spans="2:7" ht="16.8" customHeight="1" x14ac:dyDescent="0.25">
      <c r="B176" s="20">
        <f t="shared" si="1"/>
        <v>172</v>
      </c>
      <c r="C176" s="21">
        <f t="shared" si="14"/>
        <v>235000</v>
      </c>
      <c r="D176" s="21">
        <f t="shared" si="12"/>
        <v>3491.7273307952446</v>
      </c>
      <c r="E176" s="21">
        <f t="shared" si="15"/>
        <v>1250</v>
      </c>
      <c r="F176" s="21">
        <f t="shared" si="13"/>
        <v>2241.7273307952446</v>
      </c>
      <c r="G176" s="21">
        <f t="shared" si="16"/>
        <v>0</v>
      </c>
    </row>
    <row r="177" spans="2:7" ht="16.8" customHeight="1" x14ac:dyDescent="0.25">
      <c r="B177" s="20">
        <f t="shared" si="1"/>
        <v>173</v>
      </c>
      <c r="C177" s="21">
        <f t="shared" si="14"/>
        <v>233750</v>
      </c>
      <c r="D177" s="21">
        <f t="shared" si="12"/>
        <v>3479.8663396270158</v>
      </c>
      <c r="E177" s="21">
        <f t="shared" si="15"/>
        <v>1250</v>
      </c>
      <c r="F177" s="21">
        <f t="shared" si="13"/>
        <v>2229.8663396270158</v>
      </c>
      <c r="G177" s="21">
        <f t="shared" si="16"/>
        <v>0</v>
      </c>
    </row>
    <row r="178" spans="2:7" ht="16.8" customHeight="1" x14ac:dyDescent="0.25">
      <c r="B178" s="20">
        <f t="shared" si="1"/>
        <v>174</v>
      </c>
      <c r="C178" s="21">
        <f t="shared" si="14"/>
        <v>232500</v>
      </c>
      <c r="D178" s="21">
        <f t="shared" si="12"/>
        <v>3468.005348458787</v>
      </c>
      <c r="E178" s="21">
        <f t="shared" si="15"/>
        <v>1250</v>
      </c>
      <c r="F178" s="21">
        <f t="shared" si="13"/>
        <v>2218.005348458787</v>
      </c>
      <c r="G178" s="21">
        <f t="shared" si="16"/>
        <v>0</v>
      </c>
    </row>
    <row r="179" spans="2:7" ht="16.8" customHeight="1" x14ac:dyDescent="0.25">
      <c r="B179" s="20">
        <f t="shared" si="1"/>
        <v>175</v>
      </c>
      <c r="C179" s="21">
        <f t="shared" si="14"/>
        <v>231250</v>
      </c>
      <c r="D179" s="21">
        <f t="shared" si="12"/>
        <v>3456.1443572905582</v>
      </c>
      <c r="E179" s="21">
        <f t="shared" si="15"/>
        <v>1250</v>
      </c>
      <c r="F179" s="21">
        <f t="shared" si="13"/>
        <v>2206.1443572905582</v>
      </c>
      <c r="G179" s="21">
        <f t="shared" si="16"/>
        <v>0</v>
      </c>
    </row>
    <row r="180" spans="2:7" ht="16.8" customHeight="1" x14ac:dyDescent="0.25">
      <c r="B180" s="20">
        <f t="shared" si="1"/>
        <v>176</v>
      </c>
      <c r="C180" s="21">
        <f t="shared" si="14"/>
        <v>230000</v>
      </c>
      <c r="D180" s="21">
        <f t="shared" si="12"/>
        <v>3444.2833661223294</v>
      </c>
      <c r="E180" s="21">
        <f t="shared" si="15"/>
        <v>1250</v>
      </c>
      <c r="F180" s="21">
        <f t="shared" si="13"/>
        <v>2194.2833661223294</v>
      </c>
      <c r="G180" s="21">
        <f t="shared" si="16"/>
        <v>0</v>
      </c>
    </row>
    <row r="181" spans="2:7" ht="16.8" customHeight="1" x14ac:dyDescent="0.25">
      <c r="B181" s="20">
        <f t="shared" si="1"/>
        <v>177</v>
      </c>
      <c r="C181" s="21">
        <f t="shared" si="14"/>
        <v>228750</v>
      </c>
      <c r="D181" s="21">
        <f t="shared" si="12"/>
        <v>3432.4223749541006</v>
      </c>
      <c r="E181" s="21">
        <f t="shared" si="15"/>
        <v>1250</v>
      </c>
      <c r="F181" s="21">
        <f t="shared" si="13"/>
        <v>2182.4223749541006</v>
      </c>
      <c r="G181" s="21">
        <f t="shared" si="16"/>
        <v>0</v>
      </c>
    </row>
    <row r="182" spans="2:7" ht="16.8" customHeight="1" x14ac:dyDescent="0.25">
      <c r="B182" s="20">
        <f t="shared" si="1"/>
        <v>178</v>
      </c>
      <c r="C182" s="21">
        <f t="shared" si="14"/>
        <v>227500</v>
      </c>
      <c r="D182" s="21">
        <f t="shared" si="12"/>
        <v>3420.5613837858718</v>
      </c>
      <c r="E182" s="21">
        <f t="shared" si="15"/>
        <v>1250</v>
      </c>
      <c r="F182" s="21">
        <f t="shared" si="13"/>
        <v>2170.5613837858718</v>
      </c>
      <c r="G182" s="21">
        <f t="shared" si="16"/>
        <v>0</v>
      </c>
    </row>
    <row r="183" spans="2:7" ht="16.8" customHeight="1" x14ac:dyDescent="0.25">
      <c r="B183" s="20">
        <f t="shared" si="1"/>
        <v>179</v>
      </c>
      <c r="C183" s="21">
        <f t="shared" si="14"/>
        <v>226250</v>
      </c>
      <c r="D183" s="21">
        <f t="shared" si="12"/>
        <v>3408.700392617643</v>
      </c>
      <c r="E183" s="21">
        <f t="shared" si="15"/>
        <v>1250</v>
      </c>
      <c r="F183" s="21">
        <f t="shared" si="13"/>
        <v>2158.700392617643</v>
      </c>
      <c r="G183" s="21">
        <f t="shared" si="16"/>
        <v>0</v>
      </c>
    </row>
    <row r="184" spans="2:7" ht="16.8" customHeight="1" x14ac:dyDescent="0.25">
      <c r="B184" s="20">
        <f t="shared" si="1"/>
        <v>180</v>
      </c>
      <c r="C184" s="21">
        <f t="shared" si="14"/>
        <v>225000</v>
      </c>
      <c r="D184" s="21">
        <f t="shared" si="12"/>
        <v>3396.8394014494143</v>
      </c>
      <c r="E184" s="21">
        <f t="shared" si="15"/>
        <v>1250</v>
      </c>
      <c r="F184" s="21">
        <f t="shared" si="13"/>
        <v>2146.8394014494143</v>
      </c>
      <c r="G184" s="21">
        <f t="shared" si="16"/>
        <v>0</v>
      </c>
    </row>
    <row r="185" spans="2:7" ht="16.8" customHeight="1" x14ac:dyDescent="0.25">
      <c r="B185" s="20">
        <f t="shared" si="1"/>
        <v>181</v>
      </c>
      <c r="C185" s="21">
        <f t="shared" si="14"/>
        <v>223750</v>
      </c>
      <c r="D185" s="21">
        <f t="shared" si="12"/>
        <v>3384.9784102811855</v>
      </c>
      <c r="E185" s="21">
        <f t="shared" si="15"/>
        <v>1250</v>
      </c>
      <c r="F185" s="21">
        <f t="shared" si="13"/>
        <v>2134.9784102811855</v>
      </c>
      <c r="G185" s="21">
        <f t="shared" si="16"/>
        <v>0</v>
      </c>
    </row>
    <row r="186" spans="2:7" ht="16.8" customHeight="1" x14ac:dyDescent="0.25">
      <c r="B186" s="20">
        <f t="shared" si="1"/>
        <v>182</v>
      </c>
      <c r="C186" s="21">
        <f t="shared" si="14"/>
        <v>222500</v>
      </c>
      <c r="D186" s="21">
        <f t="shared" si="12"/>
        <v>3373.1174191129567</v>
      </c>
      <c r="E186" s="21">
        <f t="shared" si="15"/>
        <v>1250</v>
      </c>
      <c r="F186" s="21">
        <f t="shared" si="13"/>
        <v>2123.1174191129567</v>
      </c>
      <c r="G186" s="21">
        <f t="shared" si="16"/>
        <v>0</v>
      </c>
    </row>
    <row r="187" spans="2:7" ht="16.8" customHeight="1" x14ac:dyDescent="0.25">
      <c r="B187" s="20">
        <f t="shared" si="1"/>
        <v>183</v>
      </c>
      <c r="C187" s="21">
        <f t="shared" si="14"/>
        <v>221250</v>
      </c>
      <c r="D187" s="21">
        <f t="shared" si="12"/>
        <v>3361.2564279447279</v>
      </c>
      <c r="E187" s="21">
        <f t="shared" si="15"/>
        <v>1250</v>
      </c>
      <c r="F187" s="21">
        <f t="shared" si="13"/>
        <v>2111.2564279447279</v>
      </c>
      <c r="G187" s="21">
        <f t="shared" si="16"/>
        <v>0</v>
      </c>
    </row>
    <row r="188" spans="2:7" ht="16.8" customHeight="1" x14ac:dyDescent="0.25">
      <c r="B188" s="20">
        <f t="shared" si="1"/>
        <v>184</v>
      </c>
      <c r="C188" s="21">
        <f t="shared" si="14"/>
        <v>220000</v>
      </c>
      <c r="D188" s="21">
        <f t="shared" si="12"/>
        <v>3349.3954367764991</v>
      </c>
      <c r="E188" s="21">
        <f t="shared" si="15"/>
        <v>1250</v>
      </c>
      <c r="F188" s="21">
        <f t="shared" si="13"/>
        <v>2099.3954367764991</v>
      </c>
      <c r="G188" s="21">
        <f t="shared" si="16"/>
        <v>0</v>
      </c>
    </row>
    <row r="189" spans="2:7" ht="16.8" customHeight="1" x14ac:dyDescent="0.25">
      <c r="B189" s="20">
        <f t="shared" si="1"/>
        <v>185</v>
      </c>
      <c r="C189" s="21">
        <f t="shared" si="14"/>
        <v>218750</v>
      </c>
      <c r="D189" s="21">
        <f t="shared" si="12"/>
        <v>3337.5344456082703</v>
      </c>
      <c r="E189" s="21">
        <f t="shared" si="15"/>
        <v>1250</v>
      </c>
      <c r="F189" s="21">
        <f t="shared" si="13"/>
        <v>2087.5344456082703</v>
      </c>
      <c r="G189" s="21">
        <f t="shared" si="16"/>
        <v>0</v>
      </c>
    </row>
    <row r="190" spans="2:7" ht="16.8" customHeight="1" x14ac:dyDescent="0.25">
      <c r="B190" s="20">
        <f t="shared" si="1"/>
        <v>186</v>
      </c>
      <c r="C190" s="21">
        <f t="shared" si="14"/>
        <v>217500</v>
      </c>
      <c r="D190" s="21">
        <f t="shared" si="12"/>
        <v>3325.673454440041</v>
      </c>
      <c r="E190" s="21">
        <f t="shared" si="15"/>
        <v>1250</v>
      </c>
      <c r="F190" s="21">
        <f t="shared" si="13"/>
        <v>2075.673454440041</v>
      </c>
      <c r="G190" s="21">
        <f t="shared" si="16"/>
        <v>0</v>
      </c>
    </row>
    <row r="191" spans="2:7" ht="16.8" customHeight="1" x14ac:dyDescent="0.25">
      <c r="B191" s="20">
        <f t="shared" si="1"/>
        <v>187</v>
      </c>
      <c r="C191" s="21">
        <f t="shared" si="14"/>
        <v>216250</v>
      </c>
      <c r="D191" s="21">
        <f t="shared" si="12"/>
        <v>3313.8124632718122</v>
      </c>
      <c r="E191" s="21">
        <f t="shared" si="15"/>
        <v>1250</v>
      </c>
      <c r="F191" s="21">
        <f t="shared" si="13"/>
        <v>2063.8124632718122</v>
      </c>
      <c r="G191" s="21">
        <f t="shared" si="16"/>
        <v>0</v>
      </c>
    </row>
    <row r="192" spans="2:7" ht="16.8" customHeight="1" x14ac:dyDescent="0.25">
      <c r="B192" s="20">
        <f t="shared" si="1"/>
        <v>188</v>
      </c>
      <c r="C192" s="21">
        <f t="shared" si="14"/>
        <v>215000</v>
      </c>
      <c r="D192" s="21">
        <f t="shared" si="12"/>
        <v>3301.9514721035835</v>
      </c>
      <c r="E192" s="21">
        <f t="shared" si="15"/>
        <v>1250</v>
      </c>
      <c r="F192" s="21">
        <f t="shared" si="13"/>
        <v>2051.9514721035835</v>
      </c>
      <c r="G192" s="21">
        <f t="shared" si="16"/>
        <v>0</v>
      </c>
    </row>
    <row r="193" spans="2:7" ht="16.8" customHeight="1" x14ac:dyDescent="0.25">
      <c r="B193" s="20">
        <f t="shared" si="1"/>
        <v>189</v>
      </c>
      <c r="C193" s="21">
        <f t="shared" si="14"/>
        <v>213750</v>
      </c>
      <c r="D193" s="21">
        <f t="shared" si="12"/>
        <v>3290.0904809353551</v>
      </c>
      <c r="E193" s="21">
        <f t="shared" si="15"/>
        <v>1250</v>
      </c>
      <c r="F193" s="21">
        <f t="shared" si="13"/>
        <v>2040.0904809353549</v>
      </c>
      <c r="G193" s="21">
        <f t="shared" si="16"/>
        <v>0</v>
      </c>
    </row>
    <row r="194" spans="2:7" ht="16.8" customHeight="1" x14ac:dyDescent="0.25">
      <c r="B194" s="20">
        <f t="shared" si="1"/>
        <v>190</v>
      </c>
      <c r="C194" s="21">
        <f t="shared" si="14"/>
        <v>212500</v>
      </c>
      <c r="D194" s="21">
        <f t="shared" si="12"/>
        <v>3278.2294897671263</v>
      </c>
      <c r="E194" s="21">
        <f t="shared" si="15"/>
        <v>1250</v>
      </c>
      <c r="F194" s="21">
        <f t="shared" si="13"/>
        <v>2028.2294897671261</v>
      </c>
      <c r="G194" s="21">
        <f t="shared" si="16"/>
        <v>0</v>
      </c>
    </row>
    <row r="195" spans="2:7" ht="16.8" customHeight="1" x14ac:dyDescent="0.25">
      <c r="B195" s="20">
        <f t="shared" si="1"/>
        <v>191</v>
      </c>
      <c r="C195" s="21">
        <f t="shared" si="14"/>
        <v>211250</v>
      </c>
      <c r="D195" s="21">
        <f t="shared" si="12"/>
        <v>3266.3684985988975</v>
      </c>
      <c r="E195" s="21">
        <f t="shared" si="15"/>
        <v>1250</v>
      </c>
      <c r="F195" s="21">
        <f t="shared" si="13"/>
        <v>2016.3684985988973</v>
      </c>
      <c r="G195" s="21">
        <f t="shared" si="16"/>
        <v>0</v>
      </c>
    </row>
    <row r="196" spans="2:7" ht="16.8" customHeight="1" x14ac:dyDescent="0.25">
      <c r="B196" s="20">
        <f t="shared" si="1"/>
        <v>192</v>
      </c>
      <c r="C196" s="21">
        <f t="shared" si="14"/>
        <v>210000</v>
      </c>
      <c r="D196" s="21">
        <f t="shared" si="12"/>
        <v>3254.5075074306687</v>
      </c>
      <c r="E196" s="21">
        <f t="shared" si="15"/>
        <v>1250</v>
      </c>
      <c r="F196" s="21">
        <f t="shared" si="13"/>
        <v>2004.5075074306685</v>
      </c>
      <c r="G196" s="21">
        <f t="shared" si="16"/>
        <v>0</v>
      </c>
    </row>
    <row r="197" spans="2:7" ht="16.8" customHeight="1" x14ac:dyDescent="0.25">
      <c r="B197" s="20">
        <f t="shared" si="1"/>
        <v>193</v>
      </c>
      <c r="C197" s="21">
        <f t="shared" si="14"/>
        <v>208750</v>
      </c>
      <c r="D197" s="21">
        <f t="shared" si="12"/>
        <v>3242.6465162624395</v>
      </c>
      <c r="E197" s="21">
        <f t="shared" si="15"/>
        <v>1250</v>
      </c>
      <c r="F197" s="21">
        <f t="shared" si="13"/>
        <v>1992.6465162624395</v>
      </c>
      <c r="G197" s="21">
        <f t="shared" si="16"/>
        <v>0</v>
      </c>
    </row>
    <row r="198" spans="2:7" ht="16.8" customHeight="1" x14ac:dyDescent="0.25">
      <c r="B198" s="20">
        <f t="shared" si="1"/>
        <v>194</v>
      </c>
      <c r="C198" s="21">
        <f t="shared" si="14"/>
        <v>207500</v>
      </c>
      <c r="D198" s="21">
        <f t="shared" ref="D198:D261" si="17">E198+F198+G198</f>
        <v>3230.7855250942107</v>
      </c>
      <c r="E198" s="21">
        <f t="shared" si="15"/>
        <v>1250</v>
      </c>
      <c r="F198" s="21">
        <f t="shared" ref="F198:F261" si="18">+C197*$J$10</f>
        <v>1980.7855250942107</v>
      </c>
      <c r="G198" s="21">
        <f t="shared" si="16"/>
        <v>0</v>
      </c>
    </row>
    <row r="199" spans="2:7" ht="16.8" customHeight="1" x14ac:dyDescent="0.25">
      <c r="B199" s="20">
        <f t="shared" si="1"/>
        <v>195</v>
      </c>
      <c r="C199" s="21">
        <f t="shared" ref="C199:C262" si="19">IFERROR(C198-E199,0)-H199</f>
        <v>206250</v>
      </c>
      <c r="D199" s="21">
        <f t="shared" si="17"/>
        <v>3218.9245339259819</v>
      </c>
      <c r="E199" s="21">
        <f t="shared" ref="E199:E262" si="20">IF(B199&gt;$J$11,0,E198)</f>
        <v>1250</v>
      </c>
      <c r="F199" s="21">
        <f t="shared" si="18"/>
        <v>1968.9245339259819</v>
      </c>
      <c r="G199" s="21">
        <f t="shared" si="16"/>
        <v>0</v>
      </c>
    </row>
    <row r="200" spans="2:7" ht="16.8" customHeight="1" x14ac:dyDescent="0.25">
      <c r="B200" s="20">
        <f t="shared" si="1"/>
        <v>196</v>
      </c>
      <c r="C200" s="21">
        <f t="shared" si="19"/>
        <v>205000</v>
      </c>
      <c r="D200" s="21">
        <f t="shared" si="17"/>
        <v>3207.0635427577531</v>
      </c>
      <c r="E200" s="21">
        <f t="shared" si="20"/>
        <v>1250</v>
      </c>
      <c r="F200" s="21">
        <f t="shared" si="18"/>
        <v>1957.0635427577531</v>
      </c>
      <c r="G200" s="21">
        <f t="shared" si="16"/>
        <v>0</v>
      </c>
    </row>
    <row r="201" spans="2:7" ht="16.8" customHeight="1" x14ac:dyDescent="0.25">
      <c r="B201" s="20">
        <f t="shared" si="1"/>
        <v>197</v>
      </c>
      <c r="C201" s="21">
        <f t="shared" si="19"/>
        <v>203750</v>
      </c>
      <c r="D201" s="21">
        <f t="shared" si="17"/>
        <v>3195.2025515895243</v>
      </c>
      <c r="E201" s="21">
        <f t="shared" si="20"/>
        <v>1250</v>
      </c>
      <c r="F201" s="21">
        <f t="shared" si="18"/>
        <v>1945.2025515895243</v>
      </c>
      <c r="G201" s="21">
        <f t="shared" si="16"/>
        <v>0</v>
      </c>
    </row>
    <row r="202" spans="2:7" ht="16.8" customHeight="1" x14ac:dyDescent="0.25">
      <c r="B202" s="20">
        <f t="shared" si="1"/>
        <v>198</v>
      </c>
      <c r="C202" s="21">
        <f t="shared" si="19"/>
        <v>202500</v>
      </c>
      <c r="D202" s="21">
        <f t="shared" si="17"/>
        <v>3183.3415604212955</v>
      </c>
      <c r="E202" s="21">
        <f t="shared" si="20"/>
        <v>1250</v>
      </c>
      <c r="F202" s="21">
        <f t="shared" si="18"/>
        <v>1933.3415604212955</v>
      </c>
      <c r="G202" s="21">
        <f t="shared" si="16"/>
        <v>0</v>
      </c>
    </row>
    <row r="203" spans="2:7" ht="16.8" customHeight="1" x14ac:dyDescent="0.25">
      <c r="B203" s="20">
        <f t="shared" si="1"/>
        <v>199</v>
      </c>
      <c r="C203" s="21">
        <f t="shared" si="19"/>
        <v>201250</v>
      </c>
      <c r="D203" s="21">
        <f t="shared" si="17"/>
        <v>3171.4805692530667</v>
      </c>
      <c r="E203" s="21">
        <f t="shared" si="20"/>
        <v>1250</v>
      </c>
      <c r="F203" s="21">
        <f t="shared" si="18"/>
        <v>1921.4805692530667</v>
      </c>
      <c r="G203" s="21">
        <f t="shared" si="16"/>
        <v>0</v>
      </c>
    </row>
    <row r="204" spans="2:7" ht="16.8" customHeight="1" x14ac:dyDescent="0.25">
      <c r="B204" s="20">
        <f t="shared" si="1"/>
        <v>200</v>
      </c>
      <c r="C204" s="21">
        <f t="shared" si="19"/>
        <v>200000</v>
      </c>
      <c r="D204" s="21">
        <f t="shared" si="17"/>
        <v>3159.6195780848379</v>
      </c>
      <c r="E204" s="21">
        <f t="shared" si="20"/>
        <v>1250</v>
      </c>
      <c r="F204" s="21">
        <f t="shared" si="18"/>
        <v>1909.6195780848379</v>
      </c>
      <c r="G204" s="21">
        <f t="shared" si="16"/>
        <v>0</v>
      </c>
    </row>
    <row r="205" spans="2:7" ht="16.8" customHeight="1" x14ac:dyDescent="0.25">
      <c r="B205" s="20">
        <f t="shared" si="1"/>
        <v>201</v>
      </c>
      <c r="C205" s="21">
        <f t="shared" si="19"/>
        <v>198750</v>
      </c>
      <c r="D205" s="21">
        <f t="shared" si="17"/>
        <v>3147.7585869166091</v>
      </c>
      <c r="E205" s="21">
        <f t="shared" si="20"/>
        <v>1250</v>
      </c>
      <c r="F205" s="21">
        <f t="shared" si="18"/>
        <v>1897.7585869166091</v>
      </c>
      <c r="G205" s="21">
        <f t="shared" si="16"/>
        <v>0</v>
      </c>
    </row>
    <row r="206" spans="2:7" ht="16.8" customHeight="1" x14ac:dyDescent="0.25">
      <c r="B206" s="20">
        <f t="shared" si="1"/>
        <v>202</v>
      </c>
      <c r="C206" s="21">
        <f t="shared" si="19"/>
        <v>197500</v>
      </c>
      <c r="D206" s="21">
        <f t="shared" si="17"/>
        <v>3135.8975957483804</v>
      </c>
      <c r="E206" s="21">
        <f t="shared" si="20"/>
        <v>1250</v>
      </c>
      <c r="F206" s="21">
        <f t="shared" si="18"/>
        <v>1885.8975957483804</v>
      </c>
      <c r="G206" s="21">
        <f t="shared" si="16"/>
        <v>0</v>
      </c>
    </row>
    <row r="207" spans="2:7" ht="16.8" customHeight="1" x14ac:dyDescent="0.25">
      <c r="B207" s="20">
        <f t="shared" si="1"/>
        <v>203</v>
      </c>
      <c r="C207" s="21">
        <f t="shared" si="19"/>
        <v>196250</v>
      </c>
      <c r="D207" s="21">
        <f t="shared" si="17"/>
        <v>3124.0366045801516</v>
      </c>
      <c r="E207" s="21">
        <f t="shared" si="20"/>
        <v>1250</v>
      </c>
      <c r="F207" s="21">
        <f t="shared" si="18"/>
        <v>1874.0366045801516</v>
      </c>
      <c r="G207" s="21">
        <f t="shared" si="16"/>
        <v>0</v>
      </c>
    </row>
    <row r="208" spans="2:7" ht="16.8" customHeight="1" x14ac:dyDescent="0.25">
      <c r="B208" s="20">
        <f t="shared" si="1"/>
        <v>204</v>
      </c>
      <c r="C208" s="21">
        <f t="shared" si="19"/>
        <v>195000</v>
      </c>
      <c r="D208" s="21">
        <f t="shared" si="17"/>
        <v>3112.1756134119228</v>
      </c>
      <c r="E208" s="21">
        <f t="shared" si="20"/>
        <v>1250</v>
      </c>
      <c r="F208" s="21">
        <f t="shared" si="18"/>
        <v>1862.1756134119228</v>
      </c>
      <c r="G208" s="21">
        <f t="shared" si="16"/>
        <v>0</v>
      </c>
    </row>
    <row r="209" spans="2:7" ht="16.8" customHeight="1" x14ac:dyDescent="0.25">
      <c r="B209" s="20">
        <f t="shared" si="1"/>
        <v>205</v>
      </c>
      <c r="C209" s="21">
        <f t="shared" si="19"/>
        <v>193750</v>
      </c>
      <c r="D209" s="21">
        <f t="shared" si="17"/>
        <v>3100.314622243694</v>
      </c>
      <c r="E209" s="21">
        <f t="shared" si="20"/>
        <v>1250</v>
      </c>
      <c r="F209" s="21">
        <f t="shared" si="18"/>
        <v>1850.314622243694</v>
      </c>
      <c r="G209" s="21">
        <f t="shared" ref="G209:G272" si="21">IF(B209&gt;$J$11,0,G208)</f>
        <v>0</v>
      </c>
    </row>
    <row r="210" spans="2:7" ht="16.8" customHeight="1" x14ac:dyDescent="0.25">
      <c r="B210" s="20">
        <f t="shared" si="1"/>
        <v>206</v>
      </c>
      <c r="C210" s="21">
        <f t="shared" si="19"/>
        <v>192500</v>
      </c>
      <c r="D210" s="21">
        <f t="shared" si="17"/>
        <v>3088.4536310754652</v>
      </c>
      <c r="E210" s="21">
        <f t="shared" si="20"/>
        <v>1250</v>
      </c>
      <c r="F210" s="21">
        <f t="shared" si="18"/>
        <v>1838.4536310754652</v>
      </c>
      <c r="G210" s="21">
        <f t="shared" si="21"/>
        <v>0</v>
      </c>
    </row>
    <row r="211" spans="2:7" ht="16.8" customHeight="1" x14ac:dyDescent="0.25">
      <c r="B211" s="20">
        <f t="shared" si="1"/>
        <v>207</v>
      </c>
      <c r="C211" s="21">
        <f t="shared" si="19"/>
        <v>191250</v>
      </c>
      <c r="D211" s="21">
        <f t="shared" si="17"/>
        <v>3076.5926399072364</v>
      </c>
      <c r="E211" s="21">
        <f t="shared" si="20"/>
        <v>1250</v>
      </c>
      <c r="F211" s="21">
        <f t="shared" si="18"/>
        <v>1826.5926399072364</v>
      </c>
      <c r="G211" s="21">
        <f t="shared" si="21"/>
        <v>0</v>
      </c>
    </row>
    <row r="212" spans="2:7" ht="16.8" customHeight="1" x14ac:dyDescent="0.25">
      <c r="B212" s="20">
        <f t="shared" si="1"/>
        <v>208</v>
      </c>
      <c r="C212" s="21">
        <f t="shared" si="19"/>
        <v>190000</v>
      </c>
      <c r="D212" s="21">
        <f t="shared" si="17"/>
        <v>3064.7316487390076</v>
      </c>
      <c r="E212" s="21">
        <f t="shared" si="20"/>
        <v>1250</v>
      </c>
      <c r="F212" s="21">
        <f t="shared" si="18"/>
        <v>1814.7316487390076</v>
      </c>
      <c r="G212" s="21">
        <f t="shared" si="21"/>
        <v>0</v>
      </c>
    </row>
    <row r="213" spans="2:7" ht="16.8" customHeight="1" x14ac:dyDescent="0.25">
      <c r="B213" s="20">
        <f t="shared" si="1"/>
        <v>209</v>
      </c>
      <c r="C213" s="21">
        <f t="shared" si="19"/>
        <v>188750</v>
      </c>
      <c r="D213" s="21">
        <f t="shared" si="17"/>
        <v>3052.8706575707788</v>
      </c>
      <c r="E213" s="21">
        <f t="shared" si="20"/>
        <v>1250</v>
      </c>
      <c r="F213" s="21">
        <f t="shared" si="18"/>
        <v>1802.8706575707788</v>
      </c>
      <c r="G213" s="21">
        <f t="shared" si="21"/>
        <v>0</v>
      </c>
    </row>
    <row r="214" spans="2:7" ht="16.8" customHeight="1" x14ac:dyDescent="0.25">
      <c r="B214" s="20">
        <f t="shared" si="1"/>
        <v>210</v>
      </c>
      <c r="C214" s="21">
        <f t="shared" si="19"/>
        <v>187500</v>
      </c>
      <c r="D214" s="21">
        <f t="shared" si="17"/>
        <v>3041.0096664025496</v>
      </c>
      <c r="E214" s="21">
        <f t="shared" si="20"/>
        <v>1250</v>
      </c>
      <c r="F214" s="21">
        <f t="shared" si="18"/>
        <v>1791.0096664025498</v>
      </c>
      <c r="G214" s="21">
        <f t="shared" si="21"/>
        <v>0</v>
      </c>
    </row>
    <row r="215" spans="2:7" ht="16.8" customHeight="1" x14ac:dyDescent="0.25">
      <c r="B215" s="20">
        <f t="shared" si="1"/>
        <v>211</v>
      </c>
      <c r="C215" s="21">
        <f t="shared" si="19"/>
        <v>186250</v>
      </c>
      <c r="D215" s="21">
        <f t="shared" si="17"/>
        <v>3029.1486752343208</v>
      </c>
      <c r="E215" s="21">
        <f t="shared" si="20"/>
        <v>1250</v>
      </c>
      <c r="F215" s="21">
        <f t="shared" si="18"/>
        <v>1779.148675234321</v>
      </c>
      <c r="G215" s="21">
        <f t="shared" si="21"/>
        <v>0</v>
      </c>
    </row>
    <row r="216" spans="2:7" ht="16.8" customHeight="1" x14ac:dyDescent="0.25">
      <c r="B216" s="20">
        <f t="shared" si="1"/>
        <v>212</v>
      </c>
      <c r="C216" s="21">
        <f t="shared" si="19"/>
        <v>185000</v>
      </c>
      <c r="D216" s="21">
        <f t="shared" si="17"/>
        <v>3017.287684066092</v>
      </c>
      <c r="E216" s="21">
        <f t="shared" si="20"/>
        <v>1250</v>
      </c>
      <c r="F216" s="21">
        <f t="shared" si="18"/>
        <v>1767.2876840660922</v>
      </c>
      <c r="G216" s="21">
        <f t="shared" si="21"/>
        <v>0</v>
      </c>
    </row>
    <row r="217" spans="2:7" ht="16.8" customHeight="1" x14ac:dyDescent="0.25">
      <c r="B217" s="20">
        <f t="shared" si="1"/>
        <v>213</v>
      </c>
      <c r="C217" s="21">
        <f t="shared" si="19"/>
        <v>183750</v>
      </c>
      <c r="D217" s="21">
        <f t="shared" si="17"/>
        <v>3005.4266928978632</v>
      </c>
      <c r="E217" s="21">
        <f t="shared" si="20"/>
        <v>1250</v>
      </c>
      <c r="F217" s="21">
        <f t="shared" si="18"/>
        <v>1755.4266928978634</v>
      </c>
      <c r="G217" s="21">
        <f t="shared" si="21"/>
        <v>0</v>
      </c>
    </row>
    <row r="218" spans="2:7" ht="16.8" customHeight="1" x14ac:dyDescent="0.25">
      <c r="B218" s="20">
        <f t="shared" si="1"/>
        <v>214</v>
      </c>
      <c r="C218" s="21">
        <f t="shared" si="19"/>
        <v>182500</v>
      </c>
      <c r="D218" s="21">
        <f t="shared" si="17"/>
        <v>2993.5657017296344</v>
      </c>
      <c r="E218" s="21">
        <f t="shared" si="20"/>
        <v>1250</v>
      </c>
      <c r="F218" s="21">
        <f t="shared" si="18"/>
        <v>1743.5657017296346</v>
      </c>
      <c r="G218" s="21">
        <f t="shared" si="21"/>
        <v>0</v>
      </c>
    </row>
    <row r="219" spans="2:7" ht="16.8" customHeight="1" x14ac:dyDescent="0.25">
      <c r="B219" s="20">
        <f t="shared" si="1"/>
        <v>215</v>
      </c>
      <c r="C219" s="21">
        <f t="shared" si="19"/>
        <v>181250</v>
      </c>
      <c r="D219" s="21">
        <f t="shared" si="17"/>
        <v>2981.7047105614056</v>
      </c>
      <c r="E219" s="21">
        <f t="shared" si="20"/>
        <v>1250</v>
      </c>
      <c r="F219" s="21">
        <f t="shared" si="18"/>
        <v>1731.7047105614058</v>
      </c>
      <c r="G219" s="21">
        <f t="shared" si="21"/>
        <v>0</v>
      </c>
    </row>
    <row r="220" spans="2:7" ht="16.8" customHeight="1" x14ac:dyDescent="0.25">
      <c r="B220" s="20">
        <f t="shared" si="1"/>
        <v>216</v>
      </c>
      <c r="C220" s="21">
        <f t="shared" si="19"/>
        <v>180000</v>
      </c>
      <c r="D220" s="21">
        <f t="shared" si="17"/>
        <v>2969.8437193931768</v>
      </c>
      <c r="E220" s="21">
        <f t="shared" si="20"/>
        <v>1250</v>
      </c>
      <c r="F220" s="21">
        <f t="shared" si="18"/>
        <v>1719.843719393177</v>
      </c>
      <c r="G220" s="21">
        <f t="shared" si="21"/>
        <v>0</v>
      </c>
    </row>
    <row r="221" spans="2:7" ht="16.8" customHeight="1" x14ac:dyDescent="0.25">
      <c r="B221" s="20">
        <f t="shared" si="1"/>
        <v>217</v>
      </c>
      <c r="C221" s="21">
        <f t="shared" si="19"/>
        <v>178750</v>
      </c>
      <c r="D221" s="21">
        <f t="shared" si="17"/>
        <v>2957.982728224948</v>
      </c>
      <c r="E221" s="21">
        <f t="shared" si="20"/>
        <v>1250</v>
      </c>
      <c r="F221" s="21">
        <f t="shared" si="18"/>
        <v>1707.9827282249482</v>
      </c>
      <c r="G221" s="21">
        <f t="shared" si="21"/>
        <v>0</v>
      </c>
    </row>
    <row r="222" spans="2:7" ht="16.8" customHeight="1" x14ac:dyDescent="0.25">
      <c r="B222" s="20">
        <f t="shared" si="1"/>
        <v>218</v>
      </c>
      <c r="C222" s="21">
        <f t="shared" si="19"/>
        <v>177500</v>
      </c>
      <c r="D222" s="21">
        <f t="shared" si="17"/>
        <v>2946.1217370567192</v>
      </c>
      <c r="E222" s="21">
        <f t="shared" si="20"/>
        <v>1250</v>
      </c>
      <c r="F222" s="21">
        <f t="shared" si="18"/>
        <v>1696.1217370567194</v>
      </c>
      <c r="G222" s="21">
        <f t="shared" si="21"/>
        <v>0</v>
      </c>
    </row>
    <row r="223" spans="2:7" ht="16.8" customHeight="1" x14ac:dyDescent="0.25">
      <c r="B223" s="20">
        <f t="shared" si="1"/>
        <v>219</v>
      </c>
      <c r="C223" s="21">
        <f t="shared" si="19"/>
        <v>176250</v>
      </c>
      <c r="D223" s="21">
        <f t="shared" si="17"/>
        <v>2934.2607458884904</v>
      </c>
      <c r="E223" s="21">
        <f t="shared" si="20"/>
        <v>1250</v>
      </c>
      <c r="F223" s="21">
        <f t="shared" si="18"/>
        <v>1684.2607458884906</v>
      </c>
      <c r="G223" s="21">
        <f t="shared" si="21"/>
        <v>0</v>
      </c>
    </row>
    <row r="224" spans="2:7" ht="16.8" customHeight="1" x14ac:dyDescent="0.25">
      <c r="B224" s="20">
        <f t="shared" si="1"/>
        <v>220</v>
      </c>
      <c r="C224" s="21">
        <f t="shared" si="19"/>
        <v>175000</v>
      </c>
      <c r="D224" s="21">
        <f t="shared" si="17"/>
        <v>2922.3997547202616</v>
      </c>
      <c r="E224" s="21">
        <f t="shared" si="20"/>
        <v>1250</v>
      </c>
      <c r="F224" s="21">
        <f t="shared" si="18"/>
        <v>1672.3997547202619</v>
      </c>
      <c r="G224" s="21">
        <f t="shared" si="21"/>
        <v>0</v>
      </c>
    </row>
    <row r="225" spans="2:7" ht="16.8" customHeight="1" x14ac:dyDescent="0.25">
      <c r="B225" s="20">
        <f t="shared" si="1"/>
        <v>221</v>
      </c>
      <c r="C225" s="21">
        <f t="shared" si="19"/>
        <v>173750</v>
      </c>
      <c r="D225" s="21">
        <f t="shared" si="17"/>
        <v>2910.5387635520328</v>
      </c>
      <c r="E225" s="21">
        <f t="shared" si="20"/>
        <v>1250</v>
      </c>
      <c r="F225" s="21">
        <f t="shared" si="18"/>
        <v>1660.5387635520331</v>
      </c>
      <c r="G225" s="21">
        <f t="shared" si="21"/>
        <v>0</v>
      </c>
    </row>
    <row r="226" spans="2:7" ht="16.8" customHeight="1" x14ac:dyDescent="0.25">
      <c r="B226" s="20">
        <f t="shared" si="1"/>
        <v>222</v>
      </c>
      <c r="C226" s="21">
        <f t="shared" si="19"/>
        <v>172500</v>
      </c>
      <c r="D226" s="21">
        <f t="shared" si="17"/>
        <v>2898.677772383804</v>
      </c>
      <c r="E226" s="21">
        <f t="shared" si="20"/>
        <v>1250</v>
      </c>
      <c r="F226" s="21">
        <f t="shared" si="18"/>
        <v>1648.6777723838043</v>
      </c>
      <c r="G226" s="21">
        <f t="shared" si="21"/>
        <v>0</v>
      </c>
    </row>
    <row r="227" spans="2:7" ht="16.8" customHeight="1" x14ac:dyDescent="0.25">
      <c r="B227" s="20">
        <f t="shared" si="1"/>
        <v>223</v>
      </c>
      <c r="C227" s="21">
        <f t="shared" si="19"/>
        <v>171250</v>
      </c>
      <c r="D227" s="21">
        <f t="shared" si="17"/>
        <v>2886.8167812155752</v>
      </c>
      <c r="E227" s="21">
        <f t="shared" si="20"/>
        <v>1250</v>
      </c>
      <c r="F227" s="21">
        <f t="shared" si="18"/>
        <v>1636.8167812155755</v>
      </c>
      <c r="G227" s="21">
        <f t="shared" si="21"/>
        <v>0</v>
      </c>
    </row>
    <row r="228" spans="2:7" ht="16.8" customHeight="1" x14ac:dyDescent="0.25">
      <c r="B228" s="20">
        <f t="shared" si="1"/>
        <v>224</v>
      </c>
      <c r="C228" s="21">
        <f t="shared" si="19"/>
        <v>170000</v>
      </c>
      <c r="D228" s="21">
        <f t="shared" si="17"/>
        <v>2874.9557900473465</v>
      </c>
      <c r="E228" s="21">
        <f t="shared" si="20"/>
        <v>1250</v>
      </c>
      <c r="F228" s="21">
        <f t="shared" si="18"/>
        <v>1624.9557900473467</v>
      </c>
      <c r="G228" s="21">
        <f t="shared" si="21"/>
        <v>0</v>
      </c>
    </row>
    <row r="229" spans="2:7" ht="16.8" customHeight="1" x14ac:dyDescent="0.25">
      <c r="B229" s="20">
        <f t="shared" si="1"/>
        <v>225</v>
      </c>
      <c r="C229" s="21">
        <f t="shared" si="19"/>
        <v>168750</v>
      </c>
      <c r="D229" s="21">
        <f t="shared" si="17"/>
        <v>2863.0947988791177</v>
      </c>
      <c r="E229" s="21">
        <f t="shared" si="20"/>
        <v>1250</v>
      </c>
      <c r="F229" s="21">
        <f t="shared" si="18"/>
        <v>1613.0947988791177</v>
      </c>
      <c r="G229" s="21">
        <f t="shared" si="21"/>
        <v>0</v>
      </c>
    </row>
    <row r="230" spans="2:7" ht="16.8" customHeight="1" x14ac:dyDescent="0.25">
      <c r="B230" s="20">
        <f t="shared" si="1"/>
        <v>226</v>
      </c>
      <c r="C230" s="21">
        <f t="shared" si="19"/>
        <v>167500</v>
      </c>
      <c r="D230" s="21">
        <f t="shared" si="17"/>
        <v>2851.2338077108889</v>
      </c>
      <c r="E230" s="21">
        <f t="shared" si="20"/>
        <v>1250</v>
      </c>
      <c r="F230" s="21">
        <f t="shared" si="18"/>
        <v>1601.2338077108889</v>
      </c>
      <c r="G230" s="21">
        <f t="shared" si="21"/>
        <v>0</v>
      </c>
    </row>
    <row r="231" spans="2:7" ht="16.8" customHeight="1" x14ac:dyDescent="0.25">
      <c r="B231" s="20">
        <f t="shared" si="1"/>
        <v>227</v>
      </c>
      <c r="C231" s="21">
        <f t="shared" si="19"/>
        <v>166250</v>
      </c>
      <c r="D231" s="21">
        <f t="shared" si="17"/>
        <v>2839.3728165426601</v>
      </c>
      <c r="E231" s="21">
        <f t="shared" si="20"/>
        <v>1250</v>
      </c>
      <c r="F231" s="21">
        <f t="shared" si="18"/>
        <v>1589.3728165426601</v>
      </c>
      <c r="G231" s="21">
        <f t="shared" si="21"/>
        <v>0</v>
      </c>
    </row>
    <row r="232" spans="2:7" ht="16.8" customHeight="1" x14ac:dyDescent="0.25">
      <c r="B232" s="20">
        <f t="shared" si="1"/>
        <v>228</v>
      </c>
      <c r="C232" s="21">
        <f t="shared" si="19"/>
        <v>165000</v>
      </c>
      <c r="D232" s="21">
        <f t="shared" si="17"/>
        <v>2827.5118253744313</v>
      </c>
      <c r="E232" s="21">
        <f t="shared" si="20"/>
        <v>1250</v>
      </c>
      <c r="F232" s="21">
        <f t="shared" si="18"/>
        <v>1577.5118253744313</v>
      </c>
      <c r="G232" s="21">
        <f t="shared" si="21"/>
        <v>0</v>
      </c>
    </row>
    <row r="233" spans="2:7" ht="16.8" customHeight="1" x14ac:dyDescent="0.25">
      <c r="B233" s="20">
        <f t="shared" si="1"/>
        <v>229</v>
      </c>
      <c r="C233" s="21">
        <f t="shared" si="19"/>
        <v>163750</v>
      </c>
      <c r="D233" s="21">
        <f t="shared" si="17"/>
        <v>2815.6508342062025</v>
      </c>
      <c r="E233" s="21">
        <f t="shared" si="20"/>
        <v>1250</v>
      </c>
      <c r="F233" s="21">
        <f t="shared" si="18"/>
        <v>1565.6508342062025</v>
      </c>
      <c r="G233" s="21">
        <f t="shared" si="21"/>
        <v>0</v>
      </c>
    </row>
    <row r="234" spans="2:7" ht="16.8" customHeight="1" x14ac:dyDescent="0.25">
      <c r="B234" s="20">
        <f t="shared" si="1"/>
        <v>230</v>
      </c>
      <c r="C234" s="21">
        <f t="shared" si="19"/>
        <v>162500</v>
      </c>
      <c r="D234" s="21">
        <f t="shared" si="17"/>
        <v>2803.7898430379737</v>
      </c>
      <c r="E234" s="21">
        <f t="shared" si="20"/>
        <v>1250</v>
      </c>
      <c r="F234" s="21">
        <f t="shared" si="18"/>
        <v>1553.7898430379737</v>
      </c>
      <c r="G234" s="21">
        <f t="shared" si="21"/>
        <v>0</v>
      </c>
    </row>
    <row r="235" spans="2:7" ht="16.8" customHeight="1" x14ac:dyDescent="0.25">
      <c r="B235" s="20">
        <f t="shared" si="1"/>
        <v>231</v>
      </c>
      <c r="C235" s="21">
        <f t="shared" si="19"/>
        <v>161250</v>
      </c>
      <c r="D235" s="21">
        <f t="shared" si="17"/>
        <v>2791.9288518697449</v>
      </c>
      <c r="E235" s="21">
        <f t="shared" si="20"/>
        <v>1250</v>
      </c>
      <c r="F235" s="21">
        <f t="shared" si="18"/>
        <v>1541.9288518697449</v>
      </c>
      <c r="G235" s="21">
        <f t="shared" si="21"/>
        <v>0</v>
      </c>
    </row>
    <row r="236" spans="2:7" ht="16.8" customHeight="1" x14ac:dyDescent="0.25">
      <c r="B236" s="20">
        <f t="shared" si="1"/>
        <v>232</v>
      </c>
      <c r="C236" s="21">
        <f t="shared" si="19"/>
        <v>160000</v>
      </c>
      <c r="D236" s="21">
        <f t="shared" si="17"/>
        <v>2780.0678607015161</v>
      </c>
      <c r="E236" s="21">
        <f t="shared" si="20"/>
        <v>1250</v>
      </c>
      <c r="F236" s="21">
        <f t="shared" si="18"/>
        <v>1530.0678607015161</v>
      </c>
      <c r="G236" s="21">
        <f t="shared" si="21"/>
        <v>0</v>
      </c>
    </row>
    <row r="237" spans="2:7" ht="16.8" customHeight="1" x14ac:dyDescent="0.25">
      <c r="B237" s="20">
        <f t="shared" si="1"/>
        <v>233</v>
      </c>
      <c r="C237" s="21">
        <f t="shared" si="19"/>
        <v>158750</v>
      </c>
      <c r="D237" s="21">
        <f t="shared" si="17"/>
        <v>2768.2068695332873</v>
      </c>
      <c r="E237" s="21">
        <f t="shared" si="20"/>
        <v>1250</v>
      </c>
      <c r="F237" s="21">
        <f t="shared" si="18"/>
        <v>1518.2068695332873</v>
      </c>
      <c r="G237" s="21">
        <f t="shared" si="21"/>
        <v>0</v>
      </c>
    </row>
    <row r="238" spans="2:7" ht="16.8" customHeight="1" x14ac:dyDescent="0.25">
      <c r="B238" s="20">
        <f t="shared" si="1"/>
        <v>234</v>
      </c>
      <c r="C238" s="21">
        <f t="shared" si="19"/>
        <v>157500</v>
      </c>
      <c r="D238" s="21">
        <f t="shared" si="17"/>
        <v>2756.3458783650585</v>
      </c>
      <c r="E238" s="21">
        <f t="shared" si="20"/>
        <v>1250</v>
      </c>
      <c r="F238" s="21">
        <f t="shared" si="18"/>
        <v>1506.3458783650585</v>
      </c>
      <c r="G238" s="21">
        <f t="shared" si="21"/>
        <v>0</v>
      </c>
    </row>
    <row r="239" spans="2:7" ht="16.8" customHeight="1" x14ac:dyDescent="0.25">
      <c r="B239" s="20">
        <f t="shared" si="1"/>
        <v>235</v>
      </c>
      <c r="C239" s="21">
        <f t="shared" si="19"/>
        <v>156250</v>
      </c>
      <c r="D239" s="21">
        <f t="shared" si="17"/>
        <v>2744.4848871968297</v>
      </c>
      <c r="E239" s="21">
        <f t="shared" si="20"/>
        <v>1250</v>
      </c>
      <c r="F239" s="21">
        <f t="shared" si="18"/>
        <v>1494.4848871968297</v>
      </c>
      <c r="G239" s="21">
        <f t="shared" si="21"/>
        <v>0</v>
      </c>
    </row>
    <row r="240" spans="2:7" ht="16.8" customHeight="1" x14ac:dyDescent="0.25">
      <c r="B240" s="20">
        <f t="shared" si="1"/>
        <v>236</v>
      </c>
      <c r="C240" s="21">
        <f t="shared" si="19"/>
        <v>155000</v>
      </c>
      <c r="D240" s="21">
        <f t="shared" si="17"/>
        <v>2732.6238960286009</v>
      </c>
      <c r="E240" s="21">
        <f t="shared" si="20"/>
        <v>1250</v>
      </c>
      <c r="F240" s="21">
        <f t="shared" si="18"/>
        <v>1482.6238960286009</v>
      </c>
      <c r="G240" s="21">
        <f t="shared" si="21"/>
        <v>0</v>
      </c>
    </row>
    <row r="241" spans="2:7" ht="16.8" customHeight="1" x14ac:dyDescent="0.25">
      <c r="B241" s="20">
        <f t="shared" si="1"/>
        <v>237</v>
      </c>
      <c r="C241" s="21">
        <f t="shared" si="19"/>
        <v>153750</v>
      </c>
      <c r="D241" s="21">
        <f t="shared" si="17"/>
        <v>2720.7629048603721</v>
      </c>
      <c r="E241" s="21">
        <f t="shared" si="20"/>
        <v>1250</v>
      </c>
      <c r="F241" s="21">
        <f t="shared" si="18"/>
        <v>1470.7629048603721</v>
      </c>
      <c r="G241" s="21">
        <f t="shared" si="21"/>
        <v>0</v>
      </c>
    </row>
    <row r="242" spans="2:7" ht="16.8" customHeight="1" x14ac:dyDescent="0.25">
      <c r="B242" s="20">
        <f t="shared" si="1"/>
        <v>238</v>
      </c>
      <c r="C242" s="21">
        <f t="shared" si="19"/>
        <v>152500</v>
      </c>
      <c r="D242" s="21">
        <f t="shared" si="17"/>
        <v>2708.9019136921434</v>
      </c>
      <c r="E242" s="21">
        <f t="shared" si="20"/>
        <v>1250</v>
      </c>
      <c r="F242" s="21">
        <f t="shared" si="18"/>
        <v>1458.9019136921434</v>
      </c>
      <c r="G242" s="21">
        <f t="shared" si="21"/>
        <v>0</v>
      </c>
    </row>
    <row r="243" spans="2:7" ht="16.8" customHeight="1" x14ac:dyDescent="0.25">
      <c r="B243" s="20">
        <f t="shared" si="1"/>
        <v>239</v>
      </c>
      <c r="C243" s="21">
        <f t="shared" si="19"/>
        <v>151250</v>
      </c>
      <c r="D243" s="21">
        <f t="shared" si="17"/>
        <v>2697.0409225239146</v>
      </c>
      <c r="E243" s="21">
        <f t="shared" si="20"/>
        <v>1250</v>
      </c>
      <c r="F243" s="21">
        <f t="shared" si="18"/>
        <v>1447.0409225239146</v>
      </c>
      <c r="G243" s="21">
        <f t="shared" si="21"/>
        <v>0</v>
      </c>
    </row>
    <row r="244" spans="2:7" ht="16.8" customHeight="1" x14ac:dyDescent="0.25">
      <c r="B244" s="20">
        <f t="shared" si="1"/>
        <v>240</v>
      </c>
      <c r="C244" s="21">
        <f t="shared" si="19"/>
        <v>150000</v>
      </c>
      <c r="D244" s="21">
        <f t="shared" si="17"/>
        <v>2685.1799313556858</v>
      </c>
      <c r="E244" s="21">
        <f t="shared" si="20"/>
        <v>1250</v>
      </c>
      <c r="F244" s="21">
        <f t="shared" si="18"/>
        <v>1435.1799313556858</v>
      </c>
      <c r="G244" s="21">
        <f t="shared" si="21"/>
        <v>0</v>
      </c>
    </row>
    <row r="245" spans="2:7" ht="16.8" customHeight="1" x14ac:dyDescent="0.25">
      <c r="B245" s="20">
        <f t="shared" si="1"/>
        <v>241</v>
      </c>
      <c r="C245" s="21">
        <f t="shared" si="19"/>
        <v>148750</v>
      </c>
      <c r="D245" s="21">
        <f t="shared" si="17"/>
        <v>2673.318940187457</v>
      </c>
      <c r="E245" s="21">
        <f t="shared" si="20"/>
        <v>1250</v>
      </c>
      <c r="F245" s="21">
        <f t="shared" si="18"/>
        <v>1423.318940187457</v>
      </c>
      <c r="G245" s="21">
        <f t="shared" si="21"/>
        <v>0</v>
      </c>
    </row>
    <row r="246" spans="2:7" ht="16.8" customHeight="1" x14ac:dyDescent="0.25">
      <c r="B246" s="20">
        <f t="shared" si="1"/>
        <v>242</v>
      </c>
      <c r="C246" s="21">
        <f t="shared" si="19"/>
        <v>147500</v>
      </c>
      <c r="D246" s="21">
        <f t="shared" si="17"/>
        <v>2661.4579490192282</v>
      </c>
      <c r="E246" s="21">
        <f t="shared" si="20"/>
        <v>1250</v>
      </c>
      <c r="F246" s="21">
        <f t="shared" si="18"/>
        <v>1411.457949019228</v>
      </c>
      <c r="G246" s="21">
        <f t="shared" si="21"/>
        <v>0</v>
      </c>
    </row>
    <row r="247" spans="2:7" ht="16.8" customHeight="1" x14ac:dyDescent="0.25">
      <c r="B247" s="20">
        <f t="shared" si="1"/>
        <v>243</v>
      </c>
      <c r="C247" s="21">
        <f t="shared" si="19"/>
        <v>146250</v>
      </c>
      <c r="D247" s="21">
        <f t="shared" si="17"/>
        <v>2649.5969578509994</v>
      </c>
      <c r="E247" s="21">
        <f t="shared" si="20"/>
        <v>1250</v>
      </c>
      <c r="F247" s="21">
        <f t="shared" si="18"/>
        <v>1399.5969578509992</v>
      </c>
      <c r="G247" s="21">
        <f t="shared" si="21"/>
        <v>0</v>
      </c>
    </row>
    <row r="248" spans="2:7" ht="16.8" customHeight="1" x14ac:dyDescent="0.25">
      <c r="B248" s="20">
        <f t="shared" si="1"/>
        <v>244</v>
      </c>
      <c r="C248" s="21">
        <f t="shared" si="19"/>
        <v>145000</v>
      </c>
      <c r="D248" s="21">
        <f t="shared" si="17"/>
        <v>2637.7359666827706</v>
      </c>
      <c r="E248" s="21">
        <f t="shared" si="20"/>
        <v>1250</v>
      </c>
      <c r="F248" s="21">
        <f t="shared" si="18"/>
        <v>1387.7359666827704</v>
      </c>
      <c r="G248" s="21">
        <f t="shared" si="21"/>
        <v>0</v>
      </c>
    </row>
    <row r="249" spans="2:7" ht="16.8" customHeight="1" x14ac:dyDescent="0.25">
      <c r="B249" s="20">
        <f t="shared" si="1"/>
        <v>245</v>
      </c>
      <c r="C249" s="21">
        <f t="shared" si="19"/>
        <v>143750</v>
      </c>
      <c r="D249" s="21">
        <f t="shared" si="17"/>
        <v>2625.8749755145418</v>
      </c>
      <c r="E249" s="21">
        <f t="shared" si="20"/>
        <v>1250</v>
      </c>
      <c r="F249" s="21">
        <f t="shared" si="18"/>
        <v>1375.8749755145416</v>
      </c>
      <c r="G249" s="21">
        <f t="shared" si="21"/>
        <v>0</v>
      </c>
    </row>
    <row r="250" spans="2:7" ht="16.8" customHeight="1" x14ac:dyDescent="0.25">
      <c r="B250" s="20">
        <f t="shared" si="1"/>
        <v>246</v>
      </c>
      <c r="C250" s="21">
        <f t="shared" si="19"/>
        <v>142500</v>
      </c>
      <c r="D250" s="21">
        <f t="shared" si="17"/>
        <v>2614.013984346313</v>
      </c>
      <c r="E250" s="21">
        <f t="shared" si="20"/>
        <v>1250</v>
      </c>
      <c r="F250" s="21">
        <f t="shared" si="18"/>
        <v>1364.0139843463128</v>
      </c>
      <c r="G250" s="21">
        <f t="shared" si="21"/>
        <v>0</v>
      </c>
    </row>
    <row r="251" spans="2:7" ht="16.8" customHeight="1" x14ac:dyDescent="0.25">
      <c r="B251" s="20">
        <f t="shared" si="1"/>
        <v>247</v>
      </c>
      <c r="C251" s="21">
        <f t="shared" si="19"/>
        <v>141250</v>
      </c>
      <c r="D251" s="21">
        <f t="shared" si="17"/>
        <v>2602.1529931780842</v>
      </c>
      <c r="E251" s="21">
        <f t="shared" si="20"/>
        <v>1250</v>
      </c>
      <c r="F251" s="21">
        <f t="shared" si="18"/>
        <v>1352.152993178084</v>
      </c>
      <c r="G251" s="21">
        <f t="shared" si="21"/>
        <v>0</v>
      </c>
    </row>
    <row r="252" spans="2:7" ht="16.8" customHeight="1" x14ac:dyDescent="0.25">
      <c r="B252" s="20">
        <f t="shared" si="1"/>
        <v>248</v>
      </c>
      <c r="C252" s="21">
        <f t="shared" si="19"/>
        <v>140000</v>
      </c>
      <c r="D252" s="21">
        <f t="shared" si="17"/>
        <v>2590.2920020098554</v>
      </c>
      <c r="E252" s="21">
        <f t="shared" si="20"/>
        <v>1250</v>
      </c>
      <c r="F252" s="21">
        <f t="shared" si="18"/>
        <v>1340.2920020098552</v>
      </c>
      <c r="G252" s="21">
        <f t="shared" si="21"/>
        <v>0</v>
      </c>
    </row>
    <row r="253" spans="2:7" ht="16.8" customHeight="1" x14ac:dyDescent="0.25">
      <c r="B253" s="20">
        <f t="shared" si="1"/>
        <v>249</v>
      </c>
      <c r="C253" s="21">
        <f t="shared" si="19"/>
        <v>138750</v>
      </c>
      <c r="D253" s="21">
        <f t="shared" si="17"/>
        <v>2578.4310108416266</v>
      </c>
      <c r="E253" s="21">
        <f t="shared" si="20"/>
        <v>1250</v>
      </c>
      <c r="F253" s="21">
        <f t="shared" si="18"/>
        <v>1328.4310108416264</v>
      </c>
      <c r="G253" s="21">
        <f t="shared" si="21"/>
        <v>0</v>
      </c>
    </row>
    <row r="254" spans="2:7" ht="16.8" customHeight="1" x14ac:dyDescent="0.25">
      <c r="B254" s="20">
        <f t="shared" si="1"/>
        <v>250</v>
      </c>
      <c r="C254" s="21">
        <f t="shared" si="19"/>
        <v>137500</v>
      </c>
      <c r="D254" s="21">
        <f t="shared" si="17"/>
        <v>2566.5700196733978</v>
      </c>
      <c r="E254" s="21">
        <f t="shared" si="20"/>
        <v>1250</v>
      </c>
      <c r="F254" s="21">
        <f t="shared" si="18"/>
        <v>1316.5700196733976</v>
      </c>
      <c r="G254" s="21">
        <f t="shared" si="21"/>
        <v>0</v>
      </c>
    </row>
    <row r="255" spans="2:7" ht="16.8" customHeight="1" x14ac:dyDescent="0.25">
      <c r="B255" s="20">
        <f t="shared" si="1"/>
        <v>251</v>
      </c>
      <c r="C255" s="21">
        <f t="shared" si="19"/>
        <v>136250</v>
      </c>
      <c r="D255" s="21">
        <f t="shared" si="17"/>
        <v>2554.709028505169</v>
      </c>
      <c r="E255" s="21">
        <f t="shared" si="20"/>
        <v>1250</v>
      </c>
      <c r="F255" s="21">
        <f t="shared" si="18"/>
        <v>1304.7090285051688</v>
      </c>
      <c r="G255" s="21">
        <f t="shared" si="21"/>
        <v>0</v>
      </c>
    </row>
    <row r="256" spans="2:7" ht="16.8" customHeight="1" x14ac:dyDescent="0.25">
      <c r="B256" s="20">
        <f t="shared" si="1"/>
        <v>252</v>
      </c>
      <c r="C256" s="21">
        <f t="shared" si="19"/>
        <v>135000</v>
      </c>
      <c r="D256" s="21">
        <f t="shared" si="17"/>
        <v>2542.8480373369403</v>
      </c>
      <c r="E256" s="21">
        <f t="shared" si="20"/>
        <v>1250</v>
      </c>
      <c r="F256" s="21">
        <f t="shared" si="18"/>
        <v>1292.84803733694</v>
      </c>
      <c r="G256" s="21">
        <f t="shared" si="21"/>
        <v>0</v>
      </c>
    </row>
    <row r="257" spans="2:7" ht="16.8" customHeight="1" x14ac:dyDescent="0.25">
      <c r="B257" s="20">
        <f t="shared" si="1"/>
        <v>253</v>
      </c>
      <c r="C257" s="21">
        <f t="shared" si="19"/>
        <v>133750</v>
      </c>
      <c r="D257" s="21">
        <f t="shared" si="17"/>
        <v>2530.9870461687115</v>
      </c>
      <c r="E257" s="21">
        <f t="shared" si="20"/>
        <v>1250</v>
      </c>
      <c r="F257" s="21">
        <f t="shared" si="18"/>
        <v>1280.9870461687112</v>
      </c>
      <c r="G257" s="21">
        <f t="shared" si="21"/>
        <v>0</v>
      </c>
    </row>
    <row r="258" spans="2:7" ht="16.8" customHeight="1" x14ac:dyDescent="0.25">
      <c r="B258" s="20">
        <f t="shared" si="1"/>
        <v>254</v>
      </c>
      <c r="C258" s="21">
        <f t="shared" si="19"/>
        <v>132500</v>
      </c>
      <c r="D258" s="21">
        <f t="shared" si="17"/>
        <v>2519.1260550004827</v>
      </c>
      <c r="E258" s="21">
        <f t="shared" si="20"/>
        <v>1250</v>
      </c>
      <c r="F258" s="21">
        <f t="shared" si="18"/>
        <v>1269.1260550004824</v>
      </c>
      <c r="G258" s="21">
        <f t="shared" si="21"/>
        <v>0</v>
      </c>
    </row>
    <row r="259" spans="2:7" ht="16.8" customHeight="1" x14ac:dyDescent="0.25">
      <c r="B259" s="20">
        <f t="shared" si="1"/>
        <v>255</v>
      </c>
      <c r="C259" s="21">
        <f t="shared" si="19"/>
        <v>131250</v>
      </c>
      <c r="D259" s="21">
        <f t="shared" si="17"/>
        <v>2507.2650638322539</v>
      </c>
      <c r="E259" s="21">
        <f t="shared" si="20"/>
        <v>1250</v>
      </c>
      <c r="F259" s="21">
        <f t="shared" si="18"/>
        <v>1257.2650638322536</v>
      </c>
      <c r="G259" s="21">
        <f t="shared" si="21"/>
        <v>0</v>
      </c>
    </row>
    <row r="260" spans="2:7" ht="16.8" customHeight="1" x14ac:dyDescent="0.25">
      <c r="B260" s="20">
        <f t="shared" si="1"/>
        <v>256</v>
      </c>
      <c r="C260" s="21">
        <f t="shared" si="19"/>
        <v>130000</v>
      </c>
      <c r="D260" s="21">
        <f t="shared" si="17"/>
        <v>2495.4040726640251</v>
      </c>
      <c r="E260" s="21">
        <f t="shared" si="20"/>
        <v>1250</v>
      </c>
      <c r="F260" s="21">
        <f t="shared" si="18"/>
        <v>1245.4040726640249</v>
      </c>
      <c r="G260" s="21">
        <f t="shared" si="21"/>
        <v>0</v>
      </c>
    </row>
    <row r="261" spans="2:7" ht="16.8" customHeight="1" x14ac:dyDescent="0.25">
      <c r="B261" s="20">
        <f t="shared" ref="B261:B424" si="22">+B260+1</f>
        <v>257</v>
      </c>
      <c r="C261" s="21">
        <f t="shared" si="19"/>
        <v>128750</v>
      </c>
      <c r="D261" s="21">
        <f t="shared" si="17"/>
        <v>2483.5430814957958</v>
      </c>
      <c r="E261" s="21">
        <f t="shared" si="20"/>
        <v>1250</v>
      </c>
      <c r="F261" s="21">
        <f t="shared" si="18"/>
        <v>1233.5430814957958</v>
      </c>
      <c r="G261" s="21">
        <f t="shared" si="21"/>
        <v>0</v>
      </c>
    </row>
    <row r="262" spans="2:7" ht="16.8" customHeight="1" x14ac:dyDescent="0.25">
      <c r="B262" s="20">
        <f t="shared" si="22"/>
        <v>258</v>
      </c>
      <c r="C262" s="21">
        <f t="shared" si="19"/>
        <v>127500</v>
      </c>
      <c r="D262" s="21">
        <f t="shared" ref="D262:D325" si="23">E262+F262+G262</f>
        <v>2471.682090327567</v>
      </c>
      <c r="E262" s="21">
        <f t="shared" si="20"/>
        <v>1250</v>
      </c>
      <c r="F262" s="21">
        <f t="shared" ref="F262:F325" si="24">+C261*$J$10</f>
        <v>1221.682090327567</v>
      </c>
      <c r="G262" s="21">
        <f t="shared" si="21"/>
        <v>0</v>
      </c>
    </row>
    <row r="263" spans="2:7" ht="16.8" customHeight="1" x14ac:dyDescent="0.25">
      <c r="B263" s="20">
        <f t="shared" si="22"/>
        <v>259</v>
      </c>
      <c r="C263" s="21">
        <f t="shared" ref="C263:C326" si="25">IFERROR(C262-E263,0)-H263</f>
        <v>126250</v>
      </c>
      <c r="D263" s="21">
        <f t="shared" si="23"/>
        <v>2459.8210991593382</v>
      </c>
      <c r="E263" s="21">
        <f t="shared" ref="E263:E326" si="26">IF(B263&gt;$J$11,0,E262)</f>
        <v>1250</v>
      </c>
      <c r="F263" s="21">
        <f t="shared" si="24"/>
        <v>1209.8210991593382</v>
      </c>
      <c r="G263" s="21">
        <f t="shared" si="21"/>
        <v>0</v>
      </c>
    </row>
    <row r="264" spans="2:7" ht="16.8" customHeight="1" x14ac:dyDescent="0.25">
      <c r="B264" s="20">
        <f t="shared" si="22"/>
        <v>260</v>
      </c>
      <c r="C264" s="21">
        <f t="shared" si="25"/>
        <v>125000</v>
      </c>
      <c r="D264" s="21">
        <f t="shared" si="23"/>
        <v>2447.9601079911095</v>
      </c>
      <c r="E264" s="21">
        <f t="shared" si="26"/>
        <v>1250</v>
      </c>
      <c r="F264" s="21">
        <f t="shared" si="24"/>
        <v>1197.9601079911095</v>
      </c>
      <c r="G264" s="21">
        <f t="shared" si="21"/>
        <v>0</v>
      </c>
    </row>
    <row r="265" spans="2:7" ht="16.8" customHeight="1" x14ac:dyDescent="0.25">
      <c r="B265" s="20">
        <f t="shared" si="22"/>
        <v>261</v>
      </c>
      <c r="C265" s="21">
        <f t="shared" si="25"/>
        <v>123750</v>
      </c>
      <c r="D265" s="21">
        <f t="shared" si="23"/>
        <v>2436.0991168228807</v>
      </c>
      <c r="E265" s="21">
        <f t="shared" si="26"/>
        <v>1250</v>
      </c>
      <c r="F265" s="21">
        <f t="shared" si="24"/>
        <v>1186.0991168228807</v>
      </c>
      <c r="G265" s="21">
        <f t="shared" si="21"/>
        <v>0</v>
      </c>
    </row>
    <row r="266" spans="2:7" ht="16.8" customHeight="1" x14ac:dyDescent="0.25">
      <c r="B266" s="20">
        <f t="shared" si="22"/>
        <v>262</v>
      </c>
      <c r="C266" s="21">
        <f t="shared" si="25"/>
        <v>122500</v>
      </c>
      <c r="D266" s="21">
        <f t="shared" si="23"/>
        <v>2424.2381256546519</v>
      </c>
      <c r="E266" s="21">
        <f t="shared" si="26"/>
        <v>1250</v>
      </c>
      <c r="F266" s="21">
        <f t="shared" si="24"/>
        <v>1174.2381256546519</v>
      </c>
      <c r="G266" s="21">
        <f t="shared" si="21"/>
        <v>0</v>
      </c>
    </row>
    <row r="267" spans="2:7" ht="16.8" customHeight="1" x14ac:dyDescent="0.25">
      <c r="B267" s="20">
        <f t="shared" si="22"/>
        <v>263</v>
      </c>
      <c r="C267" s="21">
        <f t="shared" si="25"/>
        <v>121250</v>
      </c>
      <c r="D267" s="21">
        <f t="shared" si="23"/>
        <v>2412.3771344864231</v>
      </c>
      <c r="E267" s="21">
        <f t="shared" si="26"/>
        <v>1250</v>
      </c>
      <c r="F267" s="21">
        <f t="shared" si="24"/>
        <v>1162.3771344864231</v>
      </c>
      <c r="G267" s="21">
        <f t="shared" si="21"/>
        <v>0</v>
      </c>
    </row>
    <row r="268" spans="2:7" ht="16.8" customHeight="1" x14ac:dyDescent="0.25">
      <c r="B268" s="20">
        <f t="shared" si="22"/>
        <v>264</v>
      </c>
      <c r="C268" s="21">
        <f t="shared" si="25"/>
        <v>120000</v>
      </c>
      <c r="D268" s="21">
        <f t="shared" si="23"/>
        <v>2400.5161433181943</v>
      </c>
      <c r="E268" s="21">
        <f t="shared" si="26"/>
        <v>1250</v>
      </c>
      <c r="F268" s="21">
        <f t="shared" si="24"/>
        <v>1150.5161433181943</v>
      </c>
      <c r="G268" s="21">
        <f t="shared" si="21"/>
        <v>0</v>
      </c>
    </row>
    <row r="269" spans="2:7" ht="16.8" customHeight="1" x14ac:dyDescent="0.25">
      <c r="B269" s="20">
        <f t="shared" si="22"/>
        <v>265</v>
      </c>
      <c r="C269" s="21">
        <f t="shared" si="25"/>
        <v>118750</v>
      </c>
      <c r="D269" s="21">
        <f t="shared" si="23"/>
        <v>2388.6551521499655</v>
      </c>
      <c r="E269" s="21">
        <f t="shared" si="26"/>
        <v>1250</v>
      </c>
      <c r="F269" s="21">
        <f t="shared" si="24"/>
        <v>1138.6551521499655</v>
      </c>
      <c r="G269" s="21">
        <f t="shared" si="21"/>
        <v>0</v>
      </c>
    </row>
    <row r="270" spans="2:7" ht="16.8" customHeight="1" x14ac:dyDescent="0.25">
      <c r="B270" s="20">
        <f t="shared" si="22"/>
        <v>266</v>
      </c>
      <c r="C270" s="21">
        <f t="shared" si="25"/>
        <v>117500</v>
      </c>
      <c r="D270" s="21">
        <f t="shared" si="23"/>
        <v>2376.7941609817367</v>
      </c>
      <c r="E270" s="21">
        <f t="shared" si="26"/>
        <v>1250</v>
      </c>
      <c r="F270" s="21">
        <f t="shared" si="24"/>
        <v>1126.7941609817367</v>
      </c>
      <c r="G270" s="21">
        <f t="shared" si="21"/>
        <v>0</v>
      </c>
    </row>
    <row r="271" spans="2:7" ht="16.8" customHeight="1" x14ac:dyDescent="0.25">
      <c r="B271" s="20">
        <f t="shared" si="22"/>
        <v>267</v>
      </c>
      <c r="C271" s="21">
        <f t="shared" si="25"/>
        <v>116250</v>
      </c>
      <c r="D271" s="21">
        <f t="shared" si="23"/>
        <v>2364.9331698135079</v>
      </c>
      <c r="E271" s="21">
        <f t="shared" si="26"/>
        <v>1250</v>
      </c>
      <c r="F271" s="21">
        <f t="shared" si="24"/>
        <v>1114.9331698135079</v>
      </c>
      <c r="G271" s="21">
        <f t="shared" si="21"/>
        <v>0</v>
      </c>
    </row>
    <row r="272" spans="2:7" ht="16.8" customHeight="1" x14ac:dyDescent="0.25">
      <c r="B272" s="20">
        <f t="shared" si="22"/>
        <v>268</v>
      </c>
      <c r="C272" s="21">
        <f t="shared" si="25"/>
        <v>115000</v>
      </c>
      <c r="D272" s="21">
        <f t="shared" si="23"/>
        <v>2353.0721786452791</v>
      </c>
      <c r="E272" s="21">
        <f t="shared" si="26"/>
        <v>1250</v>
      </c>
      <c r="F272" s="21">
        <f t="shared" si="24"/>
        <v>1103.0721786452791</v>
      </c>
      <c r="G272" s="21">
        <f t="shared" si="21"/>
        <v>0</v>
      </c>
    </row>
    <row r="273" spans="2:7" ht="16.8" customHeight="1" x14ac:dyDescent="0.25">
      <c r="B273" s="20">
        <f t="shared" si="22"/>
        <v>269</v>
      </c>
      <c r="C273" s="21">
        <f t="shared" si="25"/>
        <v>113750</v>
      </c>
      <c r="D273" s="21">
        <f t="shared" si="23"/>
        <v>2341.2111874770503</v>
      </c>
      <c r="E273" s="21">
        <f t="shared" si="26"/>
        <v>1250</v>
      </c>
      <c r="F273" s="21">
        <f t="shared" si="24"/>
        <v>1091.2111874770503</v>
      </c>
      <c r="G273" s="21">
        <f t="shared" ref="G273:G336" si="27">IF(B273&gt;$J$11,0,G272)</f>
        <v>0</v>
      </c>
    </row>
    <row r="274" spans="2:7" ht="16.8" customHeight="1" x14ac:dyDescent="0.25">
      <c r="B274" s="20">
        <f t="shared" si="22"/>
        <v>270</v>
      </c>
      <c r="C274" s="21">
        <f t="shared" si="25"/>
        <v>112500</v>
      </c>
      <c r="D274" s="21">
        <f t="shared" si="23"/>
        <v>2329.3501963088215</v>
      </c>
      <c r="E274" s="21">
        <f t="shared" si="26"/>
        <v>1250</v>
      </c>
      <c r="F274" s="21">
        <f t="shared" si="24"/>
        <v>1079.3501963088215</v>
      </c>
      <c r="G274" s="21">
        <f t="shared" si="27"/>
        <v>0</v>
      </c>
    </row>
    <row r="275" spans="2:7" ht="16.8" customHeight="1" x14ac:dyDescent="0.25">
      <c r="B275" s="20">
        <f t="shared" si="22"/>
        <v>271</v>
      </c>
      <c r="C275" s="21">
        <f t="shared" si="25"/>
        <v>111250</v>
      </c>
      <c r="D275" s="21">
        <f t="shared" si="23"/>
        <v>2317.4892051405927</v>
      </c>
      <c r="E275" s="21">
        <f t="shared" si="26"/>
        <v>1250</v>
      </c>
      <c r="F275" s="21">
        <f t="shared" si="24"/>
        <v>1067.4892051405927</v>
      </c>
      <c r="G275" s="21">
        <f t="shared" si="27"/>
        <v>0</v>
      </c>
    </row>
    <row r="276" spans="2:7" ht="16.8" customHeight="1" x14ac:dyDescent="0.25">
      <c r="B276" s="20">
        <f t="shared" si="22"/>
        <v>272</v>
      </c>
      <c r="C276" s="21">
        <f t="shared" si="25"/>
        <v>110000</v>
      </c>
      <c r="D276" s="21">
        <f t="shared" si="23"/>
        <v>2305.6282139723639</v>
      </c>
      <c r="E276" s="21">
        <f t="shared" si="26"/>
        <v>1250</v>
      </c>
      <c r="F276" s="21">
        <f t="shared" si="24"/>
        <v>1055.6282139723639</v>
      </c>
      <c r="G276" s="21">
        <f t="shared" si="27"/>
        <v>0</v>
      </c>
    </row>
    <row r="277" spans="2:7" ht="16.8" customHeight="1" x14ac:dyDescent="0.25">
      <c r="B277" s="20">
        <f t="shared" si="22"/>
        <v>273</v>
      </c>
      <c r="C277" s="21">
        <f t="shared" si="25"/>
        <v>108750</v>
      </c>
      <c r="D277" s="21">
        <f t="shared" si="23"/>
        <v>2293.7672228041351</v>
      </c>
      <c r="E277" s="21">
        <f t="shared" si="26"/>
        <v>1250</v>
      </c>
      <c r="F277" s="21">
        <f t="shared" si="24"/>
        <v>1043.7672228041351</v>
      </c>
      <c r="G277" s="21">
        <f t="shared" si="27"/>
        <v>0</v>
      </c>
    </row>
    <row r="278" spans="2:7" ht="16.8" customHeight="1" x14ac:dyDescent="0.25">
      <c r="B278" s="20">
        <f t="shared" si="22"/>
        <v>274</v>
      </c>
      <c r="C278" s="21">
        <f t="shared" si="25"/>
        <v>107500</v>
      </c>
      <c r="D278" s="21">
        <f t="shared" si="23"/>
        <v>2281.9062316359059</v>
      </c>
      <c r="E278" s="21">
        <f t="shared" si="26"/>
        <v>1250</v>
      </c>
      <c r="F278" s="21">
        <f t="shared" si="24"/>
        <v>1031.9062316359061</v>
      </c>
      <c r="G278" s="21">
        <f t="shared" si="27"/>
        <v>0</v>
      </c>
    </row>
    <row r="279" spans="2:7" ht="16.8" customHeight="1" x14ac:dyDescent="0.25">
      <c r="B279" s="20">
        <f t="shared" si="22"/>
        <v>275</v>
      </c>
      <c r="C279" s="21">
        <f t="shared" si="25"/>
        <v>106250</v>
      </c>
      <c r="D279" s="21">
        <f t="shared" si="23"/>
        <v>2270.0452404676776</v>
      </c>
      <c r="E279" s="21">
        <f t="shared" si="26"/>
        <v>1250</v>
      </c>
      <c r="F279" s="21">
        <f t="shared" si="24"/>
        <v>1020.0452404676774</v>
      </c>
      <c r="G279" s="21">
        <f t="shared" si="27"/>
        <v>0</v>
      </c>
    </row>
    <row r="280" spans="2:7" ht="16.8" customHeight="1" x14ac:dyDescent="0.25">
      <c r="B280" s="20">
        <f t="shared" si="22"/>
        <v>276</v>
      </c>
      <c r="C280" s="21">
        <f t="shared" si="25"/>
        <v>105000</v>
      </c>
      <c r="D280" s="21">
        <f t="shared" si="23"/>
        <v>2258.1842492994488</v>
      </c>
      <c r="E280" s="21">
        <f t="shared" si="26"/>
        <v>1250</v>
      </c>
      <c r="F280" s="21">
        <f t="shared" si="24"/>
        <v>1008.1842492994487</v>
      </c>
      <c r="G280" s="21">
        <f t="shared" si="27"/>
        <v>0</v>
      </c>
    </row>
    <row r="281" spans="2:7" ht="16.8" customHeight="1" x14ac:dyDescent="0.25">
      <c r="B281" s="20">
        <f t="shared" si="22"/>
        <v>277</v>
      </c>
      <c r="C281" s="21">
        <f t="shared" si="25"/>
        <v>103750</v>
      </c>
      <c r="D281" s="21">
        <f t="shared" si="23"/>
        <v>2246.3232581312195</v>
      </c>
      <c r="E281" s="21">
        <f t="shared" si="26"/>
        <v>1250</v>
      </c>
      <c r="F281" s="21">
        <f t="shared" si="24"/>
        <v>996.32325813121975</v>
      </c>
      <c r="G281" s="21">
        <f t="shared" si="27"/>
        <v>0</v>
      </c>
    </row>
    <row r="282" spans="2:7" ht="16.8" customHeight="1" x14ac:dyDescent="0.25">
      <c r="B282" s="20">
        <f t="shared" si="22"/>
        <v>278</v>
      </c>
      <c r="C282" s="21">
        <f t="shared" si="25"/>
        <v>102500</v>
      </c>
      <c r="D282" s="21">
        <f t="shared" si="23"/>
        <v>2234.4622669629907</v>
      </c>
      <c r="E282" s="21">
        <f t="shared" si="26"/>
        <v>1250</v>
      </c>
      <c r="F282" s="21">
        <f t="shared" si="24"/>
        <v>984.46226696299095</v>
      </c>
      <c r="G282" s="21">
        <f t="shared" si="27"/>
        <v>0</v>
      </c>
    </row>
    <row r="283" spans="2:7" ht="16.8" customHeight="1" x14ac:dyDescent="0.25">
      <c r="B283" s="20">
        <f t="shared" si="22"/>
        <v>279</v>
      </c>
      <c r="C283" s="21">
        <f t="shared" si="25"/>
        <v>101250</v>
      </c>
      <c r="D283" s="21">
        <f t="shared" si="23"/>
        <v>2222.6012757947619</v>
      </c>
      <c r="E283" s="21">
        <f t="shared" si="26"/>
        <v>1250</v>
      </c>
      <c r="F283" s="21">
        <f t="shared" si="24"/>
        <v>972.60127579476216</v>
      </c>
      <c r="G283" s="21">
        <f t="shared" si="27"/>
        <v>0</v>
      </c>
    </row>
    <row r="284" spans="2:7" ht="16.8" customHeight="1" x14ac:dyDescent="0.25">
      <c r="B284" s="20">
        <f t="shared" si="22"/>
        <v>280</v>
      </c>
      <c r="C284" s="21">
        <f t="shared" si="25"/>
        <v>100000</v>
      </c>
      <c r="D284" s="21">
        <f t="shared" si="23"/>
        <v>2210.7402846265331</v>
      </c>
      <c r="E284" s="21">
        <f t="shared" si="26"/>
        <v>1250</v>
      </c>
      <c r="F284" s="21">
        <f t="shared" si="24"/>
        <v>960.74028462653337</v>
      </c>
      <c r="G284" s="21">
        <f t="shared" si="27"/>
        <v>0</v>
      </c>
    </row>
    <row r="285" spans="2:7" ht="16.8" customHeight="1" x14ac:dyDescent="0.25">
      <c r="B285" s="20">
        <f t="shared" si="22"/>
        <v>281</v>
      </c>
      <c r="C285" s="21">
        <f t="shared" si="25"/>
        <v>98750</v>
      </c>
      <c r="D285" s="21">
        <f t="shared" si="23"/>
        <v>2198.8792934583043</v>
      </c>
      <c r="E285" s="21">
        <f t="shared" si="26"/>
        <v>1250</v>
      </c>
      <c r="F285" s="21">
        <f t="shared" si="24"/>
        <v>948.87929345830457</v>
      </c>
      <c r="G285" s="21">
        <f t="shared" si="27"/>
        <v>0</v>
      </c>
    </row>
    <row r="286" spans="2:7" ht="16.8" customHeight="1" x14ac:dyDescent="0.25">
      <c r="B286" s="20">
        <f t="shared" si="22"/>
        <v>282</v>
      </c>
      <c r="C286" s="21">
        <f t="shared" si="25"/>
        <v>97500</v>
      </c>
      <c r="D286" s="21">
        <f t="shared" si="23"/>
        <v>2187.0183022900756</v>
      </c>
      <c r="E286" s="21">
        <f t="shared" si="26"/>
        <v>1250</v>
      </c>
      <c r="F286" s="21">
        <f t="shared" si="24"/>
        <v>937.01830229007578</v>
      </c>
      <c r="G286" s="21">
        <f t="shared" si="27"/>
        <v>0</v>
      </c>
    </row>
    <row r="287" spans="2:7" ht="16.8" customHeight="1" x14ac:dyDescent="0.25">
      <c r="B287" s="20">
        <f t="shared" si="22"/>
        <v>283</v>
      </c>
      <c r="C287" s="21">
        <f t="shared" si="25"/>
        <v>96250</v>
      </c>
      <c r="D287" s="21">
        <f t="shared" si="23"/>
        <v>2175.1573111218468</v>
      </c>
      <c r="E287" s="21">
        <f t="shared" si="26"/>
        <v>1250</v>
      </c>
      <c r="F287" s="21">
        <f t="shared" si="24"/>
        <v>925.15731112184699</v>
      </c>
      <c r="G287" s="21">
        <f t="shared" si="27"/>
        <v>0</v>
      </c>
    </row>
    <row r="288" spans="2:7" ht="16.8" customHeight="1" x14ac:dyDescent="0.25">
      <c r="B288" s="20">
        <f t="shared" si="22"/>
        <v>284</v>
      </c>
      <c r="C288" s="21">
        <f t="shared" si="25"/>
        <v>95000</v>
      </c>
      <c r="D288" s="21">
        <f t="shared" si="23"/>
        <v>2163.296319953618</v>
      </c>
      <c r="E288" s="21">
        <f t="shared" si="26"/>
        <v>1250</v>
      </c>
      <c r="F288" s="21">
        <f t="shared" si="24"/>
        <v>913.29631995361819</v>
      </c>
      <c r="G288" s="21">
        <f t="shared" si="27"/>
        <v>0</v>
      </c>
    </row>
    <row r="289" spans="2:7" ht="16.8" customHeight="1" x14ac:dyDescent="0.25">
      <c r="B289" s="20">
        <f t="shared" si="22"/>
        <v>285</v>
      </c>
      <c r="C289" s="21">
        <f t="shared" si="25"/>
        <v>93750</v>
      </c>
      <c r="D289" s="21">
        <f t="shared" si="23"/>
        <v>2151.4353287853892</v>
      </c>
      <c r="E289" s="21">
        <f t="shared" si="26"/>
        <v>1250</v>
      </c>
      <c r="F289" s="21">
        <f t="shared" si="24"/>
        <v>901.4353287853894</v>
      </c>
      <c r="G289" s="21">
        <f t="shared" si="27"/>
        <v>0</v>
      </c>
    </row>
    <row r="290" spans="2:7" ht="16.8" customHeight="1" x14ac:dyDescent="0.25">
      <c r="B290" s="20">
        <f t="shared" si="22"/>
        <v>286</v>
      </c>
      <c r="C290" s="21">
        <f t="shared" si="25"/>
        <v>92500</v>
      </c>
      <c r="D290" s="21">
        <f t="shared" si="23"/>
        <v>2139.5743376171604</v>
      </c>
      <c r="E290" s="21">
        <f t="shared" si="26"/>
        <v>1250</v>
      </c>
      <c r="F290" s="21">
        <f t="shared" si="24"/>
        <v>889.5743376171605</v>
      </c>
      <c r="G290" s="21">
        <f t="shared" si="27"/>
        <v>0</v>
      </c>
    </row>
    <row r="291" spans="2:7" ht="16.8" customHeight="1" x14ac:dyDescent="0.25">
      <c r="B291" s="20">
        <f t="shared" si="22"/>
        <v>287</v>
      </c>
      <c r="C291" s="21">
        <f t="shared" si="25"/>
        <v>91250</v>
      </c>
      <c r="D291" s="21">
        <f t="shared" si="23"/>
        <v>2127.7133464489316</v>
      </c>
      <c r="E291" s="21">
        <f t="shared" si="26"/>
        <v>1250</v>
      </c>
      <c r="F291" s="21">
        <f t="shared" si="24"/>
        <v>877.7133464489317</v>
      </c>
      <c r="G291" s="21">
        <f t="shared" si="27"/>
        <v>0</v>
      </c>
    </row>
    <row r="292" spans="2:7" ht="16.8" customHeight="1" x14ac:dyDescent="0.25">
      <c r="B292" s="20">
        <f t="shared" si="22"/>
        <v>288</v>
      </c>
      <c r="C292" s="21">
        <f t="shared" si="25"/>
        <v>90000</v>
      </c>
      <c r="D292" s="21">
        <f t="shared" si="23"/>
        <v>2115.8523552807028</v>
      </c>
      <c r="E292" s="21">
        <f t="shared" si="26"/>
        <v>1250</v>
      </c>
      <c r="F292" s="21">
        <f t="shared" si="24"/>
        <v>865.85235528070291</v>
      </c>
      <c r="G292" s="21">
        <f t="shared" si="27"/>
        <v>0</v>
      </c>
    </row>
    <row r="293" spans="2:7" ht="16.8" customHeight="1" x14ac:dyDescent="0.25">
      <c r="B293" s="20">
        <f t="shared" si="22"/>
        <v>289</v>
      </c>
      <c r="C293" s="21">
        <f t="shared" si="25"/>
        <v>88750</v>
      </c>
      <c r="D293" s="21">
        <f t="shared" si="23"/>
        <v>2103.991364112474</v>
      </c>
      <c r="E293" s="21">
        <f t="shared" si="26"/>
        <v>1250</v>
      </c>
      <c r="F293" s="21">
        <f t="shared" si="24"/>
        <v>853.99136411247412</v>
      </c>
      <c r="G293" s="21">
        <f t="shared" si="27"/>
        <v>0</v>
      </c>
    </row>
    <row r="294" spans="2:7" ht="16.8" customHeight="1" x14ac:dyDescent="0.25">
      <c r="B294" s="20">
        <f t="shared" si="22"/>
        <v>290</v>
      </c>
      <c r="C294" s="21">
        <f t="shared" si="25"/>
        <v>87500</v>
      </c>
      <c r="D294" s="21">
        <f t="shared" si="23"/>
        <v>2092.1303729442452</v>
      </c>
      <c r="E294" s="21">
        <f t="shared" si="26"/>
        <v>1250</v>
      </c>
      <c r="F294" s="21">
        <f t="shared" si="24"/>
        <v>842.13037294424532</v>
      </c>
      <c r="G294" s="21">
        <f t="shared" si="27"/>
        <v>0</v>
      </c>
    </row>
    <row r="295" spans="2:7" ht="16.8" customHeight="1" x14ac:dyDescent="0.25">
      <c r="B295" s="20">
        <f t="shared" si="22"/>
        <v>291</v>
      </c>
      <c r="C295" s="21">
        <f t="shared" si="25"/>
        <v>86250</v>
      </c>
      <c r="D295" s="21">
        <f t="shared" si="23"/>
        <v>2080.2693817760164</v>
      </c>
      <c r="E295" s="21">
        <f t="shared" si="26"/>
        <v>1250</v>
      </c>
      <c r="F295" s="21">
        <f t="shared" si="24"/>
        <v>830.26938177601653</v>
      </c>
      <c r="G295" s="21">
        <f t="shared" si="27"/>
        <v>0</v>
      </c>
    </row>
    <row r="296" spans="2:7" ht="16.8" customHeight="1" x14ac:dyDescent="0.25">
      <c r="B296" s="20">
        <f t="shared" si="22"/>
        <v>292</v>
      </c>
      <c r="C296" s="21">
        <f t="shared" si="25"/>
        <v>85000</v>
      </c>
      <c r="D296" s="21">
        <f t="shared" si="23"/>
        <v>2068.4083906077876</v>
      </c>
      <c r="E296" s="21">
        <f t="shared" si="26"/>
        <v>1250</v>
      </c>
      <c r="F296" s="21">
        <f t="shared" si="24"/>
        <v>818.40839060778774</v>
      </c>
      <c r="G296" s="21">
        <f t="shared" si="27"/>
        <v>0</v>
      </c>
    </row>
    <row r="297" spans="2:7" ht="16.8" customHeight="1" x14ac:dyDescent="0.25">
      <c r="B297" s="20">
        <f t="shared" si="22"/>
        <v>293</v>
      </c>
      <c r="C297" s="21">
        <f t="shared" si="25"/>
        <v>83750</v>
      </c>
      <c r="D297" s="21">
        <f t="shared" si="23"/>
        <v>2056.5473994395588</v>
      </c>
      <c r="E297" s="21">
        <f t="shared" si="26"/>
        <v>1250</v>
      </c>
      <c r="F297" s="21">
        <f t="shared" si="24"/>
        <v>806.54739943955883</v>
      </c>
      <c r="G297" s="21">
        <f t="shared" si="27"/>
        <v>0</v>
      </c>
    </row>
    <row r="298" spans="2:7" ht="16.8" customHeight="1" x14ac:dyDescent="0.25">
      <c r="B298" s="20">
        <f t="shared" si="22"/>
        <v>294</v>
      </c>
      <c r="C298" s="21">
        <f t="shared" si="25"/>
        <v>82500</v>
      </c>
      <c r="D298" s="21">
        <f t="shared" si="23"/>
        <v>2044.68640827133</v>
      </c>
      <c r="E298" s="21">
        <f t="shared" si="26"/>
        <v>1250</v>
      </c>
      <c r="F298" s="21">
        <f t="shared" si="24"/>
        <v>794.68640827133004</v>
      </c>
      <c r="G298" s="21">
        <f t="shared" si="27"/>
        <v>0</v>
      </c>
    </row>
    <row r="299" spans="2:7" ht="16.8" customHeight="1" x14ac:dyDescent="0.25">
      <c r="B299" s="20">
        <f t="shared" si="22"/>
        <v>295</v>
      </c>
      <c r="C299" s="21">
        <f t="shared" si="25"/>
        <v>81250</v>
      </c>
      <c r="D299" s="21">
        <f t="shared" si="23"/>
        <v>2032.8254171031012</v>
      </c>
      <c r="E299" s="21">
        <f t="shared" si="26"/>
        <v>1250</v>
      </c>
      <c r="F299" s="21">
        <f t="shared" si="24"/>
        <v>782.82541710310124</v>
      </c>
      <c r="G299" s="21">
        <f t="shared" si="27"/>
        <v>0</v>
      </c>
    </row>
    <row r="300" spans="2:7" ht="16.8" customHeight="1" x14ac:dyDescent="0.25">
      <c r="B300" s="20">
        <f t="shared" si="22"/>
        <v>296</v>
      </c>
      <c r="C300" s="21">
        <f t="shared" si="25"/>
        <v>80000</v>
      </c>
      <c r="D300" s="21">
        <f t="shared" si="23"/>
        <v>2020.9644259348725</v>
      </c>
      <c r="E300" s="21">
        <f t="shared" si="26"/>
        <v>1250</v>
      </c>
      <c r="F300" s="21">
        <f t="shared" si="24"/>
        <v>770.96442593487245</v>
      </c>
      <c r="G300" s="21">
        <f t="shared" si="27"/>
        <v>0</v>
      </c>
    </row>
    <row r="301" spans="2:7" ht="16.8" customHeight="1" x14ac:dyDescent="0.25">
      <c r="B301" s="20">
        <f t="shared" si="22"/>
        <v>297</v>
      </c>
      <c r="C301" s="21">
        <f t="shared" si="25"/>
        <v>78750</v>
      </c>
      <c r="D301" s="21">
        <f t="shared" si="23"/>
        <v>2009.1034347666437</v>
      </c>
      <c r="E301" s="21">
        <f t="shared" si="26"/>
        <v>1250</v>
      </c>
      <c r="F301" s="21">
        <f t="shared" si="24"/>
        <v>759.10343476664366</v>
      </c>
      <c r="G301" s="21">
        <f t="shared" si="27"/>
        <v>0</v>
      </c>
    </row>
    <row r="302" spans="2:7" ht="16.8" customHeight="1" x14ac:dyDescent="0.25">
      <c r="B302" s="20">
        <f t="shared" si="22"/>
        <v>298</v>
      </c>
      <c r="C302" s="21">
        <f t="shared" si="25"/>
        <v>77500</v>
      </c>
      <c r="D302" s="21">
        <f t="shared" si="23"/>
        <v>1997.2424435984149</v>
      </c>
      <c r="E302" s="21">
        <f t="shared" si="26"/>
        <v>1250</v>
      </c>
      <c r="F302" s="21">
        <f t="shared" si="24"/>
        <v>747.24244359841487</v>
      </c>
      <c r="G302" s="21">
        <f t="shared" si="27"/>
        <v>0</v>
      </c>
    </row>
    <row r="303" spans="2:7" ht="16.8" customHeight="1" x14ac:dyDescent="0.25">
      <c r="B303" s="20">
        <f t="shared" si="22"/>
        <v>299</v>
      </c>
      <c r="C303" s="21">
        <f t="shared" si="25"/>
        <v>76250</v>
      </c>
      <c r="D303" s="21">
        <f t="shared" si="23"/>
        <v>1985.3814524301861</v>
      </c>
      <c r="E303" s="21">
        <f t="shared" si="26"/>
        <v>1250</v>
      </c>
      <c r="F303" s="21">
        <f t="shared" si="24"/>
        <v>735.38145243018607</v>
      </c>
      <c r="G303" s="21">
        <f t="shared" si="27"/>
        <v>0</v>
      </c>
    </row>
    <row r="304" spans="2:7" ht="16.8" customHeight="1" x14ac:dyDescent="0.25">
      <c r="B304" s="20">
        <f t="shared" si="22"/>
        <v>300</v>
      </c>
      <c r="C304" s="21">
        <f t="shared" si="25"/>
        <v>75000</v>
      </c>
      <c r="D304" s="21">
        <f t="shared" si="23"/>
        <v>1973.5204612619573</v>
      </c>
      <c r="E304" s="21">
        <f t="shared" si="26"/>
        <v>1250</v>
      </c>
      <c r="F304" s="21">
        <f t="shared" si="24"/>
        <v>723.52046126195728</v>
      </c>
      <c r="G304" s="21">
        <f t="shared" si="27"/>
        <v>0</v>
      </c>
    </row>
    <row r="305" spans="2:7" ht="16.8" customHeight="1" x14ac:dyDescent="0.25">
      <c r="B305" s="20">
        <f t="shared" si="22"/>
        <v>301</v>
      </c>
      <c r="C305" s="21">
        <f t="shared" si="25"/>
        <v>73750</v>
      </c>
      <c r="D305" s="21">
        <f t="shared" si="23"/>
        <v>1961.6594700937285</v>
      </c>
      <c r="E305" s="21">
        <f t="shared" si="26"/>
        <v>1250</v>
      </c>
      <c r="F305" s="21">
        <f t="shared" si="24"/>
        <v>711.65947009372849</v>
      </c>
      <c r="G305" s="21">
        <f t="shared" si="27"/>
        <v>0</v>
      </c>
    </row>
    <row r="306" spans="2:7" ht="16.8" customHeight="1" x14ac:dyDescent="0.25">
      <c r="B306" s="20">
        <f t="shared" si="22"/>
        <v>302</v>
      </c>
      <c r="C306" s="21">
        <f t="shared" si="25"/>
        <v>72500</v>
      </c>
      <c r="D306" s="21">
        <f t="shared" si="23"/>
        <v>1949.7984789254997</v>
      </c>
      <c r="E306" s="21">
        <f t="shared" si="26"/>
        <v>1250</v>
      </c>
      <c r="F306" s="21">
        <f t="shared" si="24"/>
        <v>699.79847892549958</v>
      </c>
      <c r="G306" s="21">
        <f t="shared" si="27"/>
        <v>0</v>
      </c>
    </row>
    <row r="307" spans="2:7" ht="16.8" customHeight="1" x14ac:dyDescent="0.25">
      <c r="B307" s="20">
        <f t="shared" si="22"/>
        <v>303</v>
      </c>
      <c r="C307" s="21">
        <f t="shared" si="25"/>
        <v>71250</v>
      </c>
      <c r="D307" s="21">
        <f t="shared" si="23"/>
        <v>1937.9374877572709</v>
      </c>
      <c r="E307" s="21">
        <f t="shared" si="26"/>
        <v>1250</v>
      </c>
      <c r="F307" s="21">
        <f t="shared" si="24"/>
        <v>687.93748775727079</v>
      </c>
      <c r="G307" s="21">
        <f t="shared" si="27"/>
        <v>0</v>
      </c>
    </row>
    <row r="308" spans="2:7" ht="16.8" customHeight="1" x14ac:dyDescent="0.25">
      <c r="B308" s="20">
        <f t="shared" si="22"/>
        <v>304</v>
      </c>
      <c r="C308" s="21">
        <f t="shared" si="25"/>
        <v>70000</v>
      </c>
      <c r="D308" s="21">
        <f t="shared" si="23"/>
        <v>1926.0764965890421</v>
      </c>
      <c r="E308" s="21">
        <f t="shared" si="26"/>
        <v>1250</v>
      </c>
      <c r="F308" s="21">
        <f t="shared" si="24"/>
        <v>676.07649658904199</v>
      </c>
      <c r="G308" s="21">
        <f t="shared" si="27"/>
        <v>0</v>
      </c>
    </row>
    <row r="309" spans="2:7" ht="16.8" customHeight="1" x14ac:dyDescent="0.25">
      <c r="B309" s="20">
        <f t="shared" si="22"/>
        <v>305</v>
      </c>
      <c r="C309" s="21">
        <f t="shared" si="25"/>
        <v>68750</v>
      </c>
      <c r="D309" s="21">
        <f t="shared" si="23"/>
        <v>1914.2155054208133</v>
      </c>
      <c r="E309" s="21">
        <f t="shared" si="26"/>
        <v>1250</v>
      </c>
      <c r="F309" s="21">
        <f t="shared" si="24"/>
        <v>664.2155054208132</v>
      </c>
      <c r="G309" s="21">
        <f t="shared" si="27"/>
        <v>0</v>
      </c>
    </row>
    <row r="310" spans="2:7" ht="16.8" customHeight="1" x14ac:dyDescent="0.25">
      <c r="B310" s="20">
        <f t="shared" si="22"/>
        <v>306</v>
      </c>
      <c r="C310" s="21">
        <f t="shared" si="25"/>
        <v>67500</v>
      </c>
      <c r="D310" s="21">
        <f t="shared" si="23"/>
        <v>1902.3545142525845</v>
      </c>
      <c r="E310" s="21">
        <f t="shared" si="26"/>
        <v>1250</v>
      </c>
      <c r="F310" s="21">
        <f t="shared" si="24"/>
        <v>652.35451425258441</v>
      </c>
      <c r="G310" s="21">
        <f t="shared" si="27"/>
        <v>0</v>
      </c>
    </row>
    <row r="311" spans="2:7" ht="16.8" customHeight="1" x14ac:dyDescent="0.25">
      <c r="B311" s="20">
        <f t="shared" si="22"/>
        <v>307</v>
      </c>
      <c r="C311" s="21">
        <f t="shared" si="25"/>
        <v>66250</v>
      </c>
      <c r="D311" s="21">
        <f t="shared" si="23"/>
        <v>1890.4935230843557</v>
      </c>
      <c r="E311" s="21">
        <f t="shared" si="26"/>
        <v>1250</v>
      </c>
      <c r="F311" s="21">
        <f t="shared" si="24"/>
        <v>640.49352308435562</v>
      </c>
      <c r="G311" s="21">
        <f t="shared" si="27"/>
        <v>0</v>
      </c>
    </row>
    <row r="312" spans="2:7" ht="16.8" customHeight="1" x14ac:dyDescent="0.25">
      <c r="B312" s="20">
        <f t="shared" si="22"/>
        <v>308</v>
      </c>
      <c r="C312" s="21">
        <f t="shared" si="25"/>
        <v>65000</v>
      </c>
      <c r="D312" s="21">
        <f t="shared" si="23"/>
        <v>1878.6325319161269</v>
      </c>
      <c r="E312" s="21">
        <f t="shared" si="26"/>
        <v>1250</v>
      </c>
      <c r="F312" s="21">
        <f t="shared" si="24"/>
        <v>628.63253191612682</v>
      </c>
      <c r="G312" s="21">
        <f t="shared" si="27"/>
        <v>0</v>
      </c>
    </row>
    <row r="313" spans="2:7" ht="16.8" customHeight="1" x14ac:dyDescent="0.25">
      <c r="B313" s="20">
        <f t="shared" si="22"/>
        <v>309</v>
      </c>
      <c r="C313" s="21">
        <f t="shared" si="25"/>
        <v>63750</v>
      </c>
      <c r="D313" s="21">
        <f t="shared" si="23"/>
        <v>1866.7715407478979</v>
      </c>
      <c r="E313" s="21">
        <f t="shared" si="26"/>
        <v>1250</v>
      </c>
      <c r="F313" s="21">
        <f t="shared" si="24"/>
        <v>616.77154074789792</v>
      </c>
      <c r="G313" s="21">
        <f t="shared" si="27"/>
        <v>0</v>
      </c>
    </row>
    <row r="314" spans="2:7" ht="16.8" customHeight="1" x14ac:dyDescent="0.25">
      <c r="B314" s="20">
        <f t="shared" si="22"/>
        <v>310</v>
      </c>
      <c r="C314" s="21">
        <f t="shared" si="25"/>
        <v>62500</v>
      </c>
      <c r="D314" s="21">
        <f t="shared" si="23"/>
        <v>1854.9105495796691</v>
      </c>
      <c r="E314" s="21">
        <f t="shared" si="26"/>
        <v>1250</v>
      </c>
      <c r="F314" s="21">
        <f t="shared" si="24"/>
        <v>604.91054957966912</v>
      </c>
      <c r="G314" s="21">
        <f t="shared" si="27"/>
        <v>0</v>
      </c>
    </row>
    <row r="315" spans="2:7" ht="16.8" customHeight="1" x14ac:dyDescent="0.25">
      <c r="B315" s="20">
        <f t="shared" si="22"/>
        <v>311</v>
      </c>
      <c r="C315" s="21">
        <f t="shared" si="25"/>
        <v>61250</v>
      </c>
      <c r="D315" s="21">
        <f t="shared" si="23"/>
        <v>1843.0495584114403</v>
      </c>
      <c r="E315" s="21">
        <f t="shared" si="26"/>
        <v>1250</v>
      </c>
      <c r="F315" s="21">
        <f t="shared" si="24"/>
        <v>593.04955841144033</v>
      </c>
      <c r="G315" s="21">
        <f t="shared" si="27"/>
        <v>0</v>
      </c>
    </row>
    <row r="316" spans="2:7" ht="16.8" customHeight="1" x14ac:dyDescent="0.25">
      <c r="B316" s="20">
        <f t="shared" si="22"/>
        <v>312</v>
      </c>
      <c r="C316" s="21">
        <f t="shared" si="25"/>
        <v>60000</v>
      </c>
      <c r="D316" s="21">
        <f t="shared" si="23"/>
        <v>1831.1885672432115</v>
      </c>
      <c r="E316" s="21">
        <f t="shared" si="26"/>
        <v>1250</v>
      </c>
      <c r="F316" s="21">
        <f t="shared" si="24"/>
        <v>581.18856724321154</v>
      </c>
      <c r="G316" s="21">
        <f t="shared" si="27"/>
        <v>0</v>
      </c>
    </row>
    <row r="317" spans="2:7" ht="16.8" customHeight="1" x14ac:dyDescent="0.25">
      <c r="B317" s="20">
        <f t="shared" si="22"/>
        <v>313</v>
      </c>
      <c r="C317" s="21">
        <f t="shared" si="25"/>
        <v>58750</v>
      </c>
      <c r="D317" s="21">
        <f t="shared" si="23"/>
        <v>1819.3275760749827</v>
      </c>
      <c r="E317" s="21">
        <f t="shared" si="26"/>
        <v>1250</v>
      </c>
      <c r="F317" s="21">
        <f t="shared" si="24"/>
        <v>569.32757607498274</v>
      </c>
      <c r="G317" s="21">
        <f t="shared" si="27"/>
        <v>0</v>
      </c>
    </row>
    <row r="318" spans="2:7" ht="16.8" customHeight="1" x14ac:dyDescent="0.25">
      <c r="B318" s="20">
        <f t="shared" si="22"/>
        <v>314</v>
      </c>
      <c r="C318" s="21">
        <f t="shared" si="25"/>
        <v>57500</v>
      </c>
      <c r="D318" s="21">
        <f t="shared" si="23"/>
        <v>1807.466584906754</v>
      </c>
      <c r="E318" s="21">
        <f t="shared" si="26"/>
        <v>1250</v>
      </c>
      <c r="F318" s="21">
        <f t="shared" si="24"/>
        <v>557.46658490675395</v>
      </c>
      <c r="G318" s="21">
        <f t="shared" si="27"/>
        <v>0</v>
      </c>
    </row>
    <row r="319" spans="2:7" ht="16.8" customHeight="1" x14ac:dyDescent="0.25">
      <c r="B319" s="20">
        <f t="shared" si="22"/>
        <v>315</v>
      </c>
      <c r="C319" s="21">
        <f t="shared" si="25"/>
        <v>56250</v>
      </c>
      <c r="D319" s="21">
        <f t="shared" si="23"/>
        <v>1795.6055937385252</v>
      </c>
      <c r="E319" s="21">
        <f t="shared" si="26"/>
        <v>1250</v>
      </c>
      <c r="F319" s="21">
        <f t="shared" si="24"/>
        <v>545.60559373852516</v>
      </c>
      <c r="G319" s="21">
        <f t="shared" si="27"/>
        <v>0</v>
      </c>
    </row>
    <row r="320" spans="2:7" ht="16.8" customHeight="1" x14ac:dyDescent="0.25">
      <c r="B320" s="20">
        <f t="shared" si="22"/>
        <v>316</v>
      </c>
      <c r="C320" s="21">
        <f t="shared" si="25"/>
        <v>55000</v>
      </c>
      <c r="D320" s="21">
        <f t="shared" si="23"/>
        <v>1783.7446025702964</v>
      </c>
      <c r="E320" s="21">
        <f t="shared" si="26"/>
        <v>1250</v>
      </c>
      <c r="F320" s="21">
        <f t="shared" si="24"/>
        <v>533.74460257029637</v>
      </c>
      <c r="G320" s="21">
        <f t="shared" si="27"/>
        <v>0</v>
      </c>
    </row>
    <row r="321" spans="2:7" ht="16.8" customHeight="1" x14ac:dyDescent="0.25">
      <c r="B321" s="20">
        <f t="shared" si="22"/>
        <v>317</v>
      </c>
      <c r="C321" s="21">
        <f t="shared" si="25"/>
        <v>53750</v>
      </c>
      <c r="D321" s="21">
        <f t="shared" si="23"/>
        <v>1771.8836114020676</v>
      </c>
      <c r="E321" s="21">
        <f t="shared" si="26"/>
        <v>1250</v>
      </c>
      <c r="F321" s="21">
        <f t="shared" si="24"/>
        <v>521.88361140206757</v>
      </c>
      <c r="G321" s="21">
        <f t="shared" si="27"/>
        <v>0</v>
      </c>
    </row>
    <row r="322" spans="2:7" ht="16.8" customHeight="1" x14ac:dyDescent="0.25">
      <c r="B322" s="20">
        <f t="shared" si="22"/>
        <v>318</v>
      </c>
      <c r="C322" s="21">
        <f t="shared" si="25"/>
        <v>52500</v>
      </c>
      <c r="D322" s="21">
        <f t="shared" si="23"/>
        <v>1760.0226202338388</v>
      </c>
      <c r="E322" s="21">
        <f t="shared" si="26"/>
        <v>1250</v>
      </c>
      <c r="F322" s="21">
        <f t="shared" si="24"/>
        <v>510.02262023383872</v>
      </c>
      <c r="G322" s="21">
        <f t="shared" si="27"/>
        <v>0</v>
      </c>
    </row>
    <row r="323" spans="2:7" ht="16.8" customHeight="1" x14ac:dyDescent="0.25">
      <c r="B323" s="20">
        <f t="shared" si="22"/>
        <v>319</v>
      </c>
      <c r="C323" s="21">
        <f t="shared" si="25"/>
        <v>51250</v>
      </c>
      <c r="D323" s="21">
        <f t="shared" si="23"/>
        <v>1748.1616290656098</v>
      </c>
      <c r="E323" s="21">
        <f t="shared" si="26"/>
        <v>1250</v>
      </c>
      <c r="F323" s="21">
        <f t="shared" si="24"/>
        <v>498.16162906560987</v>
      </c>
      <c r="G323" s="21">
        <f t="shared" si="27"/>
        <v>0</v>
      </c>
    </row>
    <row r="324" spans="2:7" ht="16.8" customHeight="1" x14ac:dyDescent="0.25">
      <c r="B324" s="20">
        <f t="shared" si="22"/>
        <v>320</v>
      </c>
      <c r="C324" s="21">
        <f t="shared" si="25"/>
        <v>50000</v>
      </c>
      <c r="D324" s="21">
        <f t="shared" si="23"/>
        <v>1736.300637897381</v>
      </c>
      <c r="E324" s="21">
        <f t="shared" si="26"/>
        <v>1250</v>
      </c>
      <c r="F324" s="21">
        <f t="shared" si="24"/>
        <v>486.30063789738108</v>
      </c>
      <c r="G324" s="21">
        <f t="shared" si="27"/>
        <v>0</v>
      </c>
    </row>
    <row r="325" spans="2:7" ht="16.8" customHeight="1" x14ac:dyDescent="0.25">
      <c r="B325" s="20">
        <f t="shared" si="22"/>
        <v>321</v>
      </c>
      <c r="C325" s="21">
        <f t="shared" si="25"/>
        <v>48750</v>
      </c>
      <c r="D325" s="21">
        <f t="shared" si="23"/>
        <v>1724.4396467291522</v>
      </c>
      <c r="E325" s="21">
        <f t="shared" si="26"/>
        <v>1250</v>
      </c>
      <c r="F325" s="21">
        <f t="shared" si="24"/>
        <v>474.43964672915229</v>
      </c>
      <c r="G325" s="21">
        <f t="shared" si="27"/>
        <v>0</v>
      </c>
    </row>
    <row r="326" spans="2:7" ht="16.8" customHeight="1" x14ac:dyDescent="0.25">
      <c r="B326" s="20">
        <f t="shared" si="22"/>
        <v>322</v>
      </c>
      <c r="C326" s="21">
        <f t="shared" si="25"/>
        <v>47500</v>
      </c>
      <c r="D326" s="21">
        <f t="shared" ref="D326:D389" si="28">E326+F326+G326</f>
        <v>1712.5786555609234</v>
      </c>
      <c r="E326" s="21">
        <f t="shared" si="26"/>
        <v>1250</v>
      </c>
      <c r="F326" s="21">
        <f t="shared" ref="F326:F389" si="29">+C325*$J$10</f>
        <v>462.57865556092349</v>
      </c>
      <c r="G326" s="21">
        <f t="shared" si="27"/>
        <v>0</v>
      </c>
    </row>
    <row r="327" spans="2:7" ht="16.8" customHeight="1" x14ac:dyDescent="0.25">
      <c r="B327" s="20">
        <f t="shared" si="22"/>
        <v>323</v>
      </c>
      <c r="C327" s="21">
        <f t="shared" ref="C327:C390" si="30">IFERROR(C326-E327,0)-H327</f>
        <v>46250</v>
      </c>
      <c r="D327" s="21">
        <f t="shared" si="28"/>
        <v>1700.7176643926946</v>
      </c>
      <c r="E327" s="21">
        <f t="shared" ref="E327:E390" si="31">IF(B327&gt;$J$11,0,E326)</f>
        <v>1250</v>
      </c>
      <c r="F327" s="21">
        <f t="shared" si="29"/>
        <v>450.7176643926947</v>
      </c>
      <c r="G327" s="21">
        <f t="shared" si="27"/>
        <v>0</v>
      </c>
    </row>
    <row r="328" spans="2:7" ht="16.8" customHeight="1" x14ac:dyDescent="0.25">
      <c r="B328" s="20">
        <f t="shared" si="22"/>
        <v>324</v>
      </c>
      <c r="C328" s="21">
        <f t="shared" si="30"/>
        <v>45000</v>
      </c>
      <c r="D328" s="21">
        <f t="shared" si="28"/>
        <v>1688.8566732244658</v>
      </c>
      <c r="E328" s="21">
        <f t="shared" si="31"/>
        <v>1250</v>
      </c>
      <c r="F328" s="21">
        <f t="shared" si="29"/>
        <v>438.85667322446585</v>
      </c>
      <c r="G328" s="21">
        <f t="shared" si="27"/>
        <v>0</v>
      </c>
    </row>
    <row r="329" spans="2:7" ht="16.8" customHeight="1" x14ac:dyDescent="0.25">
      <c r="B329" s="20">
        <f t="shared" si="22"/>
        <v>325</v>
      </c>
      <c r="C329" s="21">
        <f t="shared" si="30"/>
        <v>43750</v>
      </c>
      <c r="D329" s="21">
        <f t="shared" si="28"/>
        <v>1676.995682056237</v>
      </c>
      <c r="E329" s="21">
        <f t="shared" si="31"/>
        <v>1250</v>
      </c>
      <c r="F329" s="21">
        <f t="shared" si="29"/>
        <v>426.99568205623706</v>
      </c>
      <c r="G329" s="21">
        <f t="shared" si="27"/>
        <v>0</v>
      </c>
    </row>
    <row r="330" spans="2:7" ht="16.8" customHeight="1" x14ac:dyDescent="0.25">
      <c r="B330" s="20">
        <f t="shared" si="22"/>
        <v>326</v>
      </c>
      <c r="C330" s="21">
        <f t="shared" si="30"/>
        <v>42500</v>
      </c>
      <c r="D330" s="21">
        <f t="shared" si="28"/>
        <v>1665.1346908880082</v>
      </c>
      <c r="E330" s="21">
        <f t="shared" si="31"/>
        <v>1250</v>
      </c>
      <c r="F330" s="21">
        <f t="shared" si="29"/>
        <v>415.13469088800827</v>
      </c>
      <c r="G330" s="21">
        <f t="shared" si="27"/>
        <v>0</v>
      </c>
    </row>
    <row r="331" spans="2:7" ht="16.8" customHeight="1" x14ac:dyDescent="0.25">
      <c r="B331" s="20">
        <f t="shared" si="22"/>
        <v>327</v>
      </c>
      <c r="C331" s="21">
        <f t="shared" si="30"/>
        <v>41250</v>
      </c>
      <c r="D331" s="21">
        <f t="shared" si="28"/>
        <v>1653.2736997197794</v>
      </c>
      <c r="E331" s="21">
        <f t="shared" si="31"/>
        <v>1250</v>
      </c>
      <c r="F331" s="21">
        <f t="shared" si="29"/>
        <v>403.27369971977942</v>
      </c>
      <c r="G331" s="21">
        <f t="shared" si="27"/>
        <v>0</v>
      </c>
    </row>
    <row r="332" spans="2:7" ht="16.8" customHeight="1" x14ac:dyDescent="0.25">
      <c r="B332" s="20">
        <f t="shared" si="22"/>
        <v>328</v>
      </c>
      <c r="C332" s="21">
        <f t="shared" si="30"/>
        <v>40000</v>
      </c>
      <c r="D332" s="21">
        <f t="shared" si="28"/>
        <v>1641.4127085515506</v>
      </c>
      <c r="E332" s="21">
        <f t="shared" si="31"/>
        <v>1250</v>
      </c>
      <c r="F332" s="21">
        <f t="shared" si="29"/>
        <v>391.41270855155062</v>
      </c>
      <c r="G332" s="21">
        <f t="shared" si="27"/>
        <v>0</v>
      </c>
    </row>
    <row r="333" spans="2:7" ht="16.8" customHeight="1" x14ac:dyDescent="0.25">
      <c r="B333" s="20">
        <f t="shared" si="22"/>
        <v>329</v>
      </c>
      <c r="C333" s="21">
        <f t="shared" si="30"/>
        <v>38750</v>
      </c>
      <c r="D333" s="21">
        <f t="shared" si="28"/>
        <v>1629.5517173833218</v>
      </c>
      <c r="E333" s="21">
        <f t="shared" si="31"/>
        <v>1250</v>
      </c>
      <c r="F333" s="21">
        <f t="shared" si="29"/>
        <v>379.55171738332183</v>
      </c>
      <c r="G333" s="21">
        <f t="shared" si="27"/>
        <v>0</v>
      </c>
    </row>
    <row r="334" spans="2:7" ht="16.8" customHeight="1" x14ac:dyDescent="0.25">
      <c r="B334" s="20">
        <f t="shared" si="22"/>
        <v>330</v>
      </c>
      <c r="C334" s="21">
        <f t="shared" si="30"/>
        <v>37500</v>
      </c>
      <c r="D334" s="21">
        <f t="shared" si="28"/>
        <v>1617.690726215093</v>
      </c>
      <c r="E334" s="21">
        <f t="shared" si="31"/>
        <v>1250</v>
      </c>
      <c r="F334" s="21">
        <f t="shared" si="29"/>
        <v>367.69072621509304</v>
      </c>
      <c r="G334" s="21">
        <f t="shared" si="27"/>
        <v>0</v>
      </c>
    </row>
    <row r="335" spans="2:7" ht="16.8" customHeight="1" x14ac:dyDescent="0.25">
      <c r="B335" s="20">
        <f t="shared" si="22"/>
        <v>331</v>
      </c>
      <c r="C335" s="21">
        <f t="shared" si="30"/>
        <v>36250</v>
      </c>
      <c r="D335" s="21">
        <f t="shared" si="28"/>
        <v>1605.8297350468642</v>
      </c>
      <c r="E335" s="21">
        <f t="shared" si="31"/>
        <v>1250</v>
      </c>
      <c r="F335" s="21">
        <f t="shared" si="29"/>
        <v>355.82973504686424</v>
      </c>
      <c r="G335" s="21">
        <f t="shared" si="27"/>
        <v>0</v>
      </c>
    </row>
    <row r="336" spans="2:7" ht="16.8" customHeight="1" x14ac:dyDescent="0.25">
      <c r="B336" s="20">
        <f t="shared" si="22"/>
        <v>332</v>
      </c>
      <c r="C336" s="21">
        <f t="shared" si="30"/>
        <v>35000</v>
      </c>
      <c r="D336" s="21">
        <f t="shared" si="28"/>
        <v>1593.9687438786355</v>
      </c>
      <c r="E336" s="21">
        <f t="shared" si="31"/>
        <v>1250</v>
      </c>
      <c r="F336" s="21">
        <f t="shared" si="29"/>
        <v>343.96874387863539</v>
      </c>
      <c r="G336" s="21">
        <f t="shared" si="27"/>
        <v>0</v>
      </c>
    </row>
    <row r="337" spans="2:7" ht="16.8" customHeight="1" x14ac:dyDescent="0.25">
      <c r="B337" s="20">
        <f t="shared" si="22"/>
        <v>333</v>
      </c>
      <c r="C337" s="21">
        <f t="shared" si="30"/>
        <v>33750</v>
      </c>
      <c r="D337" s="21">
        <f t="shared" si="28"/>
        <v>1582.1077527104067</v>
      </c>
      <c r="E337" s="21">
        <f t="shared" si="31"/>
        <v>1250</v>
      </c>
      <c r="F337" s="21">
        <f t="shared" si="29"/>
        <v>332.1077527104066</v>
      </c>
      <c r="G337" s="21">
        <f t="shared" ref="G337:G400" si="32">IF(B337&gt;$J$11,0,G336)</f>
        <v>0</v>
      </c>
    </row>
    <row r="338" spans="2:7" ht="16.8" customHeight="1" x14ac:dyDescent="0.25">
      <c r="B338" s="20">
        <f t="shared" si="22"/>
        <v>334</v>
      </c>
      <c r="C338" s="21">
        <f t="shared" si="30"/>
        <v>32500</v>
      </c>
      <c r="D338" s="21">
        <f t="shared" si="28"/>
        <v>1570.2467615421779</v>
      </c>
      <c r="E338" s="21">
        <f t="shared" si="31"/>
        <v>1250</v>
      </c>
      <c r="F338" s="21">
        <f t="shared" si="29"/>
        <v>320.24676154217781</v>
      </c>
      <c r="G338" s="21">
        <f t="shared" si="32"/>
        <v>0</v>
      </c>
    </row>
    <row r="339" spans="2:7" ht="16.8" customHeight="1" x14ac:dyDescent="0.25">
      <c r="B339" s="20">
        <f t="shared" si="22"/>
        <v>335</v>
      </c>
      <c r="C339" s="21">
        <f t="shared" si="30"/>
        <v>31250</v>
      </c>
      <c r="D339" s="21">
        <f t="shared" si="28"/>
        <v>1558.3857703739491</v>
      </c>
      <c r="E339" s="21">
        <f t="shared" si="31"/>
        <v>1250</v>
      </c>
      <c r="F339" s="21">
        <f t="shared" si="29"/>
        <v>308.38577037394896</v>
      </c>
      <c r="G339" s="21">
        <f t="shared" si="32"/>
        <v>0</v>
      </c>
    </row>
    <row r="340" spans="2:7" ht="16.8" customHeight="1" x14ac:dyDescent="0.25">
      <c r="B340" s="20">
        <f t="shared" si="22"/>
        <v>336</v>
      </c>
      <c r="C340" s="21">
        <f t="shared" si="30"/>
        <v>30000</v>
      </c>
      <c r="D340" s="21">
        <f t="shared" si="28"/>
        <v>1546.5247792057203</v>
      </c>
      <c r="E340" s="21">
        <f t="shared" si="31"/>
        <v>1250</v>
      </c>
      <c r="F340" s="21">
        <f t="shared" si="29"/>
        <v>296.52477920572017</v>
      </c>
      <c r="G340" s="21">
        <f t="shared" si="32"/>
        <v>0</v>
      </c>
    </row>
    <row r="341" spans="2:7" ht="16.8" customHeight="1" x14ac:dyDescent="0.25">
      <c r="B341" s="20">
        <f t="shared" si="22"/>
        <v>337</v>
      </c>
      <c r="C341" s="21">
        <f t="shared" si="30"/>
        <v>28750</v>
      </c>
      <c r="D341" s="21">
        <f t="shared" si="28"/>
        <v>1534.6637880374915</v>
      </c>
      <c r="E341" s="21">
        <f t="shared" si="31"/>
        <v>1250</v>
      </c>
      <c r="F341" s="21">
        <f t="shared" si="29"/>
        <v>284.66378803749137</v>
      </c>
      <c r="G341" s="21">
        <f t="shared" si="32"/>
        <v>0</v>
      </c>
    </row>
    <row r="342" spans="2:7" ht="16.8" customHeight="1" x14ac:dyDescent="0.25">
      <c r="B342" s="20">
        <f t="shared" si="22"/>
        <v>338</v>
      </c>
      <c r="C342" s="21">
        <f t="shared" si="30"/>
        <v>27500</v>
      </c>
      <c r="D342" s="21">
        <f t="shared" si="28"/>
        <v>1522.8027968692627</v>
      </c>
      <c r="E342" s="21">
        <f t="shared" si="31"/>
        <v>1250</v>
      </c>
      <c r="F342" s="21">
        <f t="shared" si="29"/>
        <v>272.80279686926258</v>
      </c>
      <c r="G342" s="21">
        <f t="shared" si="32"/>
        <v>0</v>
      </c>
    </row>
    <row r="343" spans="2:7" ht="16.8" customHeight="1" x14ac:dyDescent="0.25">
      <c r="B343" s="20">
        <f t="shared" si="22"/>
        <v>339</v>
      </c>
      <c r="C343" s="21">
        <f t="shared" si="30"/>
        <v>26250</v>
      </c>
      <c r="D343" s="21">
        <f t="shared" si="28"/>
        <v>1510.9418057010339</v>
      </c>
      <c r="E343" s="21">
        <f t="shared" si="31"/>
        <v>1250</v>
      </c>
      <c r="F343" s="21">
        <f t="shared" si="29"/>
        <v>260.94180570103379</v>
      </c>
      <c r="G343" s="21">
        <f t="shared" si="32"/>
        <v>0</v>
      </c>
    </row>
    <row r="344" spans="2:7" ht="16.8" customHeight="1" x14ac:dyDescent="0.25">
      <c r="B344" s="20">
        <f t="shared" si="22"/>
        <v>340</v>
      </c>
      <c r="C344" s="21">
        <f t="shared" si="30"/>
        <v>25000</v>
      </c>
      <c r="D344" s="21">
        <f t="shared" si="28"/>
        <v>1499.0808145328049</v>
      </c>
      <c r="E344" s="21">
        <f t="shared" si="31"/>
        <v>1250</v>
      </c>
      <c r="F344" s="21">
        <f t="shared" si="29"/>
        <v>249.08081453280494</v>
      </c>
      <c r="G344" s="21">
        <f t="shared" si="32"/>
        <v>0</v>
      </c>
    </row>
    <row r="345" spans="2:7" ht="16.8" customHeight="1" x14ac:dyDescent="0.25">
      <c r="B345" s="20">
        <f t="shared" si="22"/>
        <v>341</v>
      </c>
      <c r="C345" s="21">
        <f t="shared" si="30"/>
        <v>23750</v>
      </c>
      <c r="D345" s="21">
        <f t="shared" si="28"/>
        <v>1487.2198233645761</v>
      </c>
      <c r="E345" s="21">
        <f t="shared" si="31"/>
        <v>1250</v>
      </c>
      <c r="F345" s="21">
        <f t="shared" si="29"/>
        <v>237.21982336457614</v>
      </c>
      <c r="G345" s="21">
        <f t="shared" si="32"/>
        <v>0</v>
      </c>
    </row>
    <row r="346" spans="2:7" ht="16.8" customHeight="1" x14ac:dyDescent="0.25">
      <c r="B346" s="20">
        <f t="shared" si="22"/>
        <v>342</v>
      </c>
      <c r="C346" s="21">
        <f t="shared" si="30"/>
        <v>22500</v>
      </c>
      <c r="D346" s="21">
        <f t="shared" si="28"/>
        <v>1475.3588321963473</v>
      </c>
      <c r="E346" s="21">
        <f t="shared" si="31"/>
        <v>1250</v>
      </c>
      <c r="F346" s="21">
        <f t="shared" si="29"/>
        <v>225.35883219634735</v>
      </c>
      <c r="G346" s="21">
        <f t="shared" si="32"/>
        <v>0</v>
      </c>
    </row>
    <row r="347" spans="2:7" ht="16.8" customHeight="1" x14ac:dyDescent="0.25">
      <c r="B347" s="20">
        <f t="shared" si="22"/>
        <v>343</v>
      </c>
      <c r="C347" s="21">
        <f t="shared" si="30"/>
        <v>21250</v>
      </c>
      <c r="D347" s="21">
        <f t="shared" si="28"/>
        <v>1463.4978410281185</v>
      </c>
      <c r="E347" s="21">
        <f t="shared" si="31"/>
        <v>1250</v>
      </c>
      <c r="F347" s="21">
        <f t="shared" si="29"/>
        <v>213.49784102811853</v>
      </c>
      <c r="G347" s="21">
        <f t="shared" si="32"/>
        <v>0</v>
      </c>
    </row>
    <row r="348" spans="2:7" ht="16.8" customHeight="1" x14ac:dyDescent="0.25">
      <c r="B348" s="20">
        <f t="shared" si="22"/>
        <v>344</v>
      </c>
      <c r="C348" s="21">
        <f t="shared" si="30"/>
        <v>20000</v>
      </c>
      <c r="D348" s="21">
        <f t="shared" si="28"/>
        <v>1451.6368498598897</v>
      </c>
      <c r="E348" s="21">
        <f t="shared" si="31"/>
        <v>1250</v>
      </c>
      <c r="F348" s="21">
        <f t="shared" si="29"/>
        <v>201.63684985988971</v>
      </c>
      <c r="G348" s="21">
        <f t="shared" si="32"/>
        <v>0</v>
      </c>
    </row>
    <row r="349" spans="2:7" ht="16.8" customHeight="1" x14ac:dyDescent="0.25">
      <c r="B349" s="20">
        <f t="shared" si="22"/>
        <v>345</v>
      </c>
      <c r="C349" s="21">
        <f t="shared" si="30"/>
        <v>18750</v>
      </c>
      <c r="D349" s="21">
        <f t="shared" si="28"/>
        <v>1439.7758586916609</v>
      </c>
      <c r="E349" s="21">
        <f t="shared" si="31"/>
        <v>1250</v>
      </c>
      <c r="F349" s="21">
        <f t="shared" si="29"/>
        <v>189.77585869166091</v>
      </c>
      <c r="G349" s="21">
        <f t="shared" si="32"/>
        <v>0</v>
      </c>
    </row>
    <row r="350" spans="2:7" ht="16.8" customHeight="1" x14ac:dyDescent="0.25">
      <c r="B350" s="20">
        <f t="shared" si="22"/>
        <v>346</v>
      </c>
      <c r="C350" s="21">
        <f t="shared" si="30"/>
        <v>17500</v>
      </c>
      <c r="D350" s="21">
        <f t="shared" si="28"/>
        <v>1427.9148675234321</v>
      </c>
      <c r="E350" s="21">
        <f t="shared" si="31"/>
        <v>1250</v>
      </c>
      <c r="F350" s="21">
        <f t="shared" si="29"/>
        <v>177.91486752343212</v>
      </c>
      <c r="G350" s="21">
        <f t="shared" si="32"/>
        <v>0</v>
      </c>
    </row>
    <row r="351" spans="2:7" ht="16.8" customHeight="1" x14ac:dyDescent="0.25">
      <c r="B351" s="20">
        <f t="shared" si="22"/>
        <v>347</v>
      </c>
      <c r="C351" s="21">
        <f t="shared" si="30"/>
        <v>16250</v>
      </c>
      <c r="D351" s="21">
        <f t="shared" si="28"/>
        <v>1416.0538763552033</v>
      </c>
      <c r="E351" s="21">
        <f t="shared" si="31"/>
        <v>1250</v>
      </c>
      <c r="F351" s="21">
        <f t="shared" si="29"/>
        <v>166.0538763552033</v>
      </c>
      <c r="G351" s="21">
        <f t="shared" si="32"/>
        <v>0</v>
      </c>
    </row>
    <row r="352" spans="2:7" ht="16.8" customHeight="1" x14ac:dyDescent="0.25">
      <c r="B352" s="20">
        <f t="shared" si="22"/>
        <v>348</v>
      </c>
      <c r="C352" s="21">
        <f t="shared" si="30"/>
        <v>15000</v>
      </c>
      <c r="D352" s="21">
        <f t="shared" si="28"/>
        <v>1404.1928851869745</v>
      </c>
      <c r="E352" s="21">
        <f t="shared" si="31"/>
        <v>1250</v>
      </c>
      <c r="F352" s="21">
        <f t="shared" si="29"/>
        <v>154.19288518697448</v>
      </c>
      <c r="G352" s="21">
        <f t="shared" si="32"/>
        <v>0</v>
      </c>
    </row>
    <row r="353" spans="2:7" ht="16.8" customHeight="1" x14ac:dyDescent="0.25">
      <c r="B353" s="20">
        <f t="shared" si="22"/>
        <v>349</v>
      </c>
      <c r="C353" s="21">
        <f t="shared" si="30"/>
        <v>13750</v>
      </c>
      <c r="D353" s="21">
        <f t="shared" si="28"/>
        <v>1392.3318940187457</v>
      </c>
      <c r="E353" s="21">
        <f t="shared" si="31"/>
        <v>1250</v>
      </c>
      <c r="F353" s="21">
        <f t="shared" si="29"/>
        <v>142.33189401874569</v>
      </c>
      <c r="G353" s="21">
        <f t="shared" si="32"/>
        <v>0</v>
      </c>
    </row>
    <row r="354" spans="2:7" ht="16.8" customHeight="1" x14ac:dyDescent="0.25">
      <c r="B354" s="20">
        <f t="shared" si="22"/>
        <v>350</v>
      </c>
      <c r="C354" s="21">
        <f t="shared" si="30"/>
        <v>12500</v>
      </c>
      <c r="D354" s="21">
        <f t="shared" si="28"/>
        <v>1380.4709028505169</v>
      </c>
      <c r="E354" s="21">
        <f t="shared" si="31"/>
        <v>1250</v>
      </c>
      <c r="F354" s="21">
        <f t="shared" si="29"/>
        <v>130.47090285051689</v>
      </c>
      <c r="G354" s="21">
        <f t="shared" si="32"/>
        <v>0</v>
      </c>
    </row>
    <row r="355" spans="2:7" ht="16.8" customHeight="1" x14ac:dyDescent="0.25">
      <c r="B355" s="20">
        <f t="shared" si="22"/>
        <v>351</v>
      </c>
      <c r="C355" s="21">
        <f t="shared" si="30"/>
        <v>11250</v>
      </c>
      <c r="D355" s="21">
        <f t="shared" si="28"/>
        <v>1368.6099116822882</v>
      </c>
      <c r="E355" s="21">
        <f t="shared" si="31"/>
        <v>1250</v>
      </c>
      <c r="F355" s="21">
        <f t="shared" si="29"/>
        <v>118.60991168228807</v>
      </c>
      <c r="G355" s="21">
        <f t="shared" si="32"/>
        <v>0</v>
      </c>
    </row>
    <row r="356" spans="2:7" ht="16.8" customHeight="1" x14ac:dyDescent="0.25">
      <c r="B356" s="20">
        <f t="shared" si="22"/>
        <v>352</v>
      </c>
      <c r="C356" s="21">
        <f t="shared" si="30"/>
        <v>10000</v>
      </c>
      <c r="D356" s="21">
        <f t="shared" si="28"/>
        <v>1356.7489205140594</v>
      </c>
      <c r="E356" s="21">
        <f t="shared" si="31"/>
        <v>1250</v>
      </c>
      <c r="F356" s="21">
        <f t="shared" si="29"/>
        <v>106.74892051405926</v>
      </c>
      <c r="G356" s="21">
        <f t="shared" si="32"/>
        <v>0</v>
      </c>
    </row>
    <row r="357" spans="2:7" ht="16.8" customHeight="1" x14ac:dyDescent="0.25">
      <c r="B357" s="20">
        <f t="shared" si="22"/>
        <v>353</v>
      </c>
      <c r="C357" s="21">
        <f t="shared" si="30"/>
        <v>8750</v>
      </c>
      <c r="D357" s="21">
        <f t="shared" si="28"/>
        <v>1344.8879293458303</v>
      </c>
      <c r="E357" s="21">
        <f t="shared" si="31"/>
        <v>1250</v>
      </c>
      <c r="F357" s="21">
        <f t="shared" si="29"/>
        <v>94.887929345830457</v>
      </c>
      <c r="G357" s="21">
        <f t="shared" si="32"/>
        <v>0</v>
      </c>
    </row>
    <row r="358" spans="2:7" ht="16.8" customHeight="1" x14ac:dyDescent="0.25">
      <c r="B358" s="20">
        <f t="shared" si="22"/>
        <v>354</v>
      </c>
      <c r="C358" s="21">
        <f t="shared" si="30"/>
        <v>7500</v>
      </c>
      <c r="D358" s="21">
        <f t="shared" si="28"/>
        <v>1333.0269381776016</v>
      </c>
      <c r="E358" s="21">
        <f t="shared" si="31"/>
        <v>1250</v>
      </c>
      <c r="F358" s="21">
        <f t="shared" si="29"/>
        <v>83.02693817760165</v>
      </c>
      <c r="G358" s="21">
        <f t="shared" si="32"/>
        <v>0</v>
      </c>
    </row>
    <row r="359" spans="2:7" ht="16.8" customHeight="1" x14ac:dyDescent="0.25">
      <c r="B359" s="20">
        <f t="shared" si="22"/>
        <v>355</v>
      </c>
      <c r="C359" s="21">
        <f t="shared" si="30"/>
        <v>6250</v>
      </c>
      <c r="D359" s="21">
        <f t="shared" si="28"/>
        <v>1321.1659470093728</v>
      </c>
      <c r="E359" s="21">
        <f t="shared" si="31"/>
        <v>1250</v>
      </c>
      <c r="F359" s="21">
        <f t="shared" si="29"/>
        <v>71.165947009372843</v>
      </c>
      <c r="G359" s="21">
        <f t="shared" si="32"/>
        <v>0</v>
      </c>
    </row>
    <row r="360" spans="2:7" ht="16.8" customHeight="1" x14ac:dyDescent="0.25">
      <c r="B360" s="20">
        <f t="shared" si="22"/>
        <v>356</v>
      </c>
      <c r="C360" s="21">
        <f t="shared" si="30"/>
        <v>5000</v>
      </c>
      <c r="D360" s="21">
        <f t="shared" si="28"/>
        <v>1309.304955841144</v>
      </c>
      <c r="E360" s="21">
        <f t="shared" si="31"/>
        <v>1250</v>
      </c>
      <c r="F360" s="21">
        <f t="shared" si="29"/>
        <v>59.304955841144036</v>
      </c>
      <c r="G360" s="21">
        <f t="shared" si="32"/>
        <v>0</v>
      </c>
    </row>
    <row r="361" spans="2:7" ht="16.8" customHeight="1" x14ac:dyDescent="0.25">
      <c r="B361" s="20">
        <f t="shared" si="22"/>
        <v>357</v>
      </c>
      <c r="C361" s="21">
        <f t="shared" si="30"/>
        <v>3750</v>
      </c>
      <c r="D361" s="21">
        <f t="shared" si="28"/>
        <v>1297.4439646729152</v>
      </c>
      <c r="E361" s="21">
        <f t="shared" si="31"/>
        <v>1250</v>
      </c>
      <c r="F361" s="21">
        <f t="shared" si="29"/>
        <v>47.443964672915229</v>
      </c>
      <c r="G361" s="21">
        <f t="shared" si="32"/>
        <v>0</v>
      </c>
    </row>
    <row r="362" spans="2:7" ht="16.8" customHeight="1" x14ac:dyDescent="0.25">
      <c r="B362" s="20">
        <f t="shared" si="22"/>
        <v>358</v>
      </c>
      <c r="C362" s="21">
        <f t="shared" si="30"/>
        <v>2500</v>
      </c>
      <c r="D362" s="21">
        <f t="shared" si="28"/>
        <v>1285.5829735046864</v>
      </c>
      <c r="E362" s="21">
        <f t="shared" si="31"/>
        <v>1250</v>
      </c>
      <c r="F362" s="21">
        <f t="shared" si="29"/>
        <v>35.582973504686422</v>
      </c>
      <c r="G362" s="21">
        <f t="shared" si="32"/>
        <v>0</v>
      </c>
    </row>
    <row r="363" spans="2:7" ht="16.8" customHeight="1" x14ac:dyDescent="0.25">
      <c r="B363" s="20">
        <f t="shared" si="22"/>
        <v>359</v>
      </c>
      <c r="C363" s="21">
        <f t="shared" si="30"/>
        <v>1250</v>
      </c>
      <c r="D363" s="21">
        <f t="shared" si="28"/>
        <v>1273.7219823364576</v>
      </c>
      <c r="E363" s="21">
        <f t="shared" si="31"/>
        <v>1250</v>
      </c>
      <c r="F363" s="21">
        <f t="shared" si="29"/>
        <v>23.721982336457614</v>
      </c>
      <c r="G363" s="21">
        <f t="shared" si="32"/>
        <v>0</v>
      </c>
    </row>
    <row r="364" spans="2:7" ht="16.8" customHeight="1" x14ac:dyDescent="0.25">
      <c r="B364" s="20">
        <f t="shared" si="22"/>
        <v>360</v>
      </c>
      <c r="C364" s="21">
        <f t="shared" si="30"/>
        <v>0</v>
      </c>
      <c r="D364" s="21">
        <f t="shared" si="28"/>
        <v>1261.8609911682288</v>
      </c>
      <c r="E364" s="21">
        <f t="shared" si="31"/>
        <v>1250</v>
      </c>
      <c r="F364" s="21">
        <f t="shared" si="29"/>
        <v>11.860991168228807</v>
      </c>
      <c r="G364" s="21">
        <f t="shared" si="32"/>
        <v>0</v>
      </c>
    </row>
    <row r="365" spans="2:7" ht="16.8" customHeight="1" x14ac:dyDescent="0.25">
      <c r="B365" s="20">
        <f t="shared" si="22"/>
        <v>361</v>
      </c>
      <c r="C365" s="21">
        <f t="shared" si="30"/>
        <v>0</v>
      </c>
      <c r="D365" s="21">
        <f t="shared" si="28"/>
        <v>0</v>
      </c>
      <c r="E365" s="21">
        <f t="shared" si="31"/>
        <v>0</v>
      </c>
      <c r="F365" s="21">
        <f t="shared" si="29"/>
        <v>0</v>
      </c>
      <c r="G365" s="21">
        <f t="shared" si="32"/>
        <v>0</v>
      </c>
    </row>
    <row r="366" spans="2:7" ht="16.8" customHeight="1" x14ac:dyDescent="0.25">
      <c r="B366" s="20">
        <f t="shared" si="22"/>
        <v>362</v>
      </c>
      <c r="C366" s="21">
        <f t="shared" si="30"/>
        <v>0</v>
      </c>
      <c r="D366" s="21">
        <f t="shared" si="28"/>
        <v>0</v>
      </c>
      <c r="E366" s="21">
        <f t="shared" si="31"/>
        <v>0</v>
      </c>
      <c r="F366" s="21">
        <f t="shared" si="29"/>
        <v>0</v>
      </c>
      <c r="G366" s="21">
        <f t="shared" si="32"/>
        <v>0</v>
      </c>
    </row>
    <row r="367" spans="2:7" ht="16.8" customHeight="1" x14ac:dyDescent="0.25">
      <c r="B367" s="20">
        <f t="shared" si="22"/>
        <v>363</v>
      </c>
      <c r="C367" s="21">
        <f t="shared" si="30"/>
        <v>0</v>
      </c>
      <c r="D367" s="21">
        <f t="shared" si="28"/>
        <v>0</v>
      </c>
      <c r="E367" s="21">
        <f t="shared" si="31"/>
        <v>0</v>
      </c>
      <c r="F367" s="21">
        <f t="shared" si="29"/>
        <v>0</v>
      </c>
      <c r="G367" s="21">
        <f t="shared" si="32"/>
        <v>0</v>
      </c>
    </row>
    <row r="368" spans="2:7" ht="16.8" customHeight="1" x14ac:dyDescent="0.25">
      <c r="B368" s="20">
        <f t="shared" si="22"/>
        <v>364</v>
      </c>
      <c r="C368" s="21">
        <f t="shared" si="30"/>
        <v>0</v>
      </c>
      <c r="D368" s="21">
        <f t="shared" si="28"/>
        <v>0</v>
      </c>
      <c r="E368" s="21">
        <f t="shared" si="31"/>
        <v>0</v>
      </c>
      <c r="F368" s="21">
        <f t="shared" si="29"/>
        <v>0</v>
      </c>
      <c r="G368" s="21">
        <f t="shared" si="32"/>
        <v>0</v>
      </c>
    </row>
    <row r="369" spans="2:7" ht="16.8" customHeight="1" x14ac:dyDescent="0.25">
      <c r="B369" s="20">
        <f t="shared" si="22"/>
        <v>365</v>
      </c>
      <c r="C369" s="21">
        <f t="shared" si="30"/>
        <v>0</v>
      </c>
      <c r="D369" s="21">
        <f t="shared" si="28"/>
        <v>0</v>
      </c>
      <c r="E369" s="21">
        <f t="shared" si="31"/>
        <v>0</v>
      </c>
      <c r="F369" s="21">
        <f t="shared" si="29"/>
        <v>0</v>
      </c>
      <c r="G369" s="21">
        <f t="shared" si="32"/>
        <v>0</v>
      </c>
    </row>
    <row r="370" spans="2:7" ht="16.8" customHeight="1" x14ac:dyDescent="0.25">
      <c r="B370" s="20">
        <f t="shared" si="22"/>
        <v>366</v>
      </c>
      <c r="C370" s="21">
        <f t="shared" si="30"/>
        <v>0</v>
      </c>
      <c r="D370" s="21">
        <f t="shared" si="28"/>
        <v>0</v>
      </c>
      <c r="E370" s="21">
        <f t="shared" si="31"/>
        <v>0</v>
      </c>
      <c r="F370" s="21">
        <f t="shared" si="29"/>
        <v>0</v>
      </c>
      <c r="G370" s="21">
        <f t="shared" si="32"/>
        <v>0</v>
      </c>
    </row>
    <row r="371" spans="2:7" ht="16.8" customHeight="1" x14ac:dyDescent="0.25">
      <c r="B371" s="20">
        <f t="shared" si="22"/>
        <v>367</v>
      </c>
      <c r="C371" s="21">
        <f t="shared" si="30"/>
        <v>0</v>
      </c>
      <c r="D371" s="21">
        <f t="shared" si="28"/>
        <v>0</v>
      </c>
      <c r="E371" s="21">
        <f t="shared" si="31"/>
        <v>0</v>
      </c>
      <c r="F371" s="21">
        <f t="shared" si="29"/>
        <v>0</v>
      </c>
      <c r="G371" s="21">
        <f t="shared" si="32"/>
        <v>0</v>
      </c>
    </row>
    <row r="372" spans="2:7" ht="16.8" customHeight="1" x14ac:dyDescent="0.25">
      <c r="B372" s="20">
        <f t="shared" si="22"/>
        <v>368</v>
      </c>
      <c r="C372" s="21">
        <f t="shared" si="30"/>
        <v>0</v>
      </c>
      <c r="D372" s="21">
        <f t="shared" si="28"/>
        <v>0</v>
      </c>
      <c r="E372" s="21">
        <f t="shared" si="31"/>
        <v>0</v>
      </c>
      <c r="F372" s="21">
        <f t="shared" si="29"/>
        <v>0</v>
      </c>
      <c r="G372" s="21">
        <f t="shared" si="32"/>
        <v>0</v>
      </c>
    </row>
    <row r="373" spans="2:7" ht="16.8" customHeight="1" x14ac:dyDescent="0.25">
      <c r="B373" s="20">
        <f t="shared" si="22"/>
        <v>369</v>
      </c>
      <c r="C373" s="21">
        <f t="shared" si="30"/>
        <v>0</v>
      </c>
      <c r="D373" s="21">
        <f t="shared" si="28"/>
        <v>0</v>
      </c>
      <c r="E373" s="21">
        <f t="shared" si="31"/>
        <v>0</v>
      </c>
      <c r="F373" s="21">
        <f t="shared" si="29"/>
        <v>0</v>
      </c>
      <c r="G373" s="21">
        <f t="shared" si="32"/>
        <v>0</v>
      </c>
    </row>
    <row r="374" spans="2:7" ht="16.8" customHeight="1" x14ac:dyDescent="0.25">
      <c r="B374" s="20">
        <f t="shared" si="22"/>
        <v>370</v>
      </c>
      <c r="C374" s="21">
        <f t="shared" si="30"/>
        <v>0</v>
      </c>
      <c r="D374" s="21">
        <f t="shared" si="28"/>
        <v>0</v>
      </c>
      <c r="E374" s="21">
        <f t="shared" si="31"/>
        <v>0</v>
      </c>
      <c r="F374" s="21">
        <f t="shared" si="29"/>
        <v>0</v>
      </c>
      <c r="G374" s="21">
        <f t="shared" si="32"/>
        <v>0</v>
      </c>
    </row>
    <row r="375" spans="2:7" ht="16.8" customHeight="1" x14ac:dyDescent="0.25">
      <c r="B375" s="20">
        <f t="shared" si="22"/>
        <v>371</v>
      </c>
      <c r="C375" s="21">
        <f t="shared" si="30"/>
        <v>0</v>
      </c>
      <c r="D375" s="21">
        <f t="shared" si="28"/>
        <v>0</v>
      </c>
      <c r="E375" s="21">
        <f t="shared" si="31"/>
        <v>0</v>
      </c>
      <c r="F375" s="21">
        <f t="shared" si="29"/>
        <v>0</v>
      </c>
      <c r="G375" s="21">
        <f t="shared" si="32"/>
        <v>0</v>
      </c>
    </row>
    <row r="376" spans="2:7" ht="16.8" customHeight="1" x14ac:dyDescent="0.25">
      <c r="B376" s="20">
        <f t="shared" si="22"/>
        <v>372</v>
      </c>
      <c r="C376" s="21">
        <f t="shared" si="30"/>
        <v>0</v>
      </c>
      <c r="D376" s="21">
        <f t="shared" si="28"/>
        <v>0</v>
      </c>
      <c r="E376" s="21">
        <f t="shared" si="31"/>
        <v>0</v>
      </c>
      <c r="F376" s="21">
        <f t="shared" si="29"/>
        <v>0</v>
      </c>
      <c r="G376" s="21">
        <f t="shared" si="32"/>
        <v>0</v>
      </c>
    </row>
    <row r="377" spans="2:7" ht="16.8" customHeight="1" x14ac:dyDescent="0.25">
      <c r="B377" s="20">
        <f t="shared" si="22"/>
        <v>373</v>
      </c>
      <c r="C377" s="21">
        <f t="shared" si="30"/>
        <v>0</v>
      </c>
      <c r="D377" s="21">
        <f t="shared" si="28"/>
        <v>0</v>
      </c>
      <c r="E377" s="21">
        <f t="shared" si="31"/>
        <v>0</v>
      </c>
      <c r="F377" s="21">
        <f t="shared" si="29"/>
        <v>0</v>
      </c>
      <c r="G377" s="21">
        <f t="shared" si="32"/>
        <v>0</v>
      </c>
    </row>
    <row r="378" spans="2:7" ht="16.8" customHeight="1" x14ac:dyDescent="0.25">
      <c r="B378" s="20">
        <f t="shared" si="22"/>
        <v>374</v>
      </c>
      <c r="C378" s="21">
        <f t="shared" si="30"/>
        <v>0</v>
      </c>
      <c r="D378" s="21">
        <f t="shared" si="28"/>
        <v>0</v>
      </c>
      <c r="E378" s="21">
        <f t="shared" si="31"/>
        <v>0</v>
      </c>
      <c r="F378" s="21">
        <f t="shared" si="29"/>
        <v>0</v>
      </c>
      <c r="G378" s="21">
        <f t="shared" si="32"/>
        <v>0</v>
      </c>
    </row>
    <row r="379" spans="2:7" ht="16.8" customHeight="1" x14ac:dyDescent="0.25">
      <c r="B379" s="20">
        <f t="shared" si="22"/>
        <v>375</v>
      </c>
      <c r="C379" s="21">
        <f t="shared" si="30"/>
        <v>0</v>
      </c>
      <c r="D379" s="21">
        <f t="shared" si="28"/>
        <v>0</v>
      </c>
      <c r="E379" s="21">
        <f t="shared" si="31"/>
        <v>0</v>
      </c>
      <c r="F379" s="21">
        <f t="shared" si="29"/>
        <v>0</v>
      </c>
      <c r="G379" s="21">
        <f t="shared" si="32"/>
        <v>0</v>
      </c>
    </row>
    <row r="380" spans="2:7" ht="16.8" customHeight="1" x14ac:dyDescent="0.25">
      <c r="B380" s="20">
        <f t="shared" si="22"/>
        <v>376</v>
      </c>
      <c r="C380" s="21">
        <f t="shared" si="30"/>
        <v>0</v>
      </c>
      <c r="D380" s="21">
        <f t="shared" si="28"/>
        <v>0</v>
      </c>
      <c r="E380" s="21">
        <f t="shared" si="31"/>
        <v>0</v>
      </c>
      <c r="F380" s="21">
        <f t="shared" si="29"/>
        <v>0</v>
      </c>
      <c r="G380" s="21">
        <f t="shared" si="32"/>
        <v>0</v>
      </c>
    </row>
    <row r="381" spans="2:7" ht="16.8" customHeight="1" x14ac:dyDescent="0.25">
      <c r="B381" s="20">
        <f t="shared" si="22"/>
        <v>377</v>
      </c>
      <c r="C381" s="21">
        <f t="shared" si="30"/>
        <v>0</v>
      </c>
      <c r="D381" s="21">
        <f t="shared" si="28"/>
        <v>0</v>
      </c>
      <c r="E381" s="21">
        <f t="shared" si="31"/>
        <v>0</v>
      </c>
      <c r="F381" s="21">
        <f t="shared" si="29"/>
        <v>0</v>
      </c>
      <c r="G381" s="21">
        <f t="shared" si="32"/>
        <v>0</v>
      </c>
    </row>
    <row r="382" spans="2:7" ht="16.8" customHeight="1" x14ac:dyDescent="0.25">
      <c r="B382" s="20">
        <f t="shared" si="22"/>
        <v>378</v>
      </c>
      <c r="C382" s="21">
        <f t="shared" si="30"/>
        <v>0</v>
      </c>
      <c r="D382" s="21">
        <f t="shared" si="28"/>
        <v>0</v>
      </c>
      <c r="E382" s="21">
        <f t="shared" si="31"/>
        <v>0</v>
      </c>
      <c r="F382" s="21">
        <f t="shared" si="29"/>
        <v>0</v>
      </c>
      <c r="G382" s="21">
        <f t="shared" si="32"/>
        <v>0</v>
      </c>
    </row>
    <row r="383" spans="2:7" ht="16.8" customHeight="1" x14ac:dyDescent="0.25">
      <c r="B383" s="20">
        <f t="shared" si="22"/>
        <v>379</v>
      </c>
      <c r="C383" s="21">
        <f t="shared" si="30"/>
        <v>0</v>
      </c>
      <c r="D383" s="21">
        <f t="shared" si="28"/>
        <v>0</v>
      </c>
      <c r="E383" s="21">
        <f t="shared" si="31"/>
        <v>0</v>
      </c>
      <c r="F383" s="21">
        <f t="shared" si="29"/>
        <v>0</v>
      </c>
      <c r="G383" s="21">
        <f t="shared" si="32"/>
        <v>0</v>
      </c>
    </row>
    <row r="384" spans="2:7" ht="16.8" customHeight="1" x14ac:dyDescent="0.25">
      <c r="B384" s="20">
        <f t="shared" si="22"/>
        <v>380</v>
      </c>
      <c r="C384" s="21">
        <f t="shared" si="30"/>
        <v>0</v>
      </c>
      <c r="D384" s="21">
        <f t="shared" si="28"/>
        <v>0</v>
      </c>
      <c r="E384" s="21">
        <f t="shared" si="31"/>
        <v>0</v>
      </c>
      <c r="F384" s="21">
        <f t="shared" si="29"/>
        <v>0</v>
      </c>
      <c r="G384" s="21">
        <f t="shared" si="32"/>
        <v>0</v>
      </c>
    </row>
    <row r="385" spans="2:7" ht="16.8" customHeight="1" x14ac:dyDescent="0.25">
      <c r="B385" s="20">
        <f t="shared" si="22"/>
        <v>381</v>
      </c>
      <c r="C385" s="21">
        <f t="shared" si="30"/>
        <v>0</v>
      </c>
      <c r="D385" s="21">
        <f t="shared" si="28"/>
        <v>0</v>
      </c>
      <c r="E385" s="21">
        <f t="shared" si="31"/>
        <v>0</v>
      </c>
      <c r="F385" s="21">
        <f t="shared" si="29"/>
        <v>0</v>
      </c>
      <c r="G385" s="21">
        <f t="shared" si="32"/>
        <v>0</v>
      </c>
    </row>
    <row r="386" spans="2:7" ht="16.8" customHeight="1" x14ac:dyDescent="0.25">
      <c r="B386" s="20">
        <f t="shared" si="22"/>
        <v>382</v>
      </c>
      <c r="C386" s="21">
        <f t="shared" si="30"/>
        <v>0</v>
      </c>
      <c r="D386" s="21">
        <f t="shared" si="28"/>
        <v>0</v>
      </c>
      <c r="E386" s="21">
        <f t="shared" si="31"/>
        <v>0</v>
      </c>
      <c r="F386" s="21">
        <f t="shared" si="29"/>
        <v>0</v>
      </c>
      <c r="G386" s="21">
        <f t="shared" si="32"/>
        <v>0</v>
      </c>
    </row>
    <row r="387" spans="2:7" ht="16.8" customHeight="1" x14ac:dyDescent="0.25">
      <c r="B387" s="20">
        <f t="shared" si="22"/>
        <v>383</v>
      </c>
      <c r="C387" s="21">
        <f t="shared" si="30"/>
        <v>0</v>
      </c>
      <c r="D387" s="21">
        <f t="shared" si="28"/>
        <v>0</v>
      </c>
      <c r="E387" s="21">
        <f t="shared" si="31"/>
        <v>0</v>
      </c>
      <c r="F387" s="21">
        <f t="shared" si="29"/>
        <v>0</v>
      </c>
      <c r="G387" s="21">
        <f t="shared" si="32"/>
        <v>0</v>
      </c>
    </row>
    <row r="388" spans="2:7" ht="16.8" customHeight="1" x14ac:dyDescent="0.25">
      <c r="B388" s="20">
        <f t="shared" si="22"/>
        <v>384</v>
      </c>
      <c r="C388" s="21">
        <f t="shared" si="30"/>
        <v>0</v>
      </c>
      <c r="D388" s="21">
        <f t="shared" si="28"/>
        <v>0</v>
      </c>
      <c r="E388" s="21">
        <f t="shared" si="31"/>
        <v>0</v>
      </c>
      <c r="F388" s="21">
        <f t="shared" si="29"/>
        <v>0</v>
      </c>
      <c r="G388" s="21">
        <f t="shared" si="32"/>
        <v>0</v>
      </c>
    </row>
    <row r="389" spans="2:7" ht="16.8" customHeight="1" x14ac:dyDescent="0.25">
      <c r="B389" s="20">
        <f t="shared" si="22"/>
        <v>385</v>
      </c>
      <c r="C389" s="21">
        <f t="shared" si="30"/>
        <v>0</v>
      </c>
      <c r="D389" s="21">
        <f t="shared" si="28"/>
        <v>0</v>
      </c>
      <c r="E389" s="21">
        <f t="shared" si="31"/>
        <v>0</v>
      </c>
      <c r="F389" s="21">
        <f t="shared" si="29"/>
        <v>0</v>
      </c>
      <c r="G389" s="21">
        <f t="shared" si="32"/>
        <v>0</v>
      </c>
    </row>
    <row r="390" spans="2:7" ht="16.8" customHeight="1" x14ac:dyDescent="0.25">
      <c r="B390" s="20">
        <f t="shared" si="22"/>
        <v>386</v>
      </c>
      <c r="C390" s="21">
        <f t="shared" si="30"/>
        <v>0</v>
      </c>
      <c r="D390" s="21">
        <f t="shared" ref="D390:D424" si="33">E390+F390+G390</f>
        <v>0</v>
      </c>
      <c r="E390" s="21">
        <f t="shared" si="31"/>
        <v>0</v>
      </c>
      <c r="F390" s="21">
        <f t="shared" ref="F390:F424" si="34">+C389*$J$10</f>
        <v>0</v>
      </c>
      <c r="G390" s="21">
        <f t="shared" si="32"/>
        <v>0</v>
      </c>
    </row>
    <row r="391" spans="2:7" ht="16.8" customHeight="1" x14ac:dyDescent="0.25">
      <c r="B391" s="20">
        <f t="shared" si="22"/>
        <v>387</v>
      </c>
      <c r="C391" s="21">
        <f t="shared" ref="C391:C424" si="35">IFERROR(C390-E391,0)-H391</f>
        <v>0</v>
      </c>
      <c r="D391" s="21">
        <f t="shared" si="33"/>
        <v>0</v>
      </c>
      <c r="E391" s="21">
        <f t="shared" ref="E391:E424" si="36">IF(B391&gt;$J$11,0,E390)</f>
        <v>0</v>
      </c>
      <c r="F391" s="21">
        <f t="shared" si="34"/>
        <v>0</v>
      </c>
      <c r="G391" s="21">
        <f t="shared" si="32"/>
        <v>0</v>
      </c>
    </row>
    <row r="392" spans="2:7" ht="16.8" customHeight="1" x14ac:dyDescent="0.25">
      <c r="B392" s="20">
        <f t="shared" si="22"/>
        <v>388</v>
      </c>
      <c r="C392" s="21">
        <f t="shared" si="35"/>
        <v>0</v>
      </c>
      <c r="D392" s="21">
        <f t="shared" si="33"/>
        <v>0</v>
      </c>
      <c r="E392" s="21">
        <f t="shared" si="36"/>
        <v>0</v>
      </c>
      <c r="F392" s="21">
        <f t="shared" si="34"/>
        <v>0</v>
      </c>
      <c r="G392" s="21">
        <f t="shared" si="32"/>
        <v>0</v>
      </c>
    </row>
    <row r="393" spans="2:7" ht="16.8" customHeight="1" x14ac:dyDescent="0.25">
      <c r="B393" s="20">
        <f t="shared" si="22"/>
        <v>389</v>
      </c>
      <c r="C393" s="21">
        <f t="shared" si="35"/>
        <v>0</v>
      </c>
      <c r="D393" s="21">
        <f t="shared" si="33"/>
        <v>0</v>
      </c>
      <c r="E393" s="21">
        <f t="shared" si="36"/>
        <v>0</v>
      </c>
      <c r="F393" s="21">
        <f t="shared" si="34"/>
        <v>0</v>
      </c>
      <c r="G393" s="21">
        <f t="shared" si="32"/>
        <v>0</v>
      </c>
    </row>
    <row r="394" spans="2:7" ht="16.8" customHeight="1" x14ac:dyDescent="0.25">
      <c r="B394" s="20">
        <f t="shared" si="22"/>
        <v>390</v>
      </c>
      <c r="C394" s="21">
        <f t="shared" si="35"/>
        <v>0</v>
      </c>
      <c r="D394" s="21">
        <f t="shared" si="33"/>
        <v>0</v>
      </c>
      <c r="E394" s="21">
        <f t="shared" si="36"/>
        <v>0</v>
      </c>
      <c r="F394" s="21">
        <f t="shared" si="34"/>
        <v>0</v>
      </c>
      <c r="G394" s="21">
        <f t="shared" si="32"/>
        <v>0</v>
      </c>
    </row>
    <row r="395" spans="2:7" ht="16.8" customHeight="1" x14ac:dyDescent="0.25">
      <c r="B395" s="20">
        <f t="shared" si="22"/>
        <v>391</v>
      </c>
      <c r="C395" s="21">
        <f t="shared" si="35"/>
        <v>0</v>
      </c>
      <c r="D395" s="21">
        <f t="shared" si="33"/>
        <v>0</v>
      </c>
      <c r="E395" s="21">
        <f t="shared" si="36"/>
        <v>0</v>
      </c>
      <c r="F395" s="21">
        <f t="shared" si="34"/>
        <v>0</v>
      </c>
      <c r="G395" s="21">
        <f t="shared" si="32"/>
        <v>0</v>
      </c>
    </row>
    <row r="396" spans="2:7" ht="16.8" customHeight="1" x14ac:dyDescent="0.25">
      <c r="B396" s="20">
        <f t="shared" si="22"/>
        <v>392</v>
      </c>
      <c r="C396" s="21">
        <f t="shared" si="35"/>
        <v>0</v>
      </c>
      <c r="D396" s="21">
        <f t="shared" si="33"/>
        <v>0</v>
      </c>
      <c r="E396" s="21">
        <f t="shared" si="36"/>
        <v>0</v>
      </c>
      <c r="F396" s="21">
        <f t="shared" si="34"/>
        <v>0</v>
      </c>
      <c r="G396" s="21">
        <f t="shared" si="32"/>
        <v>0</v>
      </c>
    </row>
    <row r="397" spans="2:7" ht="16.8" customHeight="1" x14ac:dyDescent="0.25">
      <c r="B397" s="20">
        <f t="shared" si="22"/>
        <v>393</v>
      </c>
      <c r="C397" s="21">
        <f t="shared" si="35"/>
        <v>0</v>
      </c>
      <c r="D397" s="21">
        <f t="shared" si="33"/>
        <v>0</v>
      </c>
      <c r="E397" s="21">
        <f t="shared" si="36"/>
        <v>0</v>
      </c>
      <c r="F397" s="21">
        <f t="shared" si="34"/>
        <v>0</v>
      </c>
      <c r="G397" s="21">
        <f t="shared" si="32"/>
        <v>0</v>
      </c>
    </row>
    <row r="398" spans="2:7" ht="16.8" customHeight="1" x14ac:dyDescent="0.25">
      <c r="B398" s="20">
        <f t="shared" si="22"/>
        <v>394</v>
      </c>
      <c r="C398" s="21">
        <f t="shared" si="35"/>
        <v>0</v>
      </c>
      <c r="D398" s="21">
        <f t="shared" si="33"/>
        <v>0</v>
      </c>
      <c r="E398" s="21">
        <f t="shared" si="36"/>
        <v>0</v>
      </c>
      <c r="F398" s="21">
        <f t="shared" si="34"/>
        <v>0</v>
      </c>
      <c r="G398" s="21">
        <f t="shared" si="32"/>
        <v>0</v>
      </c>
    </row>
    <row r="399" spans="2:7" ht="16.8" customHeight="1" x14ac:dyDescent="0.25">
      <c r="B399" s="20">
        <f t="shared" si="22"/>
        <v>395</v>
      </c>
      <c r="C399" s="21">
        <f t="shared" si="35"/>
        <v>0</v>
      </c>
      <c r="D399" s="21">
        <f t="shared" si="33"/>
        <v>0</v>
      </c>
      <c r="E399" s="21">
        <f t="shared" si="36"/>
        <v>0</v>
      </c>
      <c r="F399" s="21">
        <f t="shared" si="34"/>
        <v>0</v>
      </c>
      <c r="G399" s="21">
        <f t="shared" si="32"/>
        <v>0</v>
      </c>
    </row>
    <row r="400" spans="2:7" ht="16.8" customHeight="1" x14ac:dyDescent="0.25">
      <c r="B400" s="20">
        <f t="shared" si="22"/>
        <v>396</v>
      </c>
      <c r="C400" s="21">
        <f t="shared" si="35"/>
        <v>0</v>
      </c>
      <c r="D400" s="21">
        <f t="shared" si="33"/>
        <v>0</v>
      </c>
      <c r="E400" s="21">
        <f t="shared" si="36"/>
        <v>0</v>
      </c>
      <c r="F400" s="21">
        <f t="shared" si="34"/>
        <v>0</v>
      </c>
      <c r="G400" s="21">
        <f t="shared" si="32"/>
        <v>0</v>
      </c>
    </row>
    <row r="401" spans="2:7" ht="16.8" customHeight="1" x14ac:dyDescent="0.25">
      <c r="B401" s="20">
        <f t="shared" si="22"/>
        <v>397</v>
      </c>
      <c r="C401" s="21">
        <f t="shared" si="35"/>
        <v>0</v>
      </c>
      <c r="D401" s="21">
        <f t="shared" si="33"/>
        <v>0</v>
      </c>
      <c r="E401" s="21">
        <f t="shared" si="36"/>
        <v>0</v>
      </c>
      <c r="F401" s="21">
        <f t="shared" si="34"/>
        <v>0</v>
      </c>
      <c r="G401" s="21">
        <f t="shared" ref="G401:G424" si="37">IF(B401&gt;$J$11,0,G400)</f>
        <v>0</v>
      </c>
    </row>
    <row r="402" spans="2:7" ht="16.8" customHeight="1" x14ac:dyDescent="0.25">
      <c r="B402" s="20">
        <f t="shared" si="22"/>
        <v>398</v>
      </c>
      <c r="C402" s="21">
        <f t="shared" si="35"/>
        <v>0</v>
      </c>
      <c r="D402" s="21">
        <f t="shared" si="33"/>
        <v>0</v>
      </c>
      <c r="E402" s="21">
        <f t="shared" si="36"/>
        <v>0</v>
      </c>
      <c r="F402" s="21">
        <f t="shared" si="34"/>
        <v>0</v>
      </c>
      <c r="G402" s="21">
        <f t="shared" si="37"/>
        <v>0</v>
      </c>
    </row>
    <row r="403" spans="2:7" ht="16.8" customHeight="1" x14ac:dyDescent="0.25">
      <c r="B403" s="20">
        <f t="shared" si="22"/>
        <v>399</v>
      </c>
      <c r="C403" s="21">
        <f t="shared" si="35"/>
        <v>0</v>
      </c>
      <c r="D403" s="21">
        <f t="shared" si="33"/>
        <v>0</v>
      </c>
      <c r="E403" s="21">
        <f t="shared" si="36"/>
        <v>0</v>
      </c>
      <c r="F403" s="21">
        <f t="shared" si="34"/>
        <v>0</v>
      </c>
      <c r="G403" s="21">
        <f t="shared" si="37"/>
        <v>0</v>
      </c>
    </row>
    <row r="404" spans="2:7" ht="16.8" customHeight="1" x14ac:dyDescent="0.25">
      <c r="B404" s="20">
        <f t="shared" si="22"/>
        <v>400</v>
      </c>
      <c r="C404" s="21">
        <f t="shared" si="35"/>
        <v>0</v>
      </c>
      <c r="D404" s="21">
        <f t="shared" si="33"/>
        <v>0</v>
      </c>
      <c r="E404" s="21">
        <f t="shared" si="36"/>
        <v>0</v>
      </c>
      <c r="F404" s="21">
        <f t="shared" si="34"/>
        <v>0</v>
      </c>
      <c r="G404" s="21">
        <f t="shared" si="37"/>
        <v>0</v>
      </c>
    </row>
    <row r="405" spans="2:7" ht="16.8" customHeight="1" x14ac:dyDescent="0.25">
      <c r="B405" s="20">
        <f t="shared" si="22"/>
        <v>401</v>
      </c>
      <c r="C405" s="21">
        <f t="shared" si="35"/>
        <v>0</v>
      </c>
      <c r="D405" s="21">
        <f t="shared" si="33"/>
        <v>0</v>
      </c>
      <c r="E405" s="21">
        <f t="shared" si="36"/>
        <v>0</v>
      </c>
      <c r="F405" s="21">
        <f t="shared" si="34"/>
        <v>0</v>
      </c>
      <c r="G405" s="21">
        <f t="shared" si="37"/>
        <v>0</v>
      </c>
    </row>
    <row r="406" spans="2:7" ht="16.8" customHeight="1" x14ac:dyDescent="0.25">
      <c r="B406" s="20">
        <f t="shared" si="22"/>
        <v>402</v>
      </c>
      <c r="C406" s="21">
        <f t="shared" si="35"/>
        <v>0</v>
      </c>
      <c r="D406" s="21">
        <f t="shared" si="33"/>
        <v>0</v>
      </c>
      <c r="E406" s="21">
        <f t="shared" si="36"/>
        <v>0</v>
      </c>
      <c r="F406" s="21">
        <f t="shared" si="34"/>
        <v>0</v>
      </c>
      <c r="G406" s="21">
        <f t="shared" si="37"/>
        <v>0</v>
      </c>
    </row>
    <row r="407" spans="2:7" ht="16.8" customHeight="1" x14ac:dyDescent="0.25">
      <c r="B407" s="20">
        <f t="shared" si="22"/>
        <v>403</v>
      </c>
      <c r="C407" s="21">
        <f t="shared" si="35"/>
        <v>0</v>
      </c>
      <c r="D407" s="21">
        <f t="shared" si="33"/>
        <v>0</v>
      </c>
      <c r="E407" s="21">
        <f t="shared" si="36"/>
        <v>0</v>
      </c>
      <c r="F407" s="21">
        <f t="shared" si="34"/>
        <v>0</v>
      </c>
      <c r="G407" s="21">
        <f t="shared" si="37"/>
        <v>0</v>
      </c>
    </row>
    <row r="408" spans="2:7" ht="16.8" customHeight="1" x14ac:dyDescent="0.25">
      <c r="B408" s="20">
        <f t="shared" si="22"/>
        <v>404</v>
      </c>
      <c r="C408" s="21">
        <f t="shared" si="35"/>
        <v>0</v>
      </c>
      <c r="D408" s="21">
        <f t="shared" si="33"/>
        <v>0</v>
      </c>
      <c r="E408" s="21">
        <f t="shared" si="36"/>
        <v>0</v>
      </c>
      <c r="F408" s="21">
        <f t="shared" si="34"/>
        <v>0</v>
      </c>
      <c r="G408" s="21">
        <f t="shared" si="37"/>
        <v>0</v>
      </c>
    </row>
    <row r="409" spans="2:7" ht="16.8" customHeight="1" x14ac:dyDescent="0.25">
      <c r="B409" s="20">
        <f t="shared" si="22"/>
        <v>405</v>
      </c>
      <c r="C409" s="21">
        <f t="shared" si="35"/>
        <v>0</v>
      </c>
      <c r="D409" s="21">
        <f t="shared" si="33"/>
        <v>0</v>
      </c>
      <c r="E409" s="21">
        <f t="shared" si="36"/>
        <v>0</v>
      </c>
      <c r="F409" s="21">
        <f t="shared" si="34"/>
        <v>0</v>
      </c>
      <c r="G409" s="21">
        <f t="shared" si="37"/>
        <v>0</v>
      </c>
    </row>
    <row r="410" spans="2:7" ht="16.8" customHeight="1" x14ac:dyDescent="0.25">
      <c r="B410" s="20">
        <f t="shared" si="22"/>
        <v>406</v>
      </c>
      <c r="C410" s="21">
        <f t="shared" si="35"/>
        <v>0</v>
      </c>
      <c r="D410" s="21">
        <f t="shared" si="33"/>
        <v>0</v>
      </c>
      <c r="E410" s="21">
        <f t="shared" si="36"/>
        <v>0</v>
      </c>
      <c r="F410" s="21">
        <f t="shared" si="34"/>
        <v>0</v>
      </c>
      <c r="G410" s="21">
        <f t="shared" si="37"/>
        <v>0</v>
      </c>
    </row>
    <row r="411" spans="2:7" ht="16.8" customHeight="1" x14ac:dyDescent="0.25">
      <c r="B411" s="20">
        <f t="shared" si="22"/>
        <v>407</v>
      </c>
      <c r="C411" s="21">
        <f t="shared" si="35"/>
        <v>0</v>
      </c>
      <c r="D411" s="21">
        <f t="shared" si="33"/>
        <v>0</v>
      </c>
      <c r="E411" s="21">
        <f t="shared" si="36"/>
        <v>0</v>
      </c>
      <c r="F411" s="21">
        <f t="shared" si="34"/>
        <v>0</v>
      </c>
      <c r="G411" s="21">
        <f t="shared" si="37"/>
        <v>0</v>
      </c>
    </row>
    <row r="412" spans="2:7" ht="16.8" customHeight="1" x14ac:dyDescent="0.25">
      <c r="B412" s="20">
        <f t="shared" si="22"/>
        <v>408</v>
      </c>
      <c r="C412" s="21">
        <f t="shared" si="35"/>
        <v>0</v>
      </c>
      <c r="D412" s="21">
        <f t="shared" si="33"/>
        <v>0</v>
      </c>
      <c r="E412" s="21">
        <f t="shared" si="36"/>
        <v>0</v>
      </c>
      <c r="F412" s="21">
        <f t="shared" si="34"/>
        <v>0</v>
      </c>
      <c r="G412" s="21">
        <f t="shared" si="37"/>
        <v>0</v>
      </c>
    </row>
    <row r="413" spans="2:7" ht="16.8" customHeight="1" x14ac:dyDescent="0.25">
      <c r="B413" s="20">
        <f t="shared" si="22"/>
        <v>409</v>
      </c>
      <c r="C413" s="21">
        <f t="shared" si="35"/>
        <v>0</v>
      </c>
      <c r="D413" s="21">
        <f t="shared" si="33"/>
        <v>0</v>
      </c>
      <c r="E413" s="21">
        <f t="shared" si="36"/>
        <v>0</v>
      </c>
      <c r="F413" s="21">
        <f t="shared" si="34"/>
        <v>0</v>
      </c>
      <c r="G413" s="21">
        <f t="shared" si="37"/>
        <v>0</v>
      </c>
    </row>
    <row r="414" spans="2:7" ht="16.8" customHeight="1" x14ac:dyDescent="0.25">
      <c r="B414" s="20">
        <f t="shared" si="22"/>
        <v>410</v>
      </c>
      <c r="C414" s="21">
        <f t="shared" si="35"/>
        <v>0</v>
      </c>
      <c r="D414" s="21">
        <f t="shared" si="33"/>
        <v>0</v>
      </c>
      <c r="E414" s="21">
        <f t="shared" si="36"/>
        <v>0</v>
      </c>
      <c r="F414" s="21">
        <f t="shared" si="34"/>
        <v>0</v>
      </c>
      <c r="G414" s="21">
        <f t="shared" si="37"/>
        <v>0</v>
      </c>
    </row>
    <row r="415" spans="2:7" ht="16.8" customHeight="1" x14ac:dyDescent="0.25">
      <c r="B415" s="20">
        <f t="shared" si="22"/>
        <v>411</v>
      </c>
      <c r="C415" s="21">
        <f t="shared" si="35"/>
        <v>0</v>
      </c>
      <c r="D415" s="21">
        <f t="shared" si="33"/>
        <v>0</v>
      </c>
      <c r="E415" s="21">
        <f t="shared" si="36"/>
        <v>0</v>
      </c>
      <c r="F415" s="21">
        <f t="shared" si="34"/>
        <v>0</v>
      </c>
      <c r="G415" s="21">
        <f t="shared" si="37"/>
        <v>0</v>
      </c>
    </row>
    <row r="416" spans="2:7" ht="16.8" customHeight="1" x14ac:dyDescent="0.25">
      <c r="B416" s="20">
        <f t="shared" si="22"/>
        <v>412</v>
      </c>
      <c r="C416" s="21">
        <f t="shared" si="35"/>
        <v>0</v>
      </c>
      <c r="D416" s="21">
        <f t="shared" si="33"/>
        <v>0</v>
      </c>
      <c r="E416" s="21">
        <f t="shared" si="36"/>
        <v>0</v>
      </c>
      <c r="F416" s="21">
        <f t="shared" si="34"/>
        <v>0</v>
      </c>
      <c r="G416" s="21">
        <f t="shared" si="37"/>
        <v>0</v>
      </c>
    </row>
    <row r="417" spans="2:7" ht="16.8" customHeight="1" x14ac:dyDescent="0.25">
      <c r="B417" s="20">
        <f t="shared" si="22"/>
        <v>413</v>
      </c>
      <c r="C417" s="21">
        <f t="shared" si="35"/>
        <v>0</v>
      </c>
      <c r="D417" s="21">
        <f t="shared" si="33"/>
        <v>0</v>
      </c>
      <c r="E417" s="21">
        <f t="shared" si="36"/>
        <v>0</v>
      </c>
      <c r="F417" s="21">
        <f t="shared" si="34"/>
        <v>0</v>
      </c>
      <c r="G417" s="21">
        <f t="shared" si="37"/>
        <v>0</v>
      </c>
    </row>
    <row r="418" spans="2:7" ht="16.8" customHeight="1" x14ac:dyDescent="0.25">
      <c r="B418" s="20">
        <f t="shared" si="22"/>
        <v>414</v>
      </c>
      <c r="C418" s="21">
        <f t="shared" si="35"/>
        <v>0</v>
      </c>
      <c r="D418" s="21">
        <f t="shared" si="33"/>
        <v>0</v>
      </c>
      <c r="E418" s="21">
        <f t="shared" si="36"/>
        <v>0</v>
      </c>
      <c r="F418" s="21">
        <f t="shared" si="34"/>
        <v>0</v>
      </c>
      <c r="G418" s="21">
        <f t="shared" si="37"/>
        <v>0</v>
      </c>
    </row>
    <row r="419" spans="2:7" ht="16.8" customHeight="1" x14ac:dyDescent="0.25">
      <c r="B419" s="20">
        <f t="shared" si="22"/>
        <v>415</v>
      </c>
      <c r="C419" s="21">
        <f t="shared" si="35"/>
        <v>0</v>
      </c>
      <c r="D419" s="21">
        <f t="shared" si="33"/>
        <v>0</v>
      </c>
      <c r="E419" s="21">
        <f t="shared" si="36"/>
        <v>0</v>
      </c>
      <c r="F419" s="21">
        <f t="shared" si="34"/>
        <v>0</v>
      </c>
      <c r="G419" s="21">
        <f t="shared" si="37"/>
        <v>0</v>
      </c>
    </row>
    <row r="420" spans="2:7" ht="16.8" customHeight="1" x14ac:dyDescent="0.25">
      <c r="B420" s="20">
        <f t="shared" si="22"/>
        <v>416</v>
      </c>
      <c r="C420" s="21">
        <f t="shared" si="35"/>
        <v>0</v>
      </c>
      <c r="D420" s="21">
        <f t="shared" si="33"/>
        <v>0</v>
      </c>
      <c r="E420" s="21">
        <f t="shared" si="36"/>
        <v>0</v>
      </c>
      <c r="F420" s="21">
        <f t="shared" si="34"/>
        <v>0</v>
      </c>
      <c r="G420" s="21">
        <f t="shared" si="37"/>
        <v>0</v>
      </c>
    </row>
    <row r="421" spans="2:7" ht="16.8" customHeight="1" x14ac:dyDescent="0.25">
      <c r="B421" s="20">
        <f t="shared" si="22"/>
        <v>417</v>
      </c>
      <c r="C421" s="21">
        <f t="shared" si="35"/>
        <v>0</v>
      </c>
      <c r="D421" s="21">
        <f t="shared" si="33"/>
        <v>0</v>
      </c>
      <c r="E421" s="21">
        <f t="shared" si="36"/>
        <v>0</v>
      </c>
      <c r="F421" s="21">
        <f t="shared" si="34"/>
        <v>0</v>
      </c>
      <c r="G421" s="21">
        <f t="shared" si="37"/>
        <v>0</v>
      </c>
    </row>
    <row r="422" spans="2:7" ht="16.8" customHeight="1" x14ac:dyDescent="0.25">
      <c r="B422" s="20">
        <f t="shared" si="22"/>
        <v>418</v>
      </c>
      <c r="C422" s="21">
        <f t="shared" si="35"/>
        <v>0</v>
      </c>
      <c r="D422" s="21">
        <f t="shared" si="33"/>
        <v>0</v>
      </c>
      <c r="E422" s="21">
        <f t="shared" si="36"/>
        <v>0</v>
      </c>
      <c r="F422" s="21">
        <f t="shared" si="34"/>
        <v>0</v>
      </c>
      <c r="G422" s="21">
        <f t="shared" si="37"/>
        <v>0</v>
      </c>
    </row>
    <row r="423" spans="2:7" ht="16.8" customHeight="1" x14ac:dyDescent="0.25">
      <c r="B423" s="20">
        <f t="shared" si="22"/>
        <v>419</v>
      </c>
      <c r="C423" s="21">
        <f t="shared" si="35"/>
        <v>0</v>
      </c>
      <c r="D423" s="21">
        <f t="shared" si="33"/>
        <v>0</v>
      </c>
      <c r="E423" s="21">
        <f t="shared" si="36"/>
        <v>0</v>
      </c>
      <c r="F423" s="21">
        <f t="shared" si="34"/>
        <v>0</v>
      </c>
      <c r="G423" s="21">
        <f t="shared" si="37"/>
        <v>0</v>
      </c>
    </row>
    <row r="424" spans="2:7" ht="16.8" customHeight="1" x14ac:dyDescent="0.25">
      <c r="B424" s="20">
        <f t="shared" si="22"/>
        <v>420</v>
      </c>
      <c r="C424" s="21">
        <f t="shared" si="35"/>
        <v>0</v>
      </c>
      <c r="D424" s="21">
        <f t="shared" si="33"/>
        <v>0</v>
      </c>
      <c r="E424" s="21">
        <f t="shared" si="36"/>
        <v>0</v>
      </c>
      <c r="F424" s="21">
        <f t="shared" si="34"/>
        <v>0</v>
      </c>
      <c r="G424" s="21">
        <f t="shared" si="37"/>
        <v>0</v>
      </c>
    </row>
  </sheetData>
  <mergeCells count="1">
    <mergeCell ref="B1:G1"/>
  </mergeCells>
  <pageMargins left="0.511811024" right="0.511811024" top="0.78740157499999996" bottom="0.78740157499999996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423"/>
  <sheetViews>
    <sheetView showGridLines="0" workbookViewId="0">
      <pane ySplit="2" topLeftCell="A3" activePane="bottomLeft" state="frozen"/>
      <selection activeCell="D363" sqref="D363"/>
      <selection pane="bottomLeft" activeCell="G10" sqref="G10"/>
    </sheetView>
  </sheetViews>
  <sheetFormatPr defaultColWidth="12.5546875" defaultRowHeight="16.8" customHeight="1" x14ac:dyDescent="0.25"/>
  <cols>
    <col min="1" max="1" width="1.44140625" customWidth="1"/>
    <col min="2" max="2" width="5.77734375" style="15" customWidth="1"/>
    <col min="3" max="3" width="20.77734375" style="15" customWidth="1"/>
    <col min="4" max="4" width="15.77734375" style="15" bestFit="1" customWidth="1"/>
    <col min="5" max="5" width="2.44140625" style="15" customWidth="1"/>
    <col min="6" max="6" width="16.77734375" style="15" bestFit="1" customWidth="1"/>
    <col min="7" max="7" width="18.6640625" style="15" bestFit="1" customWidth="1"/>
    <col min="8" max="25" width="7.5546875" customWidth="1"/>
  </cols>
  <sheetData>
    <row r="2" spans="2:7" ht="26.4" customHeight="1" x14ac:dyDescent="0.25">
      <c r="B2" s="10" t="s">
        <v>38</v>
      </c>
      <c r="C2" s="10" t="s">
        <v>54</v>
      </c>
      <c r="D2" s="10" t="s">
        <v>5</v>
      </c>
      <c r="E2" s="9"/>
      <c r="F2" s="9"/>
      <c r="G2" s="9"/>
    </row>
    <row r="3" spans="2:7" ht="16.8" customHeight="1" x14ac:dyDescent="0.25">
      <c r="B3" s="35">
        <v>0</v>
      </c>
      <c r="C3" s="36">
        <f>'Preencha Aqui'!C17</f>
        <v>2500</v>
      </c>
      <c r="D3" s="21">
        <v>0</v>
      </c>
      <c r="E3" s="19"/>
      <c r="F3" s="19"/>
      <c r="G3" s="19"/>
    </row>
    <row r="4" spans="2:7" ht="16.8" customHeight="1" x14ac:dyDescent="0.25">
      <c r="B4" s="35">
        <v>1</v>
      </c>
      <c r="C4" s="37">
        <f t="shared" ref="C4:C15" si="0">C3</f>
        <v>2500</v>
      </c>
      <c r="D4" s="21">
        <v>0</v>
      </c>
      <c r="E4" s="19"/>
      <c r="F4" s="19"/>
      <c r="G4" s="19"/>
    </row>
    <row r="5" spans="2:7" ht="16.8" customHeight="1" x14ac:dyDescent="0.25">
      <c r="B5" s="35">
        <f t="shared" ref="B5:B259" si="1">+B4+1</f>
        <v>2</v>
      </c>
      <c r="C5" s="37">
        <f t="shared" si="0"/>
        <v>2500</v>
      </c>
      <c r="D5" s="21">
        <v>0</v>
      </c>
      <c r="E5" s="19"/>
      <c r="F5" s="30" t="s">
        <v>55</v>
      </c>
      <c r="G5" s="33">
        <f>'Preencha Aqui'!C16</f>
        <v>9.2700000000000005E-2</v>
      </c>
    </row>
    <row r="6" spans="2:7" ht="16.8" customHeight="1" x14ac:dyDescent="0.25">
      <c r="B6" s="35">
        <f t="shared" si="1"/>
        <v>3</v>
      </c>
      <c r="C6" s="37">
        <f t="shared" si="0"/>
        <v>2500</v>
      </c>
      <c r="D6" s="21">
        <v>0</v>
      </c>
      <c r="E6" s="19"/>
      <c r="F6" s="30" t="s">
        <v>11</v>
      </c>
      <c r="G6" s="38">
        <f>'Preencha Aqui'!C17</f>
        <v>2500</v>
      </c>
    </row>
    <row r="7" spans="2:7" ht="16.8" customHeight="1" x14ac:dyDescent="0.25">
      <c r="B7" s="35">
        <f t="shared" si="1"/>
        <v>4</v>
      </c>
      <c r="C7" s="37">
        <f t="shared" si="0"/>
        <v>2500</v>
      </c>
      <c r="D7" s="21">
        <v>0</v>
      </c>
      <c r="E7" s="19"/>
      <c r="F7" s="30" t="s">
        <v>8</v>
      </c>
      <c r="G7" s="34">
        <f>'Preencha Aqui'!C11</f>
        <v>360</v>
      </c>
    </row>
    <row r="8" spans="2:7" ht="16.8" customHeight="1" x14ac:dyDescent="0.25">
      <c r="B8" s="35">
        <f t="shared" si="1"/>
        <v>5</v>
      </c>
      <c r="C8" s="37">
        <f t="shared" si="0"/>
        <v>2500</v>
      </c>
      <c r="D8" s="21">
        <v>0</v>
      </c>
      <c r="E8" s="19"/>
      <c r="F8" s="30" t="s">
        <v>56</v>
      </c>
      <c r="G8" s="32">
        <f>SUM(C3:C423)+SUM(D3:D423)</f>
        <v>4303428.9561579442</v>
      </c>
    </row>
    <row r="9" spans="2:7" ht="16.8" customHeight="1" x14ac:dyDescent="0.25">
      <c r="B9" s="35">
        <f t="shared" si="1"/>
        <v>6</v>
      </c>
      <c r="C9" s="37">
        <f t="shared" si="0"/>
        <v>2500</v>
      </c>
      <c r="D9" s="21">
        <v>0</v>
      </c>
      <c r="E9" s="19"/>
      <c r="F9" s="19"/>
      <c r="G9" s="19"/>
    </row>
    <row r="10" spans="2:7" ht="16.8" customHeight="1" x14ac:dyDescent="0.25">
      <c r="B10" s="35">
        <f t="shared" si="1"/>
        <v>7</v>
      </c>
      <c r="C10" s="37">
        <f t="shared" si="0"/>
        <v>2500</v>
      </c>
      <c r="D10" s="21">
        <v>0</v>
      </c>
      <c r="E10" s="19"/>
      <c r="F10" s="19"/>
      <c r="G10" s="19"/>
    </row>
    <row r="11" spans="2:7" ht="16.8" customHeight="1" x14ac:dyDescent="0.25">
      <c r="B11" s="35">
        <f t="shared" si="1"/>
        <v>8</v>
      </c>
      <c r="C11" s="37">
        <f t="shared" si="0"/>
        <v>2500</v>
      </c>
      <c r="D11" s="21">
        <v>0</v>
      </c>
      <c r="E11" s="19"/>
      <c r="F11" s="19"/>
      <c r="G11" s="19"/>
    </row>
    <row r="12" spans="2:7" ht="16.8" customHeight="1" x14ac:dyDescent="0.25">
      <c r="B12" s="35">
        <f t="shared" si="1"/>
        <v>9</v>
      </c>
      <c r="C12" s="37">
        <f t="shared" si="0"/>
        <v>2500</v>
      </c>
      <c r="D12" s="21">
        <v>0</v>
      </c>
      <c r="E12" s="19"/>
      <c r="F12" s="19"/>
      <c r="G12" s="19"/>
    </row>
    <row r="13" spans="2:7" ht="16.8" customHeight="1" x14ac:dyDescent="0.25">
      <c r="B13" s="35">
        <f t="shared" si="1"/>
        <v>10</v>
      </c>
      <c r="C13" s="37">
        <f t="shared" si="0"/>
        <v>2500</v>
      </c>
      <c r="D13" s="21">
        <v>0</v>
      </c>
      <c r="E13" s="19"/>
      <c r="F13" s="19"/>
      <c r="G13" s="19"/>
    </row>
    <row r="14" spans="2:7" ht="16.8" customHeight="1" x14ac:dyDescent="0.25">
      <c r="B14" s="35">
        <f t="shared" si="1"/>
        <v>11</v>
      </c>
      <c r="C14" s="37">
        <f t="shared" si="0"/>
        <v>2500</v>
      </c>
      <c r="D14" s="21">
        <v>0</v>
      </c>
      <c r="E14" s="19"/>
      <c r="F14" s="19"/>
      <c r="G14" s="19"/>
    </row>
    <row r="15" spans="2:7" ht="16.8" customHeight="1" x14ac:dyDescent="0.25">
      <c r="B15" s="35">
        <f t="shared" si="1"/>
        <v>12</v>
      </c>
      <c r="C15" s="37">
        <f t="shared" si="0"/>
        <v>2500</v>
      </c>
      <c r="D15" s="21">
        <v>0</v>
      </c>
      <c r="E15" s="19"/>
      <c r="F15" s="19"/>
      <c r="G15" s="19"/>
    </row>
    <row r="16" spans="2:7" ht="16.8" customHeight="1" x14ac:dyDescent="0.25">
      <c r="B16" s="39">
        <f t="shared" si="1"/>
        <v>13</v>
      </c>
      <c r="C16" s="40">
        <f>IF(B16&gt;$G$7,"",+C15+(C15*$G$5))</f>
        <v>2731.75</v>
      </c>
      <c r="D16" s="40">
        <f>IF(C16="","",D3*'Preencha Aqui'!$C$25)</f>
        <v>0</v>
      </c>
      <c r="E16" s="19"/>
      <c r="F16" s="19"/>
      <c r="G16" s="19"/>
    </row>
    <row r="17" spans="2:4" ht="16.8" customHeight="1" x14ac:dyDescent="0.25">
      <c r="B17" s="35">
        <f t="shared" si="1"/>
        <v>14</v>
      </c>
      <c r="C17" s="37">
        <f t="shared" ref="C17:C27" si="2">IF(B17&gt;$G$7,"",C16)</f>
        <v>2731.75</v>
      </c>
      <c r="D17" s="21">
        <v>0</v>
      </c>
    </row>
    <row r="18" spans="2:4" ht="16.8" customHeight="1" x14ac:dyDescent="0.25">
      <c r="B18" s="35">
        <f t="shared" si="1"/>
        <v>15</v>
      </c>
      <c r="C18" s="37">
        <f t="shared" si="2"/>
        <v>2731.75</v>
      </c>
      <c r="D18" s="21">
        <v>0</v>
      </c>
    </row>
    <row r="19" spans="2:4" ht="16.8" customHeight="1" x14ac:dyDescent="0.25">
      <c r="B19" s="35">
        <f t="shared" si="1"/>
        <v>16</v>
      </c>
      <c r="C19" s="37">
        <f t="shared" si="2"/>
        <v>2731.75</v>
      </c>
      <c r="D19" s="21">
        <v>0</v>
      </c>
    </row>
    <row r="20" spans="2:4" ht="16.8" customHeight="1" x14ac:dyDescent="0.25">
      <c r="B20" s="35">
        <f t="shared" si="1"/>
        <v>17</v>
      </c>
      <c r="C20" s="37">
        <f t="shared" si="2"/>
        <v>2731.75</v>
      </c>
      <c r="D20" s="21">
        <v>0</v>
      </c>
    </row>
    <row r="21" spans="2:4" ht="16.8" customHeight="1" x14ac:dyDescent="0.25">
      <c r="B21" s="35">
        <f t="shared" si="1"/>
        <v>18</v>
      </c>
      <c r="C21" s="37">
        <f t="shared" si="2"/>
        <v>2731.75</v>
      </c>
      <c r="D21" s="21">
        <v>0</v>
      </c>
    </row>
    <row r="22" spans="2:4" ht="16.8" customHeight="1" x14ac:dyDescent="0.25">
      <c r="B22" s="35">
        <f t="shared" si="1"/>
        <v>19</v>
      </c>
      <c r="C22" s="37">
        <f t="shared" si="2"/>
        <v>2731.75</v>
      </c>
      <c r="D22" s="21">
        <v>0</v>
      </c>
    </row>
    <row r="23" spans="2:4" ht="16.8" customHeight="1" x14ac:dyDescent="0.25">
      <c r="B23" s="35">
        <f t="shared" si="1"/>
        <v>20</v>
      </c>
      <c r="C23" s="37">
        <f t="shared" si="2"/>
        <v>2731.75</v>
      </c>
      <c r="D23" s="21">
        <v>0</v>
      </c>
    </row>
    <row r="24" spans="2:4" ht="16.8" customHeight="1" x14ac:dyDescent="0.25">
      <c r="B24" s="35">
        <f t="shared" si="1"/>
        <v>21</v>
      </c>
      <c r="C24" s="37">
        <f t="shared" si="2"/>
        <v>2731.75</v>
      </c>
      <c r="D24" s="21">
        <v>0</v>
      </c>
    </row>
    <row r="25" spans="2:4" ht="16.8" customHeight="1" x14ac:dyDescent="0.25">
      <c r="B25" s="35">
        <f t="shared" si="1"/>
        <v>22</v>
      </c>
      <c r="C25" s="37">
        <f t="shared" si="2"/>
        <v>2731.75</v>
      </c>
      <c r="D25" s="21">
        <v>0</v>
      </c>
    </row>
    <row r="26" spans="2:4" ht="16.8" customHeight="1" x14ac:dyDescent="0.25">
      <c r="B26" s="35">
        <f t="shared" si="1"/>
        <v>23</v>
      </c>
      <c r="C26" s="37">
        <f t="shared" si="2"/>
        <v>2731.75</v>
      </c>
      <c r="D26" s="21">
        <v>0</v>
      </c>
    </row>
    <row r="27" spans="2:4" ht="16.8" customHeight="1" x14ac:dyDescent="0.25">
      <c r="B27" s="35">
        <f t="shared" si="1"/>
        <v>24</v>
      </c>
      <c r="C27" s="37">
        <f t="shared" si="2"/>
        <v>2731.75</v>
      </c>
      <c r="D27" s="21">
        <v>0</v>
      </c>
    </row>
    <row r="28" spans="2:4" ht="16.8" customHeight="1" x14ac:dyDescent="0.25">
      <c r="B28" s="39">
        <f t="shared" si="1"/>
        <v>25</v>
      </c>
      <c r="C28" s="40">
        <f>IF(B28&gt;$G$7,"",+C27+(C27*$G$5))</f>
        <v>2984.9832249999999</v>
      </c>
      <c r="D28" s="40">
        <f>IF(C28="","",D16*'Preencha Aqui'!$C$25)</f>
        <v>0</v>
      </c>
    </row>
    <row r="29" spans="2:4" ht="16.8" customHeight="1" x14ac:dyDescent="0.25">
      <c r="B29" s="35">
        <f t="shared" si="1"/>
        <v>26</v>
      </c>
      <c r="C29" s="37">
        <f t="shared" ref="C29:C39" si="3">IF(B29&gt;$G$7,"",C28)</f>
        <v>2984.9832249999999</v>
      </c>
      <c r="D29" s="21">
        <v>0</v>
      </c>
    </row>
    <row r="30" spans="2:4" ht="16.8" customHeight="1" x14ac:dyDescent="0.25">
      <c r="B30" s="35">
        <f t="shared" si="1"/>
        <v>27</v>
      </c>
      <c r="C30" s="37">
        <f t="shared" si="3"/>
        <v>2984.9832249999999</v>
      </c>
      <c r="D30" s="21">
        <v>0</v>
      </c>
    </row>
    <row r="31" spans="2:4" ht="16.8" customHeight="1" x14ac:dyDescent="0.25">
      <c r="B31" s="35">
        <f t="shared" si="1"/>
        <v>28</v>
      </c>
      <c r="C31" s="37">
        <f t="shared" si="3"/>
        <v>2984.9832249999999</v>
      </c>
      <c r="D31" s="21">
        <v>0</v>
      </c>
    </row>
    <row r="32" spans="2:4" ht="16.8" customHeight="1" x14ac:dyDescent="0.25">
      <c r="B32" s="35">
        <f t="shared" si="1"/>
        <v>29</v>
      </c>
      <c r="C32" s="37">
        <f t="shared" si="3"/>
        <v>2984.9832249999999</v>
      </c>
      <c r="D32" s="21">
        <v>0</v>
      </c>
    </row>
    <row r="33" spans="2:4" ht="16.8" customHeight="1" x14ac:dyDescent="0.25">
      <c r="B33" s="35">
        <f t="shared" si="1"/>
        <v>30</v>
      </c>
      <c r="C33" s="37">
        <f t="shared" si="3"/>
        <v>2984.9832249999999</v>
      </c>
      <c r="D33" s="21">
        <v>0</v>
      </c>
    </row>
    <row r="34" spans="2:4" ht="16.8" customHeight="1" x14ac:dyDescent="0.25">
      <c r="B34" s="35">
        <f t="shared" si="1"/>
        <v>31</v>
      </c>
      <c r="C34" s="37">
        <f t="shared" si="3"/>
        <v>2984.9832249999999</v>
      </c>
      <c r="D34" s="21">
        <v>0</v>
      </c>
    </row>
    <row r="35" spans="2:4" ht="16.8" customHeight="1" x14ac:dyDescent="0.25">
      <c r="B35" s="35">
        <f t="shared" si="1"/>
        <v>32</v>
      </c>
      <c r="C35" s="37">
        <f t="shared" si="3"/>
        <v>2984.9832249999999</v>
      </c>
      <c r="D35" s="21">
        <v>0</v>
      </c>
    </row>
    <row r="36" spans="2:4" ht="16.8" customHeight="1" x14ac:dyDescent="0.25">
      <c r="B36" s="35">
        <f t="shared" si="1"/>
        <v>33</v>
      </c>
      <c r="C36" s="37">
        <f t="shared" si="3"/>
        <v>2984.9832249999999</v>
      </c>
      <c r="D36" s="21">
        <v>0</v>
      </c>
    </row>
    <row r="37" spans="2:4" ht="16.8" customHeight="1" x14ac:dyDescent="0.25">
      <c r="B37" s="35">
        <f t="shared" si="1"/>
        <v>34</v>
      </c>
      <c r="C37" s="37">
        <f t="shared" si="3"/>
        <v>2984.9832249999999</v>
      </c>
      <c r="D37" s="21">
        <v>0</v>
      </c>
    </row>
    <row r="38" spans="2:4" ht="16.8" customHeight="1" x14ac:dyDescent="0.25">
      <c r="B38" s="35">
        <f t="shared" si="1"/>
        <v>35</v>
      </c>
      <c r="C38" s="37">
        <f t="shared" si="3"/>
        <v>2984.9832249999999</v>
      </c>
      <c r="D38" s="21">
        <v>0</v>
      </c>
    </row>
    <row r="39" spans="2:4" ht="16.8" customHeight="1" x14ac:dyDescent="0.25">
      <c r="B39" s="35">
        <f t="shared" si="1"/>
        <v>36</v>
      </c>
      <c r="C39" s="37">
        <f t="shared" si="3"/>
        <v>2984.9832249999999</v>
      </c>
      <c r="D39" s="21">
        <v>0</v>
      </c>
    </row>
    <row r="40" spans="2:4" ht="16.8" customHeight="1" x14ac:dyDescent="0.25">
      <c r="B40" s="39">
        <f t="shared" si="1"/>
        <v>37</v>
      </c>
      <c r="C40" s="40">
        <f>IF(B40&gt;$G$7,"",+C39+(C39*$G$5))</f>
        <v>3261.6911699574998</v>
      </c>
      <c r="D40" s="40">
        <f>IF(C40="","",D28*'Preencha Aqui'!$C$25)</f>
        <v>0</v>
      </c>
    </row>
    <row r="41" spans="2:4" ht="16.8" customHeight="1" x14ac:dyDescent="0.25">
      <c r="B41" s="35">
        <f t="shared" si="1"/>
        <v>38</v>
      </c>
      <c r="C41" s="37">
        <f t="shared" ref="C41:C51" si="4">IF(B41&gt;$G$7,"",C40)</f>
        <v>3261.6911699574998</v>
      </c>
      <c r="D41" s="21">
        <v>0</v>
      </c>
    </row>
    <row r="42" spans="2:4" ht="16.8" customHeight="1" x14ac:dyDescent="0.25">
      <c r="B42" s="35">
        <f t="shared" si="1"/>
        <v>39</v>
      </c>
      <c r="C42" s="37">
        <f t="shared" si="4"/>
        <v>3261.6911699574998</v>
      </c>
      <c r="D42" s="21">
        <v>0</v>
      </c>
    </row>
    <row r="43" spans="2:4" ht="16.8" customHeight="1" x14ac:dyDescent="0.25">
      <c r="B43" s="35">
        <f t="shared" si="1"/>
        <v>40</v>
      </c>
      <c r="C43" s="37">
        <f t="shared" si="4"/>
        <v>3261.6911699574998</v>
      </c>
      <c r="D43" s="21">
        <v>0</v>
      </c>
    </row>
    <row r="44" spans="2:4" ht="16.8" customHeight="1" x14ac:dyDescent="0.25">
      <c r="B44" s="35">
        <f t="shared" si="1"/>
        <v>41</v>
      </c>
      <c r="C44" s="37">
        <f t="shared" si="4"/>
        <v>3261.6911699574998</v>
      </c>
      <c r="D44" s="21">
        <v>0</v>
      </c>
    </row>
    <row r="45" spans="2:4" ht="16.8" customHeight="1" x14ac:dyDescent="0.25">
      <c r="B45" s="35">
        <f t="shared" si="1"/>
        <v>42</v>
      </c>
      <c r="C45" s="37">
        <f t="shared" si="4"/>
        <v>3261.6911699574998</v>
      </c>
      <c r="D45" s="21">
        <v>0</v>
      </c>
    </row>
    <row r="46" spans="2:4" ht="16.8" customHeight="1" x14ac:dyDescent="0.25">
      <c r="B46" s="35">
        <f t="shared" si="1"/>
        <v>43</v>
      </c>
      <c r="C46" s="37">
        <f t="shared" si="4"/>
        <v>3261.6911699574998</v>
      </c>
      <c r="D46" s="21">
        <v>0</v>
      </c>
    </row>
    <row r="47" spans="2:4" ht="16.8" customHeight="1" x14ac:dyDescent="0.25">
      <c r="B47" s="35">
        <f t="shared" si="1"/>
        <v>44</v>
      </c>
      <c r="C47" s="37">
        <f t="shared" si="4"/>
        <v>3261.6911699574998</v>
      </c>
      <c r="D47" s="21">
        <v>0</v>
      </c>
    </row>
    <row r="48" spans="2:4" ht="16.8" customHeight="1" x14ac:dyDescent="0.25">
      <c r="B48" s="35">
        <f t="shared" si="1"/>
        <v>45</v>
      </c>
      <c r="C48" s="37">
        <f t="shared" si="4"/>
        <v>3261.6911699574998</v>
      </c>
      <c r="D48" s="21">
        <v>0</v>
      </c>
    </row>
    <row r="49" spans="2:4" ht="16.8" customHeight="1" x14ac:dyDescent="0.25">
      <c r="B49" s="35">
        <f t="shared" si="1"/>
        <v>46</v>
      </c>
      <c r="C49" s="37">
        <f t="shared" si="4"/>
        <v>3261.6911699574998</v>
      </c>
      <c r="D49" s="21">
        <v>0</v>
      </c>
    </row>
    <row r="50" spans="2:4" ht="16.8" customHeight="1" x14ac:dyDescent="0.25">
      <c r="B50" s="35">
        <f t="shared" si="1"/>
        <v>47</v>
      </c>
      <c r="C50" s="37">
        <f t="shared" si="4"/>
        <v>3261.6911699574998</v>
      </c>
      <c r="D50" s="21">
        <v>0</v>
      </c>
    </row>
    <row r="51" spans="2:4" ht="16.8" customHeight="1" x14ac:dyDescent="0.25">
      <c r="B51" s="35">
        <f t="shared" si="1"/>
        <v>48</v>
      </c>
      <c r="C51" s="37">
        <f t="shared" si="4"/>
        <v>3261.6911699574998</v>
      </c>
      <c r="D51" s="21">
        <v>0</v>
      </c>
    </row>
    <row r="52" spans="2:4" ht="16.8" customHeight="1" x14ac:dyDescent="0.25">
      <c r="B52" s="39">
        <f t="shared" si="1"/>
        <v>49</v>
      </c>
      <c r="C52" s="40">
        <f>IF(B52&gt;$G$7,"",+C51+(C51*$G$5))</f>
        <v>3564.0499414125602</v>
      </c>
      <c r="D52" s="40">
        <f>IF(C52="","",D40*'Preencha Aqui'!$C$25)</f>
        <v>0</v>
      </c>
    </row>
    <row r="53" spans="2:4" ht="16.8" customHeight="1" x14ac:dyDescent="0.25">
      <c r="B53" s="35">
        <f t="shared" si="1"/>
        <v>50</v>
      </c>
      <c r="C53" s="37">
        <f t="shared" ref="C53:C63" si="5">IF(B53&gt;$G$7,"",C52)</f>
        <v>3564.0499414125602</v>
      </c>
      <c r="D53" s="21">
        <v>0</v>
      </c>
    </row>
    <row r="54" spans="2:4" ht="16.8" customHeight="1" x14ac:dyDescent="0.25">
      <c r="B54" s="35">
        <f t="shared" si="1"/>
        <v>51</v>
      </c>
      <c r="C54" s="37">
        <f t="shared" si="5"/>
        <v>3564.0499414125602</v>
      </c>
      <c r="D54" s="21">
        <v>0</v>
      </c>
    </row>
    <row r="55" spans="2:4" ht="16.8" customHeight="1" x14ac:dyDescent="0.25">
      <c r="B55" s="35">
        <f t="shared" si="1"/>
        <v>52</v>
      </c>
      <c r="C55" s="37">
        <f t="shared" si="5"/>
        <v>3564.0499414125602</v>
      </c>
      <c r="D55" s="21">
        <v>0</v>
      </c>
    </row>
    <row r="56" spans="2:4" ht="16.8" customHeight="1" x14ac:dyDescent="0.25">
      <c r="B56" s="35">
        <f t="shared" si="1"/>
        <v>53</v>
      </c>
      <c r="C56" s="37">
        <f t="shared" si="5"/>
        <v>3564.0499414125602</v>
      </c>
      <c r="D56" s="21">
        <v>0</v>
      </c>
    </row>
    <row r="57" spans="2:4" ht="16.8" customHeight="1" x14ac:dyDescent="0.25">
      <c r="B57" s="35">
        <f t="shared" si="1"/>
        <v>54</v>
      </c>
      <c r="C57" s="37">
        <f t="shared" si="5"/>
        <v>3564.0499414125602</v>
      </c>
      <c r="D57" s="21">
        <v>0</v>
      </c>
    </row>
    <row r="58" spans="2:4" ht="16.8" customHeight="1" x14ac:dyDescent="0.25">
      <c r="B58" s="35">
        <f t="shared" si="1"/>
        <v>55</v>
      </c>
      <c r="C58" s="37">
        <f t="shared" si="5"/>
        <v>3564.0499414125602</v>
      </c>
      <c r="D58" s="21">
        <v>0</v>
      </c>
    </row>
    <row r="59" spans="2:4" ht="16.8" customHeight="1" x14ac:dyDescent="0.25">
      <c r="B59" s="35">
        <f t="shared" si="1"/>
        <v>56</v>
      </c>
      <c r="C59" s="37">
        <f t="shared" si="5"/>
        <v>3564.0499414125602</v>
      </c>
      <c r="D59" s="21">
        <v>0</v>
      </c>
    </row>
    <row r="60" spans="2:4" ht="16.8" customHeight="1" x14ac:dyDescent="0.25">
      <c r="B60" s="35">
        <f t="shared" si="1"/>
        <v>57</v>
      </c>
      <c r="C60" s="37">
        <f t="shared" si="5"/>
        <v>3564.0499414125602</v>
      </c>
      <c r="D60" s="21">
        <v>0</v>
      </c>
    </row>
    <row r="61" spans="2:4" ht="16.8" customHeight="1" x14ac:dyDescent="0.25">
      <c r="B61" s="35">
        <f t="shared" si="1"/>
        <v>58</v>
      </c>
      <c r="C61" s="37">
        <f t="shared" si="5"/>
        <v>3564.0499414125602</v>
      </c>
      <c r="D61" s="21">
        <v>0</v>
      </c>
    </row>
    <row r="62" spans="2:4" ht="16.8" customHeight="1" x14ac:dyDescent="0.25">
      <c r="B62" s="35">
        <f t="shared" si="1"/>
        <v>59</v>
      </c>
      <c r="C62" s="37">
        <f t="shared" si="5"/>
        <v>3564.0499414125602</v>
      </c>
      <c r="D62" s="21">
        <v>0</v>
      </c>
    </row>
    <row r="63" spans="2:4" ht="16.8" customHeight="1" x14ac:dyDescent="0.25">
      <c r="B63" s="35">
        <f t="shared" si="1"/>
        <v>60</v>
      </c>
      <c r="C63" s="37">
        <f t="shared" si="5"/>
        <v>3564.0499414125602</v>
      </c>
      <c r="D63" s="21">
        <v>0</v>
      </c>
    </row>
    <row r="64" spans="2:4" ht="16.8" customHeight="1" x14ac:dyDescent="0.25">
      <c r="B64" s="39">
        <f t="shared" si="1"/>
        <v>61</v>
      </c>
      <c r="C64" s="40">
        <f>IF(B64&gt;$G$7,"",+C63+(C63*$G$5))</f>
        <v>3894.4373709815045</v>
      </c>
      <c r="D64" s="40">
        <f>IF(C64="","",D52*'Preencha Aqui'!$C$25)</f>
        <v>0</v>
      </c>
    </row>
    <row r="65" spans="2:4" ht="16.8" customHeight="1" x14ac:dyDescent="0.25">
      <c r="B65" s="35">
        <f t="shared" si="1"/>
        <v>62</v>
      </c>
      <c r="C65" s="37">
        <f t="shared" ref="C65:C75" si="6">IF(B65&gt;$G$7,"",C64)</f>
        <v>3894.4373709815045</v>
      </c>
      <c r="D65" s="21">
        <v>0</v>
      </c>
    </row>
    <row r="66" spans="2:4" ht="16.8" customHeight="1" x14ac:dyDescent="0.25">
      <c r="B66" s="35">
        <f t="shared" si="1"/>
        <v>63</v>
      </c>
      <c r="C66" s="37">
        <f t="shared" si="6"/>
        <v>3894.4373709815045</v>
      </c>
      <c r="D66" s="21">
        <v>0</v>
      </c>
    </row>
    <row r="67" spans="2:4" ht="16.8" customHeight="1" x14ac:dyDescent="0.25">
      <c r="B67" s="35">
        <f t="shared" si="1"/>
        <v>64</v>
      </c>
      <c r="C67" s="37">
        <f t="shared" si="6"/>
        <v>3894.4373709815045</v>
      </c>
      <c r="D67" s="21">
        <v>0</v>
      </c>
    </row>
    <row r="68" spans="2:4" ht="16.8" customHeight="1" x14ac:dyDescent="0.25">
      <c r="B68" s="35">
        <f t="shared" si="1"/>
        <v>65</v>
      </c>
      <c r="C68" s="37">
        <f t="shared" si="6"/>
        <v>3894.4373709815045</v>
      </c>
      <c r="D68" s="21">
        <v>0</v>
      </c>
    </row>
    <row r="69" spans="2:4" ht="16.8" customHeight="1" x14ac:dyDescent="0.25">
      <c r="B69" s="35">
        <f t="shared" si="1"/>
        <v>66</v>
      </c>
      <c r="C69" s="37">
        <f t="shared" si="6"/>
        <v>3894.4373709815045</v>
      </c>
      <c r="D69" s="21">
        <v>0</v>
      </c>
    </row>
    <row r="70" spans="2:4" ht="16.8" customHeight="1" x14ac:dyDescent="0.25">
      <c r="B70" s="35">
        <f t="shared" si="1"/>
        <v>67</v>
      </c>
      <c r="C70" s="37">
        <f t="shared" si="6"/>
        <v>3894.4373709815045</v>
      </c>
      <c r="D70" s="21">
        <v>0</v>
      </c>
    </row>
    <row r="71" spans="2:4" ht="16.8" customHeight="1" x14ac:dyDescent="0.25">
      <c r="B71" s="35">
        <f t="shared" si="1"/>
        <v>68</v>
      </c>
      <c r="C71" s="37">
        <f t="shared" si="6"/>
        <v>3894.4373709815045</v>
      </c>
      <c r="D71" s="21">
        <v>0</v>
      </c>
    </row>
    <row r="72" spans="2:4" ht="16.8" customHeight="1" x14ac:dyDescent="0.25">
      <c r="B72" s="35">
        <f t="shared" si="1"/>
        <v>69</v>
      </c>
      <c r="C72" s="37">
        <f t="shared" si="6"/>
        <v>3894.4373709815045</v>
      </c>
      <c r="D72" s="21">
        <v>0</v>
      </c>
    </row>
    <row r="73" spans="2:4" ht="16.8" customHeight="1" x14ac:dyDescent="0.25">
      <c r="B73" s="35">
        <f t="shared" si="1"/>
        <v>70</v>
      </c>
      <c r="C73" s="37">
        <f t="shared" si="6"/>
        <v>3894.4373709815045</v>
      </c>
      <c r="D73" s="21">
        <v>0</v>
      </c>
    </row>
    <row r="74" spans="2:4" ht="16.8" customHeight="1" x14ac:dyDescent="0.25">
      <c r="B74" s="35">
        <f t="shared" si="1"/>
        <v>71</v>
      </c>
      <c r="C74" s="37">
        <f t="shared" si="6"/>
        <v>3894.4373709815045</v>
      </c>
      <c r="D74" s="21">
        <v>0</v>
      </c>
    </row>
    <row r="75" spans="2:4" ht="16.8" customHeight="1" x14ac:dyDescent="0.25">
      <c r="B75" s="35">
        <f t="shared" si="1"/>
        <v>72</v>
      </c>
      <c r="C75" s="37">
        <f t="shared" si="6"/>
        <v>3894.4373709815045</v>
      </c>
      <c r="D75" s="21">
        <v>0</v>
      </c>
    </row>
    <row r="76" spans="2:4" ht="16.8" customHeight="1" x14ac:dyDescent="0.25">
      <c r="B76" s="39">
        <f t="shared" si="1"/>
        <v>73</v>
      </c>
      <c r="C76" s="40">
        <f>IF(B76&gt;$G$7,"",+C75+(C75*$G$5))</f>
        <v>4255.4517152714898</v>
      </c>
      <c r="D76" s="40">
        <f>IF(C76="","",D64*'Preencha Aqui'!$C$25)</f>
        <v>0</v>
      </c>
    </row>
    <row r="77" spans="2:4" ht="16.8" customHeight="1" x14ac:dyDescent="0.25">
      <c r="B77" s="35">
        <f t="shared" si="1"/>
        <v>74</v>
      </c>
      <c r="C77" s="37">
        <f t="shared" ref="C77:C87" si="7">IF(B77&gt;$G$7,"",C76)</f>
        <v>4255.4517152714898</v>
      </c>
      <c r="D77" s="21">
        <v>0</v>
      </c>
    </row>
    <row r="78" spans="2:4" ht="16.8" customHeight="1" x14ac:dyDescent="0.25">
      <c r="B78" s="35">
        <f t="shared" si="1"/>
        <v>75</v>
      </c>
      <c r="C78" s="37">
        <f t="shared" si="7"/>
        <v>4255.4517152714898</v>
      </c>
      <c r="D78" s="21">
        <v>0</v>
      </c>
    </row>
    <row r="79" spans="2:4" ht="16.8" customHeight="1" x14ac:dyDescent="0.25">
      <c r="B79" s="35">
        <f t="shared" si="1"/>
        <v>76</v>
      </c>
      <c r="C79" s="37">
        <f t="shared" si="7"/>
        <v>4255.4517152714898</v>
      </c>
      <c r="D79" s="21">
        <v>0</v>
      </c>
    </row>
    <row r="80" spans="2:4" ht="16.8" customHeight="1" x14ac:dyDescent="0.25">
      <c r="B80" s="35">
        <f t="shared" si="1"/>
        <v>77</v>
      </c>
      <c r="C80" s="37">
        <f t="shared" si="7"/>
        <v>4255.4517152714898</v>
      </c>
      <c r="D80" s="21">
        <v>0</v>
      </c>
    </row>
    <row r="81" spans="2:4" ht="16.8" customHeight="1" x14ac:dyDescent="0.25">
      <c r="B81" s="35">
        <f t="shared" si="1"/>
        <v>78</v>
      </c>
      <c r="C81" s="37">
        <f t="shared" si="7"/>
        <v>4255.4517152714898</v>
      </c>
      <c r="D81" s="21">
        <v>0</v>
      </c>
    </row>
    <row r="82" spans="2:4" ht="16.8" customHeight="1" x14ac:dyDescent="0.25">
      <c r="B82" s="35">
        <f t="shared" si="1"/>
        <v>79</v>
      </c>
      <c r="C82" s="37">
        <f t="shared" si="7"/>
        <v>4255.4517152714898</v>
      </c>
      <c r="D82" s="21">
        <v>0</v>
      </c>
    </row>
    <row r="83" spans="2:4" ht="16.8" customHeight="1" x14ac:dyDescent="0.25">
      <c r="B83" s="35">
        <f t="shared" si="1"/>
        <v>80</v>
      </c>
      <c r="C83" s="37">
        <f t="shared" si="7"/>
        <v>4255.4517152714898</v>
      </c>
      <c r="D83" s="21">
        <v>0</v>
      </c>
    </row>
    <row r="84" spans="2:4" ht="16.8" customHeight="1" x14ac:dyDescent="0.25">
      <c r="B84" s="35">
        <f t="shared" si="1"/>
        <v>81</v>
      </c>
      <c r="C84" s="37">
        <f t="shared" si="7"/>
        <v>4255.4517152714898</v>
      </c>
      <c r="D84" s="21">
        <v>0</v>
      </c>
    </row>
    <row r="85" spans="2:4" ht="16.8" customHeight="1" x14ac:dyDescent="0.25">
      <c r="B85" s="35">
        <f t="shared" si="1"/>
        <v>82</v>
      </c>
      <c r="C85" s="37">
        <f t="shared" si="7"/>
        <v>4255.4517152714898</v>
      </c>
      <c r="D85" s="21">
        <v>0</v>
      </c>
    </row>
    <row r="86" spans="2:4" ht="16.8" customHeight="1" x14ac:dyDescent="0.25">
      <c r="B86" s="35">
        <f t="shared" si="1"/>
        <v>83</v>
      </c>
      <c r="C86" s="37">
        <f t="shared" si="7"/>
        <v>4255.4517152714898</v>
      </c>
      <c r="D86" s="21">
        <v>0</v>
      </c>
    </row>
    <row r="87" spans="2:4" ht="16.8" customHeight="1" x14ac:dyDescent="0.25">
      <c r="B87" s="35">
        <f t="shared" si="1"/>
        <v>84</v>
      </c>
      <c r="C87" s="37">
        <f t="shared" si="7"/>
        <v>4255.4517152714898</v>
      </c>
      <c r="D87" s="21">
        <v>0</v>
      </c>
    </row>
    <row r="88" spans="2:4" ht="16.8" customHeight="1" x14ac:dyDescent="0.25">
      <c r="B88" s="39">
        <f t="shared" si="1"/>
        <v>85</v>
      </c>
      <c r="C88" s="40">
        <f>IF(B88&gt;$G$7,"",+C87+(C87*$G$5))</f>
        <v>4649.9320892771566</v>
      </c>
      <c r="D88" s="40">
        <f>IF(C88="","",D76*'Preencha Aqui'!$C$25)</f>
        <v>0</v>
      </c>
    </row>
    <row r="89" spans="2:4" ht="16.8" customHeight="1" x14ac:dyDescent="0.25">
      <c r="B89" s="35">
        <f t="shared" si="1"/>
        <v>86</v>
      </c>
      <c r="C89" s="37">
        <f t="shared" ref="C89:C99" si="8">IF(B89&gt;$G$7,"",C88)</f>
        <v>4649.9320892771566</v>
      </c>
      <c r="D89" s="21">
        <v>0</v>
      </c>
    </row>
    <row r="90" spans="2:4" ht="16.8" customHeight="1" x14ac:dyDescent="0.25">
      <c r="B90" s="35">
        <f t="shared" si="1"/>
        <v>87</v>
      </c>
      <c r="C90" s="37">
        <f t="shared" si="8"/>
        <v>4649.9320892771566</v>
      </c>
      <c r="D90" s="21">
        <v>0</v>
      </c>
    </row>
    <row r="91" spans="2:4" ht="16.8" customHeight="1" x14ac:dyDescent="0.25">
      <c r="B91" s="35">
        <f t="shared" si="1"/>
        <v>88</v>
      </c>
      <c r="C91" s="37">
        <f t="shared" si="8"/>
        <v>4649.9320892771566</v>
      </c>
      <c r="D91" s="21">
        <v>0</v>
      </c>
    </row>
    <row r="92" spans="2:4" ht="16.8" customHeight="1" x14ac:dyDescent="0.25">
      <c r="B92" s="35">
        <f t="shared" si="1"/>
        <v>89</v>
      </c>
      <c r="C92" s="37">
        <f t="shared" si="8"/>
        <v>4649.9320892771566</v>
      </c>
      <c r="D92" s="21">
        <v>0</v>
      </c>
    </row>
    <row r="93" spans="2:4" ht="16.8" customHeight="1" x14ac:dyDescent="0.25">
      <c r="B93" s="35">
        <f t="shared" si="1"/>
        <v>90</v>
      </c>
      <c r="C93" s="37">
        <f t="shared" si="8"/>
        <v>4649.9320892771566</v>
      </c>
      <c r="D93" s="21">
        <v>0</v>
      </c>
    </row>
    <row r="94" spans="2:4" ht="16.8" customHeight="1" x14ac:dyDescent="0.25">
      <c r="B94" s="35">
        <f t="shared" si="1"/>
        <v>91</v>
      </c>
      <c r="C94" s="37">
        <f t="shared" si="8"/>
        <v>4649.9320892771566</v>
      </c>
      <c r="D94" s="21">
        <v>0</v>
      </c>
    </row>
    <row r="95" spans="2:4" ht="16.8" customHeight="1" x14ac:dyDescent="0.25">
      <c r="B95" s="35">
        <f t="shared" si="1"/>
        <v>92</v>
      </c>
      <c r="C95" s="37">
        <f t="shared" si="8"/>
        <v>4649.9320892771566</v>
      </c>
      <c r="D95" s="21">
        <v>0</v>
      </c>
    </row>
    <row r="96" spans="2:4" ht="16.8" customHeight="1" x14ac:dyDescent="0.25">
      <c r="B96" s="35">
        <f t="shared" si="1"/>
        <v>93</v>
      </c>
      <c r="C96" s="37">
        <f t="shared" si="8"/>
        <v>4649.9320892771566</v>
      </c>
      <c r="D96" s="21">
        <v>0</v>
      </c>
    </row>
    <row r="97" spans="2:4" ht="16.8" customHeight="1" x14ac:dyDescent="0.25">
      <c r="B97" s="35">
        <f t="shared" si="1"/>
        <v>94</v>
      </c>
      <c r="C97" s="37">
        <f t="shared" si="8"/>
        <v>4649.9320892771566</v>
      </c>
      <c r="D97" s="21">
        <v>0</v>
      </c>
    </row>
    <row r="98" spans="2:4" ht="16.8" customHeight="1" x14ac:dyDescent="0.25">
      <c r="B98" s="35">
        <f t="shared" si="1"/>
        <v>95</v>
      </c>
      <c r="C98" s="37">
        <f t="shared" si="8"/>
        <v>4649.9320892771566</v>
      </c>
      <c r="D98" s="21">
        <v>0</v>
      </c>
    </row>
    <row r="99" spans="2:4" ht="16.8" customHeight="1" x14ac:dyDescent="0.25">
      <c r="B99" s="35">
        <f t="shared" si="1"/>
        <v>96</v>
      </c>
      <c r="C99" s="37">
        <f t="shared" si="8"/>
        <v>4649.9320892771566</v>
      </c>
      <c r="D99" s="21">
        <v>0</v>
      </c>
    </row>
    <row r="100" spans="2:4" ht="16.8" customHeight="1" x14ac:dyDescent="0.25">
      <c r="B100" s="39">
        <f t="shared" si="1"/>
        <v>97</v>
      </c>
      <c r="C100" s="40">
        <f>IF(B100&gt;$G$7,"",+C99+(C99*$G$5))</f>
        <v>5080.9807939531493</v>
      </c>
      <c r="D100" s="40">
        <f>IF(C100="","",D88*'Preencha Aqui'!$C$25)</f>
        <v>0</v>
      </c>
    </row>
    <row r="101" spans="2:4" ht="16.8" customHeight="1" x14ac:dyDescent="0.25">
      <c r="B101" s="35">
        <f t="shared" si="1"/>
        <v>98</v>
      </c>
      <c r="C101" s="37">
        <f t="shared" ref="C101:C111" si="9">IF(B101&gt;$G$7,"",C100)</f>
        <v>5080.9807939531493</v>
      </c>
      <c r="D101" s="21">
        <v>0</v>
      </c>
    </row>
    <row r="102" spans="2:4" ht="16.8" customHeight="1" x14ac:dyDescent="0.25">
      <c r="B102" s="35">
        <f t="shared" si="1"/>
        <v>99</v>
      </c>
      <c r="C102" s="37">
        <f t="shared" si="9"/>
        <v>5080.9807939531493</v>
      </c>
      <c r="D102" s="21">
        <v>0</v>
      </c>
    </row>
    <row r="103" spans="2:4" ht="16.8" customHeight="1" x14ac:dyDescent="0.25">
      <c r="B103" s="35">
        <f t="shared" si="1"/>
        <v>100</v>
      </c>
      <c r="C103" s="37">
        <f t="shared" si="9"/>
        <v>5080.9807939531493</v>
      </c>
      <c r="D103" s="21">
        <v>0</v>
      </c>
    </row>
    <row r="104" spans="2:4" ht="16.8" customHeight="1" x14ac:dyDescent="0.25">
      <c r="B104" s="35">
        <f t="shared" si="1"/>
        <v>101</v>
      </c>
      <c r="C104" s="37">
        <f t="shared" si="9"/>
        <v>5080.9807939531493</v>
      </c>
      <c r="D104" s="21">
        <v>0</v>
      </c>
    </row>
    <row r="105" spans="2:4" ht="16.8" customHeight="1" x14ac:dyDescent="0.25">
      <c r="B105" s="35">
        <f t="shared" si="1"/>
        <v>102</v>
      </c>
      <c r="C105" s="37">
        <f t="shared" si="9"/>
        <v>5080.9807939531493</v>
      </c>
      <c r="D105" s="21">
        <v>0</v>
      </c>
    </row>
    <row r="106" spans="2:4" ht="16.8" customHeight="1" x14ac:dyDescent="0.25">
      <c r="B106" s="35">
        <f t="shared" si="1"/>
        <v>103</v>
      </c>
      <c r="C106" s="37">
        <f t="shared" si="9"/>
        <v>5080.9807939531493</v>
      </c>
      <c r="D106" s="21">
        <v>0</v>
      </c>
    </row>
    <row r="107" spans="2:4" ht="16.8" customHeight="1" x14ac:dyDescent="0.25">
      <c r="B107" s="35">
        <f t="shared" si="1"/>
        <v>104</v>
      </c>
      <c r="C107" s="37">
        <f t="shared" si="9"/>
        <v>5080.9807939531493</v>
      </c>
      <c r="D107" s="21">
        <v>0</v>
      </c>
    </row>
    <row r="108" spans="2:4" ht="16.8" customHeight="1" x14ac:dyDescent="0.25">
      <c r="B108" s="35">
        <f t="shared" si="1"/>
        <v>105</v>
      </c>
      <c r="C108" s="37">
        <f t="shared" si="9"/>
        <v>5080.9807939531493</v>
      </c>
      <c r="D108" s="21">
        <v>0</v>
      </c>
    </row>
    <row r="109" spans="2:4" ht="16.8" customHeight="1" x14ac:dyDescent="0.25">
      <c r="B109" s="35">
        <f t="shared" si="1"/>
        <v>106</v>
      </c>
      <c r="C109" s="37">
        <f t="shared" si="9"/>
        <v>5080.9807939531493</v>
      </c>
      <c r="D109" s="21">
        <v>0</v>
      </c>
    </row>
    <row r="110" spans="2:4" ht="16.8" customHeight="1" x14ac:dyDescent="0.25">
      <c r="B110" s="35">
        <f t="shared" si="1"/>
        <v>107</v>
      </c>
      <c r="C110" s="37">
        <f t="shared" si="9"/>
        <v>5080.9807939531493</v>
      </c>
      <c r="D110" s="21">
        <v>0</v>
      </c>
    </row>
    <row r="111" spans="2:4" ht="16.8" customHeight="1" x14ac:dyDescent="0.25">
      <c r="B111" s="35">
        <f t="shared" si="1"/>
        <v>108</v>
      </c>
      <c r="C111" s="37">
        <f t="shared" si="9"/>
        <v>5080.9807939531493</v>
      </c>
      <c r="D111" s="21">
        <v>0</v>
      </c>
    </row>
    <row r="112" spans="2:4" ht="16.8" customHeight="1" x14ac:dyDescent="0.25">
      <c r="B112" s="39">
        <f t="shared" si="1"/>
        <v>109</v>
      </c>
      <c r="C112" s="40">
        <f>IF(B112&gt;$G$7,"",+C111+(C111*$G$5))</f>
        <v>5551.9877135526058</v>
      </c>
      <c r="D112" s="40">
        <f>IF(C112="","",D100*'Preencha Aqui'!$C$25)</f>
        <v>0</v>
      </c>
    </row>
    <row r="113" spans="2:4" ht="16.8" customHeight="1" x14ac:dyDescent="0.25">
      <c r="B113" s="35">
        <f t="shared" si="1"/>
        <v>110</v>
      </c>
      <c r="C113" s="37">
        <f t="shared" ref="C113:C123" si="10">IF(B113&gt;$G$7,"",C112)</f>
        <v>5551.9877135526058</v>
      </c>
      <c r="D113" s="21">
        <v>0</v>
      </c>
    </row>
    <row r="114" spans="2:4" ht="16.8" customHeight="1" x14ac:dyDescent="0.25">
      <c r="B114" s="35">
        <f t="shared" si="1"/>
        <v>111</v>
      </c>
      <c r="C114" s="37">
        <f t="shared" si="10"/>
        <v>5551.9877135526058</v>
      </c>
      <c r="D114" s="21">
        <v>0</v>
      </c>
    </row>
    <row r="115" spans="2:4" ht="16.8" customHeight="1" x14ac:dyDescent="0.25">
      <c r="B115" s="35">
        <f t="shared" si="1"/>
        <v>112</v>
      </c>
      <c r="C115" s="37">
        <f t="shared" si="10"/>
        <v>5551.9877135526058</v>
      </c>
      <c r="D115" s="21">
        <v>0</v>
      </c>
    </row>
    <row r="116" spans="2:4" ht="16.8" customHeight="1" x14ac:dyDescent="0.25">
      <c r="B116" s="35">
        <f t="shared" si="1"/>
        <v>113</v>
      </c>
      <c r="C116" s="37">
        <f t="shared" si="10"/>
        <v>5551.9877135526058</v>
      </c>
      <c r="D116" s="21">
        <v>0</v>
      </c>
    </row>
    <row r="117" spans="2:4" ht="16.8" customHeight="1" x14ac:dyDescent="0.25">
      <c r="B117" s="35">
        <f t="shared" si="1"/>
        <v>114</v>
      </c>
      <c r="C117" s="37">
        <f t="shared" si="10"/>
        <v>5551.9877135526058</v>
      </c>
      <c r="D117" s="21">
        <v>0</v>
      </c>
    </row>
    <row r="118" spans="2:4" ht="16.8" customHeight="1" x14ac:dyDescent="0.25">
      <c r="B118" s="35">
        <f t="shared" si="1"/>
        <v>115</v>
      </c>
      <c r="C118" s="37">
        <f t="shared" si="10"/>
        <v>5551.9877135526058</v>
      </c>
      <c r="D118" s="21">
        <v>0</v>
      </c>
    </row>
    <row r="119" spans="2:4" ht="16.8" customHeight="1" x14ac:dyDescent="0.25">
      <c r="B119" s="35">
        <f t="shared" si="1"/>
        <v>116</v>
      </c>
      <c r="C119" s="37">
        <f t="shared" si="10"/>
        <v>5551.9877135526058</v>
      </c>
      <c r="D119" s="21">
        <v>0</v>
      </c>
    </row>
    <row r="120" spans="2:4" ht="16.8" customHeight="1" x14ac:dyDescent="0.25">
      <c r="B120" s="35">
        <f t="shared" si="1"/>
        <v>117</v>
      </c>
      <c r="C120" s="37">
        <f t="shared" si="10"/>
        <v>5551.9877135526058</v>
      </c>
      <c r="D120" s="21">
        <v>0</v>
      </c>
    </row>
    <row r="121" spans="2:4" ht="16.8" customHeight="1" x14ac:dyDescent="0.25">
      <c r="B121" s="35">
        <f t="shared" si="1"/>
        <v>118</v>
      </c>
      <c r="C121" s="37">
        <f t="shared" si="10"/>
        <v>5551.9877135526058</v>
      </c>
      <c r="D121" s="21">
        <v>0</v>
      </c>
    </row>
    <row r="122" spans="2:4" ht="16.8" customHeight="1" x14ac:dyDescent="0.25">
      <c r="B122" s="35">
        <f t="shared" si="1"/>
        <v>119</v>
      </c>
      <c r="C122" s="37">
        <f t="shared" si="10"/>
        <v>5551.9877135526058</v>
      </c>
      <c r="D122" s="21">
        <v>0</v>
      </c>
    </row>
    <row r="123" spans="2:4" ht="16.8" customHeight="1" x14ac:dyDescent="0.25">
      <c r="B123" s="35">
        <f t="shared" si="1"/>
        <v>120</v>
      </c>
      <c r="C123" s="37">
        <f t="shared" si="10"/>
        <v>5551.9877135526058</v>
      </c>
      <c r="D123" s="21">
        <v>0</v>
      </c>
    </row>
    <row r="124" spans="2:4" ht="16.8" customHeight="1" x14ac:dyDescent="0.25">
      <c r="B124" s="39">
        <f t="shared" si="1"/>
        <v>121</v>
      </c>
      <c r="C124" s="40">
        <f>IF(B124&gt;$G$7,"",+C123+(C123*$G$5))</f>
        <v>6066.6569745989327</v>
      </c>
      <c r="D124" s="40">
        <f>IF(C124="","",D112*'Preencha Aqui'!$C$25)</f>
        <v>0</v>
      </c>
    </row>
    <row r="125" spans="2:4" ht="16.8" customHeight="1" x14ac:dyDescent="0.25">
      <c r="B125" s="35">
        <f t="shared" si="1"/>
        <v>122</v>
      </c>
      <c r="C125" s="37">
        <f t="shared" ref="C125:C135" si="11">IF(B125&gt;$G$7,"",C124)</f>
        <v>6066.6569745989327</v>
      </c>
      <c r="D125" s="21">
        <v>0</v>
      </c>
    </row>
    <row r="126" spans="2:4" ht="16.8" customHeight="1" x14ac:dyDescent="0.25">
      <c r="B126" s="35">
        <f t="shared" si="1"/>
        <v>123</v>
      </c>
      <c r="C126" s="37">
        <f t="shared" si="11"/>
        <v>6066.6569745989327</v>
      </c>
      <c r="D126" s="21">
        <v>0</v>
      </c>
    </row>
    <row r="127" spans="2:4" ht="16.8" customHeight="1" x14ac:dyDescent="0.25">
      <c r="B127" s="35">
        <f t="shared" si="1"/>
        <v>124</v>
      </c>
      <c r="C127" s="37">
        <f t="shared" si="11"/>
        <v>6066.6569745989327</v>
      </c>
      <c r="D127" s="21">
        <v>0</v>
      </c>
    </row>
    <row r="128" spans="2:4" ht="16.8" customHeight="1" x14ac:dyDescent="0.25">
      <c r="B128" s="35">
        <f t="shared" si="1"/>
        <v>125</v>
      </c>
      <c r="C128" s="37">
        <f t="shared" si="11"/>
        <v>6066.6569745989327</v>
      </c>
      <c r="D128" s="21">
        <v>0</v>
      </c>
    </row>
    <row r="129" spans="2:4" ht="16.8" customHeight="1" x14ac:dyDescent="0.25">
      <c r="B129" s="35">
        <f t="shared" si="1"/>
        <v>126</v>
      </c>
      <c r="C129" s="37">
        <f t="shared" si="11"/>
        <v>6066.6569745989327</v>
      </c>
      <c r="D129" s="21">
        <v>0</v>
      </c>
    </row>
    <row r="130" spans="2:4" ht="16.8" customHeight="1" x14ac:dyDescent="0.25">
      <c r="B130" s="35">
        <f t="shared" si="1"/>
        <v>127</v>
      </c>
      <c r="C130" s="37">
        <f t="shared" si="11"/>
        <v>6066.6569745989327</v>
      </c>
      <c r="D130" s="21">
        <v>0</v>
      </c>
    </row>
    <row r="131" spans="2:4" ht="16.8" customHeight="1" x14ac:dyDescent="0.25">
      <c r="B131" s="35">
        <f t="shared" si="1"/>
        <v>128</v>
      </c>
      <c r="C131" s="37">
        <f t="shared" si="11"/>
        <v>6066.6569745989327</v>
      </c>
      <c r="D131" s="21">
        <v>0</v>
      </c>
    </row>
    <row r="132" spans="2:4" ht="16.8" customHeight="1" x14ac:dyDescent="0.25">
      <c r="B132" s="35">
        <f t="shared" si="1"/>
        <v>129</v>
      </c>
      <c r="C132" s="37">
        <f t="shared" si="11"/>
        <v>6066.6569745989327</v>
      </c>
      <c r="D132" s="21">
        <v>0</v>
      </c>
    </row>
    <row r="133" spans="2:4" ht="16.8" customHeight="1" x14ac:dyDescent="0.25">
      <c r="B133" s="35">
        <f t="shared" si="1"/>
        <v>130</v>
      </c>
      <c r="C133" s="37">
        <f t="shared" si="11"/>
        <v>6066.6569745989327</v>
      </c>
      <c r="D133" s="21">
        <v>0</v>
      </c>
    </row>
    <row r="134" spans="2:4" ht="16.8" customHeight="1" x14ac:dyDescent="0.25">
      <c r="B134" s="35">
        <f t="shared" si="1"/>
        <v>131</v>
      </c>
      <c r="C134" s="37">
        <f t="shared" si="11"/>
        <v>6066.6569745989327</v>
      </c>
      <c r="D134" s="21">
        <v>0</v>
      </c>
    </row>
    <row r="135" spans="2:4" ht="16.8" customHeight="1" x14ac:dyDescent="0.25">
      <c r="B135" s="35">
        <f t="shared" si="1"/>
        <v>132</v>
      </c>
      <c r="C135" s="37">
        <f t="shared" si="11"/>
        <v>6066.6569745989327</v>
      </c>
      <c r="D135" s="21">
        <v>0</v>
      </c>
    </row>
    <row r="136" spans="2:4" ht="16.8" customHeight="1" x14ac:dyDescent="0.25">
      <c r="B136" s="39">
        <f t="shared" si="1"/>
        <v>133</v>
      </c>
      <c r="C136" s="40">
        <f>IF(B136&gt;$G$7,"",+C135+(C135*$G$5))</f>
        <v>6629.0360761442535</v>
      </c>
      <c r="D136" s="40">
        <f>IF(C136="","",D124*'Preencha Aqui'!$C$25)</f>
        <v>0</v>
      </c>
    </row>
    <row r="137" spans="2:4" ht="16.8" customHeight="1" x14ac:dyDescent="0.25">
      <c r="B137" s="35">
        <f t="shared" si="1"/>
        <v>134</v>
      </c>
      <c r="C137" s="37">
        <f t="shared" ref="C137:C147" si="12">IF(B137&gt;$G$7,"",C136)</f>
        <v>6629.0360761442535</v>
      </c>
      <c r="D137" s="21">
        <v>0</v>
      </c>
    </row>
    <row r="138" spans="2:4" ht="16.8" customHeight="1" x14ac:dyDescent="0.25">
      <c r="B138" s="35">
        <f t="shared" si="1"/>
        <v>135</v>
      </c>
      <c r="C138" s="37">
        <f t="shared" si="12"/>
        <v>6629.0360761442535</v>
      </c>
      <c r="D138" s="21">
        <v>0</v>
      </c>
    </row>
    <row r="139" spans="2:4" ht="16.8" customHeight="1" x14ac:dyDescent="0.25">
      <c r="B139" s="35">
        <f t="shared" si="1"/>
        <v>136</v>
      </c>
      <c r="C139" s="37">
        <f t="shared" si="12"/>
        <v>6629.0360761442535</v>
      </c>
      <c r="D139" s="21">
        <v>0</v>
      </c>
    </row>
    <row r="140" spans="2:4" ht="16.8" customHeight="1" x14ac:dyDescent="0.25">
      <c r="B140" s="35">
        <f t="shared" si="1"/>
        <v>137</v>
      </c>
      <c r="C140" s="37">
        <f t="shared" si="12"/>
        <v>6629.0360761442535</v>
      </c>
      <c r="D140" s="21">
        <v>0</v>
      </c>
    </row>
    <row r="141" spans="2:4" ht="16.8" customHeight="1" x14ac:dyDescent="0.25">
      <c r="B141" s="35">
        <f t="shared" si="1"/>
        <v>138</v>
      </c>
      <c r="C141" s="37">
        <f t="shared" si="12"/>
        <v>6629.0360761442535</v>
      </c>
      <c r="D141" s="21">
        <v>0</v>
      </c>
    </row>
    <row r="142" spans="2:4" ht="16.8" customHeight="1" x14ac:dyDescent="0.25">
      <c r="B142" s="35">
        <f t="shared" si="1"/>
        <v>139</v>
      </c>
      <c r="C142" s="37">
        <f t="shared" si="12"/>
        <v>6629.0360761442535</v>
      </c>
      <c r="D142" s="21">
        <v>0</v>
      </c>
    </row>
    <row r="143" spans="2:4" ht="16.8" customHeight="1" x14ac:dyDescent="0.25">
      <c r="B143" s="35">
        <f t="shared" si="1"/>
        <v>140</v>
      </c>
      <c r="C143" s="37">
        <f t="shared" si="12"/>
        <v>6629.0360761442535</v>
      </c>
      <c r="D143" s="21">
        <v>0</v>
      </c>
    </row>
    <row r="144" spans="2:4" ht="16.8" customHeight="1" x14ac:dyDescent="0.25">
      <c r="B144" s="35">
        <f t="shared" si="1"/>
        <v>141</v>
      </c>
      <c r="C144" s="37">
        <f t="shared" si="12"/>
        <v>6629.0360761442535</v>
      </c>
      <c r="D144" s="21">
        <v>0</v>
      </c>
    </row>
    <row r="145" spans="2:4" ht="16.8" customHeight="1" x14ac:dyDescent="0.25">
      <c r="B145" s="35">
        <f t="shared" si="1"/>
        <v>142</v>
      </c>
      <c r="C145" s="37">
        <f t="shared" si="12"/>
        <v>6629.0360761442535</v>
      </c>
      <c r="D145" s="21">
        <v>0</v>
      </c>
    </row>
    <row r="146" spans="2:4" ht="16.8" customHeight="1" x14ac:dyDescent="0.25">
      <c r="B146" s="35">
        <f t="shared" si="1"/>
        <v>143</v>
      </c>
      <c r="C146" s="37">
        <f t="shared" si="12"/>
        <v>6629.0360761442535</v>
      </c>
      <c r="D146" s="21">
        <v>0</v>
      </c>
    </row>
    <row r="147" spans="2:4" ht="16.8" customHeight="1" x14ac:dyDescent="0.25">
      <c r="B147" s="35">
        <f t="shared" si="1"/>
        <v>144</v>
      </c>
      <c r="C147" s="37">
        <f t="shared" si="12"/>
        <v>6629.0360761442535</v>
      </c>
      <c r="D147" s="21">
        <v>0</v>
      </c>
    </row>
    <row r="148" spans="2:4" ht="16.8" customHeight="1" x14ac:dyDescent="0.25">
      <c r="B148" s="39">
        <f t="shared" si="1"/>
        <v>145</v>
      </c>
      <c r="C148" s="40">
        <f>IF(B148&gt;$G$7,"",+C147+(C147*$G$5))</f>
        <v>7243.5477204028257</v>
      </c>
      <c r="D148" s="40">
        <f>IF(C148="","",D136*'Preencha Aqui'!$C$25)</f>
        <v>0</v>
      </c>
    </row>
    <row r="149" spans="2:4" ht="16.8" customHeight="1" x14ac:dyDescent="0.25">
      <c r="B149" s="35">
        <f t="shared" si="1"/>
        <v>146</v>
      </c>
      <c r="C149" s="37">
        <f t="shared" ref="C149:C159" si="13">IF(B149&gt;$G$7,"",C148)</f>
        <v>7243.5477204028257</v>
      </c>
      <c r="D149" s="21">
        <v>0</v>
      </c>
    </row>
    <row r="150" spans="2:4" ht="16.8" customHeight="1" x14ac:dyDescent="0.25">
      <c r="B150" s="35">
        <f t="shared" si="1"/>
        <v>147</v>
      </c>
      <c r="C150" s="37">
        <f t="shared" si="13"/>
        <v>7243.5477204028257</v>
      </c>
      <c r="D150" s="21">
        <v>0</v>
      </c>
    </row>
    <row r="151" spans="2:4" ht="16.8" customHeight="1" x14ac:dyDescent="0.25">
      <c r="B151" s="35">
        <f t="shared" si="1"/>
        <v>148</v>
      </c>
      <c r="C151" s="37">
        <f t="shared" si="13"/>
        <v>7243.5477204028257</v>
      </c>
      <c r="D151" s="21">
        <v>0</v>
      </c>
    </row>
    <row r="152" spans="2:4" ht="16.8" customHeight="1" x14ac:dyDescent="0.25">
      <c r="B152" s="35">
        <f t="shared" si="1"/>
        <v>149</v>
      </c>
      <c r="C152" s="37">
        <f t="shared" si="13"/>
        <v>7243.5477204028257</v>
      </c>
      <c r="D152" s="21">
        <v>0</v>
      </c>
    </row>
    <row r="153" spans="2:4" ht="16.8" customHeight="1" x14ac:dyDescent="0.25">
      <c r="B153" s="35">
        <f t="shared" si="1"/>
        <v>150</v>
      </c>
      <c r="C153" s="37">
        <f t="shared" si="13"/>
        <v>7243.5477204028257</v>
      </c>
      <c r="D153" s="21">
        <v>0</v>
      </c>
    </row>
    <row r="154" spans="2:4" ht="16.8" customHeight="1" x14ac:dyDescent="0.25">
      <c r="B154" s="35">
        <f t="shared" si="1"/>
        <v>151</v>
      </c>
      <c r="C154" s="37">
        <f t="shared" si="13"/>
        <v>7243.5477204028257</v>
      </c>
      <c r="D154" s="21">
        <v>0</v>
      </c>
    </row>
    <row r="155" spans="2:4" ht="16.8" customHeight="1" x14ac:dyDescent="0.25">
      <c r="B155" s="35">
        <f t="shared" si="1"/>
        <v>152</v>
      </c>
      <c r="C155" s="37">
        <f t="shared" si="13"/>
        <v>7243.5477204028257</v>
      </c>
      <c r="D155" s="21">
        <v>0</v>
      </c>
    </row>
    <row r="156" spans="2:4" ht="16.8" customHeight="1" x14ac:dyDescent="0.25">
      <c r="B156" s="35">
        <f t="shared" si="1"/>
        <v>153</v>
      </c>
      <c r="C156" s="37">
        <f t="shared" si="13"/>
        <v>7243.5477204028257</v>
      </c>
      <c r="D156" s="21">
        <v>0</v>
      </c>
    </row>
    <row r="157" spans="2:4" ht="16.8" customHeight="1" x14ac:dyDescent="0.25">
      <c r="B157" s="35">
        <f t="shared" si="1"/>
        <v>154</v>
      </c>
      <c r="C157" s="37">
        <f t="shared" si="13"/>
        <v>7243.5477204028257</v>
      </c>
      <c r="D157" s="21">
        <v>0</v>
      </c>
    </row>
    <row r="158" spans="2:4" ht="16.8" customHeight="1" x14ac:dyDescent="0.25">
      <c r="B158" s="35">
        <f t="shared" si="1"/>
        <v>155</v>
      </c>
      <c r="C158" s="37">
        <f t="shared" si="13"/>
        <v>7243.5477204028257</v>
      </c>
      <c r="D158" s="21">
        <v>0</v>
      </c>
    </row>
    <row r="159" spans="2:4" ht="16.8" customHeight="1" x14ac:dyDescent="0.25">
      <c r="B159" s="35">
        <f t="shared" si="1"/>
        <v>156</v>
      </c>
      <c r="C159" s="37">
        <f t="shared" si="13"/>
        <v>7243.5477204028257</v>
      </c>
      <c r="D159" s="21">
        <v>0</v>
      </c>
    </row>
    <row r="160" spans="2:4" ht="16.8" customHeight="1" x14ac:dyDescent="0.25">
      <c r="B160" s="39">
        <f t="shared" si="1"/>
        <v>157</v>
      </c>
      <c r="C160" s="40">
        <f>IF(B160&gt;$G$7,"",+C159+(C159*$G$5))</f>
        <v>7915.0245940841678</v>
      </c>
      <c r="D160" s="40">
        <f>IF(C160="","",D148*'Preencha Aqui'!$C$25)</f>
        <v>0</v>
      </c>
    </row>
    <row r="161" spans="2:4" ht="16.8" customHeight="1" x14ac:dyDescent="0.25">
      <c r="B161" s="35">
        <f t="shared" si="1"/>
        <v>158</v>
      </c>
      <c r="C161" s="37">
        <f t="shared" ref="C161:C171" si="14">IF(B161&gt;$G$7,"",C160)</f>
        <v>7915.0245940841678</v>
      </c>
      <c r="D161" s="21">
        <v>0</v>
      </c>
    </row>
    <row r="162" spans="2:4" ht="16.8" customHeight="1" x14ac:dyDescent="0.25">
      <c r="B162" s="35">
        <f t="shared" si="1"/>
        <v>159</v>
      </c>
      <c r="C162" s="37">
        <f t="shared" si="14"/>
        <v>7915.0245940841678</v>
      </c>
      <c r="D162" s="21">
        <v>0</v>
      </c>
    </row>
    <row r="163" spans="2:4" ht="16.8" customHeight="1" x14ac:dyDescent="0.25">
      <c r="B163" s="35">
        <f t="shared" si="1"/>
        <v>160</v>
      </c>
      <c r="C163" s="37">
        <f t="shared" si="14"/>
        <v>7915.0245940841678</v>
      </c>
      <c r="D163" s="21">
        <v>0</v>
      </c>
    </row>
    <row r="164" spans="2:4" ht="16.8" customHeight="1" x14ac:dyDescent="0.25">
      <c r="B164" s="35">
        <f t="shared" si="1"/>
        <v>161</v>
      </c>
      <c r="C164" s="37">
        <f t="shared" si="14"/>
        <v>7915.0245940841678</v>
      </c>
      <c r="D164" s="21">
        <v>0</v>
      </c>
    </row>
    <row r="165" spans="2:4" ht="16.8" customHeight="1" x14ac:dyDescent="0.25">
      <c r="B165" s="35">
        <f t="shared" si="1"/>
        <v>162</v>
      </c>
      <c r="C165" s="37">
        <f t="shared" si="14"/>
        <v>7915.0245940841678</v>
      </c>
      <c r="D165" s="21">
        <v>0</v>
      </c>
    </row>
    <row r="166" spans="2:4" ht="16.8" customHeight="1" x14ac:dyDescent="0.25">
      <c r="B166" s="35">
        <f t="shared" si="1"/>
        <v>163</v>
      </c>
      <c r="C166" s="37">
        <f t="shared" si="14"/>
        <v>7915.0245940841678</v>
      </c>
      <c r="D166" s="21">
        <v>0</v>
      </c>
    </row>
    <row r="167" spans="2:4" ht="16.8" customHeight="1" x14ac:dyDescent="0.25">
      <c r="B167" s="35">
        <f t="shared" si="1"/>
        <v>164</v>
      </c>
      <c r="C167" s="37">
        <f t="shared" si="14"/>
        <v>7915.0245940841678</v>
      </c>
      <c r="D167" s="21">
        <v>0</v>
      </c>
    </row>
    <row r="168" spans="2:4" ht="16.8" customHeight="1" x14ac:dyDescent="0.25">
      <c r="B168" s="35">
        <f t="shared" si="1"/>
        <v>165</v>
      </c>
      <c r="C168" s="37">
        <f t="shared" si="14"/>
        <v>7915.0245940841678</v>
      </c>
      <c r="D168" s="21">
        <v>0</v>
      </c>
    </row>
    <row r="169" spans="2:4" ht="16.8" customHeight="1" x14ac:dyDescent="0.25">
      <c r="B169" s="35">
        <f t="shared" si="1"/>
        <v>166</v>
      </c>
      <c r="C169" s="37">
        <f t="shared" si="14"/>
        <v>7915.0245940841678</v>
      </c>
      <c r="D169" s="21">
        <v>0</v>
      </c>
    </row>
    <row r="170" spans="2:4" ht="16.8" customHeight="1" x14ac:dyDescent="0.25">
      <c r="B170" s="35">
        <f t="shared" si="1"/>
        <v>167</v>
      </c>
      <c r="C170" s="37">
        <f t="shared" si="14"/>
        <v>7915.0245940841678</v>
      </c>
      <c r="D170" s="21">
        <v>0</v>
      </c>
    </row>
    <row r="171" spans="2:4" ht="16.8" customHeight="1" x14ac:dyDescent="0.25">
      <c r="B171" s="35">
        <f t="shared" si="1"/>
        <v>168</v>
      </c>
      <c r="C171" s="37">
        <f t="shared" si="14"/>
        <v>7915.0245940841678</v>
      </c>
      <c r="D171" s="21">
        <v>0</v>
      </c>
    </row>
    <row r="172" spans="2:4" ht="16.8" customHeight="1" x14ac:dyDescent="0.25">
      <c r="B172" s="39">
        <f t="shared" si="1"/>
        <v>169</v>
      </c>
      <c r="C172" s="40">
        <f>IF(B172&gt;$G$7,"",+C171+(C171*$G$5))</f>
        <v>8648.7473739557699</v>
      </c>
      <c r="D172" s="40">
        <f>IF(C172="","",D160*'Preencha Aqui'!$C$25)</f>
        <v>0</v>
      </c>
    </row>
    <row r="173" spans="2:4" ht="16.8" customHeight="1" x14ac:dyDescent="0.25">
      <c r="B173" s="35">
        <f t="shared" si="1"/>
        <v>170</v>
      </c>
      <c r="C173" s="37">
        <f t="shared" ref="C173:C183" si="15">IF(B173&gt;$G$7,"",C172)</f>
        <v>8648.7473739557699</v>
      </c>
      <c r="D173" s="21">
        <v>0</v>
      </c>
    </row>
    <row r="174" spans="2:4" ht="16.8" customHeight="1" x14ac:dyDescent="0.25">
      <c r="B174" s="35">
        <f t="shared" si="1"/>
        <v>171</v>
      </c>
      <c r="C174" s="37">
        <f t="shared" si="15"/>
        <v>8648.7473739557699</v>
      </c>
      <c r="D174" s="21">
        <v>0</v>
      </c>
    </row>
    <row r="175" spans="2:4" ht="16.8" customHeight="1" x14ac:dyDescent="0.25">
      <c r="B175" s="35">
        <f t="shared" si="1"/>
        <v>172</v>
      </c>
      <c r="C175" s="37">
        <f t="shared" si="15"/>
        <v>8648.7473739557699</v>
      </c>
      <c r="D175" s="21">
        <v>0</v>
      </c>
    </row>
    <row r="176" spans="2:4" ht="16.8" customHeight="1" x14ac:dyDescent="0.25">
      <c r="B176" s="35">
        <f t="shared" si="1"/>
        <v>173</v>
      </c>
      <c r="C176" s="37">
        <f t="shared" si="15"/>
        <v>8648.7473739557699</v>
      </c>
      <c r="D176" s="21">
        <v>0</v>
      </c>
    </row>
    <row r="177" spans="2:4" ht="16.8" customHeight="1" x14ac:dyDescent="0.25">
      <c r="B177" s="35">
        <f t="shared" si="1"/>
        <v>174</v>
      </c>
      <c r="C177" s="37">
        <f t="shared" si="15"/>
        <v>8648.7473739557699</v>
      </c>
      <c r="D177" s="21">
        <v>0</v>
      </c>
    </row>
    <row r="178" spans="2:4" ht="16.8" customHeight="1" x14ac:dyDescent="0.25">
      <c r="B178" s="35">
        <f t="shared" si="1"/>
        <v>175</v>
      </c>
      <c r="C178" s="37">
        <f t="shared" si="15"/>
        <v>8648.7473739557699</v>
      </c>
      <c r="D178" s="21">
        <v>0</v>
      </c>
    </row>
    <row r="179" spans="2:4" ht="16.8" customHeight="1" x14ac:dyDescent="0.25">
      <c r="B179" s="35">
        <f t="shared" si="1"/>
        <v>176</v>
      </c>
      <c r="C179" s="37">
        <f t="shared" si="15"/>
        <v>8648.7473739557699</v>
      </c>
      <c r="D179" s="21">
        <v>0</v>
      </c>
    </row>
    <row r="180" spans="2:4" ht="16.8" customHeight="1" x14ac:dyDescent="0.25">
      <c r="B180" s="35">
        <f t="shared" si="1"/>
        <v>177</v>
      </c>
      <c r="C180" s="37">
        <f t="shared" si="15"/>
        <v>8648.7473739557699</v>
      </c>
      <c r="D180" s="21">
        <v>0</v>
      </c>
    </row>
    <row r="181" spans="2:4" ht="16.8" customHeight="1" x14ac:dyDescent="0.25">
      <c r="B181" s="35">
        <f t="shared" si="1"/>
        <v>178</v>
      </c>
      <c r="C181" s="37">
        <f t="shared" si="15"/>
        <v>8648.7473739557699</v>
      </c>
      <c r="D181" s="21">
        <v>0</v>
      </c>
    </row>
    <row r="182" spans="2:4" ht="16.8" customHeight="1" x14ac:dyDescent="0.25">
      <c r="B182" s="35">
        <f t="shared" si="1"/>
        <v>179</v>
      </c>
      <c r="C182" s="37">
        <f t="shared" si="15"/>
        <v>8648.7473739557699</v>
      </c>
      <c r="D182" s="21">
        <v>0</v>
      </c>
    </row>
    <row r="183" spans="2:4" ht="16.8" customHeight="1" x14ac:dyDescent="0.25">
      <c r="B183" s="35">
        <f t="shared" si="1"/>
        <v>180</v>
      </c>
      <c r="C183" s="37">
        <f t="shared" si="15"/>
        <v>8648.7473739557699</v>
      </c>
      <c r="D183" s="21">
        <v>0</v>
      </c>
    </row>
    <row r="184" spans="2:4" ht="16.8" customHeight="1" x14ac:dyDescent="0.25">
      <c r="B184" s="39">
        <f t="shared" si="1"/>
        <v>181</v>
      </c>
      <c r="C184" s="40">
        <f>IF(B184&gt;$G$7,"",+C183+(C183*$G$5))</f>
        <v>9450.4862555214695</v>
      </c>
      <c r="D184" s="40">
        <f>IF(C184="","",D172*'Preencha Aqui'!$C$25)</f>
        <v>0</v>
      </c>
    </row>
    <row r="185" spans="2:4" ht="16.8" customHeight="1" x14ac:dyDescent="0.25">
      <c r="B185" s="35">
        <f t="shared" si="1"/>
        <v>182</v>
      </c>
      <c r="C185" s="37">
        <f t="shared" ref="C185:C195" si="16">IF(B185&gt;$G$7,"",C184)</f>
        <v>9450.4862555214695</v>
      </c>
      <c r="D185" s="21">
        <v>0</v>
      </c>
    </row>
    <row r="186" spans="2:4" ht="16.8" customHeight="1" x14ac:dyDescent="0.25">
      <c r="B186" s="35">
        <f t="shared" si="1"/>
        <v>183</v>
      </c>
      <c r="C186" s="37">
        <f t="shared" si="16"/>
        <v>9450.4862555214695</v>
      </c>
      <c r="D186" s="21">
        <v>0</v>
      </c>
    </row>
    <row r="187" spans="2:4" ht="16.8" customHeight="1" x14ac:dyDescent="0.25">
      <c r="B187" s="35">
        <f t="shared" si="1"/>
        <v>184</v>
      </c>
      <c r="C187" s="37">
        <f t="shared" si="16"/>
        <v>9450.4862555214695</v>
      </c>
      <c r="D187" s="21">
        <v>0</v>
      </c>
    </row>
    <row r="188" spans="2:4" ht="16.8" customHeight="1" x14ac:dyDescent="0.25">
      <c r="B188" s="35">
        <f t="shared" si="1"/>
        <v>185</v>
      </c>
      <c r="C188" s="37">
        <f t="shared" si="16"/>
        <v>9450.4862555214695</v>
      </c>
      <c r="D188" s="21">
        <v>0</v>
      </c>
    </row>
    <row r="189" spans="2:4" ht="16.8" customHeight="1" x14ac:dyDescent="0.25">
      <c r="B189" s="35">
        <f t="shared" si="1"/>
        <v>186</v>
      </c>
      <c r="C189" s="37">
        <f t="shared" si="16"/>
        <v>9450.4862555214695</v>
      </c>
      <c r="D189" s="21">
        <v>0</v>
      </c>
    </row>
    <row r="190" spans="2:4" ht="16.8" customHeight="1" x14ac:dyDescent="0.25">
      <c r="B190" s="35">
        <f t="shared" si="1"/>
        <v>187</v>
      </c>
      <c r="C190" s="37">
        <f t="shared" si="16"/>
        <v>9450.4862555214695</v>
      </c>
      <c r="D190" s="21">
        <v>0</v>
      </c>
    </row>
    <row r="191" spans="2:4" ht="16.8" customHeight="1" x14ac:dyDescent="0.25">
      <c r="B191" s="35">
        <f t="shared" si="1"/>
        <v>188</v>
      </c>
      <c r="C191" s="37">
        <f t="shared" si="16"/>
        <v>9450.4862555214695</v>
      </c>
      <c r="D191" s="21">
        <v>0</v>
      </c>
    </row>
    <row r="192" spans="2:4" ht="16.8" customHeight="1" x14ac:dyDescent="0.25">
      <c r="B192" s="35">
        <f t="shared" si="1"/>
        <v>189</v>
      </c>
      <c r="C192" s="37">
        <f t="shared" si="16"/>
        <v>9450.4862555214695</v>
      </c>
      <c r="D192" s="21">
        <v>0</v>
      </c>
    </row>
    <row r="193" spans="2:4" ht="16.8" customHeight="1" x14ac:dyDescent="0.25">
      <c r="B193" s="35">
        <f t="shared" si="1"/>
        <v>190</v>
      </c>
      <c r="C193" s="37">
        <f t="shared" si="16"/>
        <v>9450.4862555214695</v>
      </c>
      <c r="D193" s="21">
        <v>0</v>
      </c>
    </row>
    <row r="194" spans="2:4" ht="16.8" customHeight="1" x14ac:dyDescent="0.25">
      <c r="B194" s="35">
        <f t="shared" si="1"/>
        <v>191</v>
      </c>
      <c r="C194" s="37">
        <f t="shared" si="16"/>
        <v>9450.4862555214695</v>
      </c>
      <c r="D194" s="21">
        <v>0</v>
      </c>
    </row>
    <row r="195" spans="2:4" ht="16.8" customHeight="1" x14ac:dyDescent="0.25">
      <c r="B195" s="35">
        <f t="shared" si="1"/>
        <v>192</v>
      </c>
      <c r="C195" s="37">
        <f t="shared" si="16"/>
        <v>9450.4862555214695</v>
      </c>
      <c r="D195" s="21">
        <v>0</v>
      </c>
    </row>
    <row r="196" spans="2:4" ht="16.8" customHeight="1" x14ac:dyDescent="0.25">
      <c r="B196" s="39">
        <f t="shared" si="1"/>
        <v>193</v>
      </c>
      <c r="C196" s="40">
        <f>IF(B196&gt;$G$7,"",+C195+(C195*$G$5))</f>
        <v>10326.54633140831</v>
      </c>
      <c r="D196" s="40">
        <f>IF(C196="","",D184*'Preencha Aqui'!$C$25)</f>
        <v>0</v>
      </c>
    </row>
    <row r="197" spans="2:4" ht="16.8" customHeight="1" x14ac:dyDescent="0.25">
      <c r="B197" s="35">
        <f t="shared" si="1"/>
        <v>194</v>
      </c>
      <c r="C197" s="37">
        <f t="shared" ref="C197:C207" si="17">IF(B197&gt;$G$7,"",C196)</f>
        <v>10326.54633140831</v>
      </c>
      <c r="D197" s="21">
        <v>0</v>
      </c>
    </row>
    <row r="198" spans="2:4" ht="16.8" customHeight="1" x14ac:dyDescent="0.25">
      <c r="B198" s="35">
        <f t="shared" si="1"/>
        <v>195</v>
      </c>
      <c r="C198" s="37">
        <f t="shared" si="17"/>
        <v>10326.54633140831</v>
      </c>
      <c r="D198" s="21">
        <v>0</v>
      </c>
    </row>
    <row r="199" spans="2:4" ht="16.8" customHeight="1" x14ac:dyDescent="0.25">
      <c r="B199" s="35">
        <f t="shared" si="1"/>
        <v>196</v>
      </c>
      <c r="C199" s="37">
        <f t="shared" si="17"/>
        <v>10326.54633140831</v>
      </c>
      <c r="D199" s="21">
        <v>0</v>
      </c>
    </row>
    <row r="200" spans="2:4" ht="16.8" customHeight="1" x14ac:dyDescent="0.25">
      <c r="B200" s="35">
        <f t="shared" si="1"/>
        <v>197</v>
      </c>
      <c r="C200" s="37">
        <f t="shared" si="17"/>
        <v>10326.54633140831</v>
      </c>
      <c r="D200" s="21">
        <v>0</v>
      </c>
    </row>
    <row r="201" spans="2:4" ht="16.8" customHeight="1" x14ac:dyDescent="0.25">
      <c r="B201" s="35">
        <f t="shared" si="1"/>
        <v>198</v>
      </c>
      <c r="C201" s="37">
        <f t="shared" si="17"/>
        <v>10326.54633140831</v>
      </c>
      <c r="D201" s="21">
        <v>0</v>
      </c>
    </row>
    <row r="202" spans="2:4" ht="16.8" customHeight="1" x14ac:dyDescent="0.25">
      <c r="B202" s="35">
        <f t="shared" si="1"/>
        <v>199</v>
      </c>
      <c r="C202" s="37">
        <f t="shared" si="17"/>
        <v>10326.54633140831</v>
      </c>
      <c r="D202" s="21">
        <v>0</v>
      </c>
    </row>
    <row r="203" spans="2:4" ht="16.8" customHeight="1" x14ac:dyDescent="0.25">
      <c r="B203" s="35">
        <f t="shared" si="1"/>
        <v>200</v>
      </c>
      <c r="C203" s="37">
        <f t="shared" si="17"/>
        <v>10326.54633140831</v>
      </c>
      <c r="D203" s="21">
        <v>0</v>
      </c>
    </row>
    <row r="204" spans="2:4" ht="16.8" customHeight="1" x14ac:dyDescent="0.25">
      <c r="B204" s="35">
        <f t="shared" si="1"/>
        <v>201</v>
      </c>
      <c r="C204" s="37">
        <f t="shared" si="17"/>
        <v>10326.54633140831</v>
      </c>
      <c r="D204" s="21">
        <v>0</v>
      </c>
    </row>
    <row r="205" spans="2:4" ht="16.8" customHeight="1" x14ac:dyDescent="0.25">
      <c r="B205" s="35">
        <f t="shared" si="1"/>
        <v>202</v>
      </c>
      <c r="C205" s="37">
        <f t="shared" si="17"/>
        <v>10326.54633140831</v>
      </c>
      <c r="D205" s="21">
        <v>0</v>
      </c>
    </row>
    <row r="206" spans="2:4" ht="16.8" customHeight="1" x14ac:dyDescent="0.25">
      <c r="B206" s="35">
        <f t="shared" si="1"/>
        <v>203</v>
      </c>
      <c r="C206" s="37">
        <f t="shared" si="17"/>
        <v>10326.54633140831</v>
      </c>
      <c r="D206" s="21">
        <v>0</v>
      </c>
    </row>
    <row r="207" spans="2:4" ht="16.8" customHeight="1" x14ac:dyDescent="0.25">
      <c r="B207" s="35">
        <f t="shared" si="1"/>
        <v>204</v>
      </c>
      <c r="C207" s="37">
        <f t="shared" si="17"/>
        <v>10326.54633140831</v>
      </c>
      <c r="D207" s="21">
        <v>0</v>
      </c>
    </row>
    <row r="208" spans="2:4" ht="16.8" customHeight="1" x14ac:dyDescent="0.25">
      <c r="B208" s="39">
        <f t="shared" si="1"/>
        <v>205</v>
      </c>
      <c r="C208" s="40">
        <f>IF(B208&gt;$G$7,"",+C207+(C207*$G$5))</f>
        <v>11283.81717632986</v>
      </c>
      <c r="D208" s="40">
        <f>IF(C208="","",D196*'Preencha Aqui'!$C$25)</f>
        <v>0</v>
      </c>
    </row>
    <row r="209" spans="2:4" ht="16.8" customHeight="1" x14ac:dyDescent="0.25">
      <c r="B209" s="35">
        <f t="shared" si="1"/>
        <v>206</v>
      </c>
      <c r="C209" s="37">
        <f t="shared" ref="C209:C219" si="18">IF(B209&gt;$G$7,"",C208)</f>
        <v>11283.81717632986</v>
      </c>
      <c r="D209" s="21">
        <v>0</v>
      </c>
    </row>
    <row r="210" spans="2:4" ht="16.8" customHeight="1" x14ac:dyDescent="0.25">
      <c r="B210" s="35">
        <f t="shared" si="1"/>
        <v>207</v>
      </c>
      <c r="C210" s="37">
        <f t="shared" si="18"/>
        <v>11283.81717632986</v>
      </c>
      <c r="D210" s="21">
        <v>0</v>
      </c>
    </row>
    <row r="211" spans="2:4" ht="16.8" customHeight="1" x14ac:dyDescent="0.25">
      <c r="B211" s="35">
        <f t="shared" si="1"/>
        <v>208</v>
      </c>
      <c r="C211" s="37">
        <f t="shared" si="18"/>
        <v>11283.81717632986</v>
      </c>
      <c r="D211" s="21">
        <v>0</v>
      </c>
    </row>
    <row r="212" spans="2:4" ht="16.8" customHeight="1" x14ac:dyDescent="0.25">
      <c r="B212" s="35">
        <f t="shared" si="1"/>
        <v>209</v>
      </c>
      <c r="C212" s="37">
        <f t="shared" si="18"/>
        <v>11283.81717632986</v>
      </c>
      <c r="D212" s="21">
        <v>0</v>
      </c>
    </row>
    <row r="213" spans="2:4" ht="16.8" customHeight="1" x14ac:dyDescent="0.25">
      <c r="B213" s="35">
        <f t="shared" si="1"/>
        <v>210</v>
      </c>
      <c r="C213" s="37">
        <f t="shared" si="18"/>
        <v>11283.81717632986</v>
      </c>
      <c r="D213" s="21">
        <v>0</v>
      </c>
    </row>
    <row r="214" spans="2:4" ht="16.8" customHeight="1" x14ac:dyDescent="0.25">
      <c r="B214" s="35">
        <f t="shared" si="1"/>
        <v>211</v>
      </c>
      <c r="C214" s="37">
        <f t="shared" si="18"/>
        <v>11283.81717632986</v>
      </c>
      <c r="D214" s="21">
        <v>0</v>
      </c>
    </row>
    <row r="215" spans="2:4" ht="16.8" customHeight="1" x14ac:dyDescent="0.25">
      <c r="B215" s="35">
        <f t="shared" si="1"/>
        <v>212</v>
      </c>
      <c r="C215" s="37">
        <f t="shared" si="18"/>
        <v>11283.81717632986</v>
      </c>
      <c r="D215" s="21">
        <v>0</v>
      </c>
    </row>
    <row r="216" spans="2:4" ht="16.8" customHeight="1" x14ac:dyDescent="0.25">
      <c r="B216" s="35">
        <f t="shared" si="1"/>
        <v>213</v>
      </c>
      <c r="C216" s="37">
        <f t="shared" si="18"/>
        <v>11283.81717632986</v>
      </c>
      <c r="D216" s="21">
        <v>0</v>
      </c>
    </row>
    <row r="217" spans="2:4" ht="16.8" customHeight="1" x14ac:dyDescent="0.25">
      <c r="B217" s="35">
        <f t="shared" si="1"/>
        <v>214</v>
      </c>
      <c r="C217" s="37">
        <f t="shared" si="18"/>
        <v>11283.81717632986</v>
      </c>
      <c r="D217" s="21">
        <v>0</v>
      </c>
    </row>
    <row r="218" spans="2:4" ht="16.8" customHeight="1" x14ac:dyDescent="0.25">
      <c r="B218" s="35">
        <f t="shared" si="1"/>
        <v>215</v>
      </c>
      <c r="C218" s="37">
        <f t="shared" si="18"/>
        <v>11283.81717632986</v>
      </c>
      <c r="D218" s="21">
        <v>0</v>
      </c>
    </row>
    <row r="219" spans="2:4" ht="16.8" customHeight="1" x14ac:dyDescent="0.25">
      <c r="B219" s="35">
        <f t="shared" si="1"/>
        <v>216</v>
      </c>
      <c r="C219" s="37">
        <f t="shared" si="18"/>
        <v>11283.81717632986</v>
      </c>
      <c r="D219" s="21">
        <v>0</v>
      </c>
    </row>
    <row r="220" spans="2:4" ht="16.8" customHeight="1" x14ac:dyDescent="0.25">
      <c r="B220" s="41">
        <f t="shared" si="1"/>
        <v>217</v>
      </c>
      <c r="C220" s="42">
        <f>IF(B220&gt;$G$7,"",+C219+(C219*$G$5))</f>
        <v>12329.827028575637</v>
      </c>
      <c r="D220" s="40">
        <f>IF(C220="","",D208*'Preencha Aqui'!$C$25)</f>
        <v>0</v>
      </c>
    </row>
    <row r="221" spans="2:4" ht="16.8" customHeight="1" x14ac:dyDescent="0.25">
      <c r="B221" s="35">
        <f t="shared" si="1"/>
        <v>218</v>
      </c>
      <c r="C221" s="37">
        <f t="shared" ref="C221:C231" si="19">IF(B221&gt;$G$7,"",C220)</f>
        <v>12329.827028575637</v>
      </c>
      <c r="D221" s="21">
        <v>0</v>
      </c>
    </row>
    <row r="222" spans="2:4" ht="16.8" customHeight="1" x14ac:dyDescent="0.25">
      <c r="B222" s="35">
        <f t="shared" si="1"/>
        <v>219</v>
      </c>
      <c r="C222" s="37">
        <f t="shared" si="19"/>
        <v>12329.827028575637</v>
      </c>
      <c r="D222" s="21">
        <v>0</v>
      </c>
    </row>
    <row r="223" spans="2:4" ht="16.8" customHeight="1" x14ac:dyDescent="0.25">
      <c r="B223" s="35">
        <f t="shared" si="1"/>
        <v>220</v>
      </c>
      <c r="C223" s="37">
        <f t="shared" si="19"/>
        <v>12329.827028575637</v>
      </c>
      <c r="D223" s="21">
        <v>0</v>
      </c>
    </row>
    <row r="224" spans="2:4" ht="16.8" customHeight="1" x14ac:dyDescent="0.25">
      <c r="B224" s="35">
        <f t="shared" si="1"/>
        <v>221</v>
      </c>
      <c r="C224" s="37">
        <f t="shared" si="19"/>
        <v>12329.827028575637</v>
      </c>
      <c r="D224" s="21">
        <v>0</v>
      </c>
    </row>
    <row r="225" spans="2:4" ht="16.8" customHeight="1" x14ac:dyDescent="0.25">
      <c r="B225" s="35">
        <f t="shared" si="1"/>
        <v>222</v>
      </c>
      <c r="C225" s="37">
        <f t="shared" si="19"/>
        <v>12329.827028575637</v>
      </c>
      <c r="D225" s="21">
        <v>0</v>
      </c>
    </row>
    <row r="226" spans="2:4" ht="16.8" customHeight="1" x14ac:dyDescent="0.25">
      <c r="B226" s="35">
        <f t="shared" si="1"/>
        <v>223</v>
      </c>
      <c r="C226" s="37">
        <f t="shared" si="19"/>
        <v>12329.827028575637</v>
      </c>
      <c r="D226" s="21">
        <v>0</v>
      </c>
    </row>
    <row r="227" spans="2:4" ht="16.8" customHeight="1" x14ac:dyDescent="0.25">
      <c r="B227" s="35">
        <f t="shared" si="1"/>
        <v>224</v>
      </c>
      <c r="C227" s="37">
        <f t="shared" si="19"/>
        <v>12329.827028575637</v>
      </c>
      <c r="D227" s="21">
        <v>0</v>
      </c>
    </row>
    <row r="228" spans="2:4" ht="16.8" customHeight="1" x14ac:dyDescent="0.25">
      <c r="B228" s="35">
        <f t="shared" si="1"/>
        <v>225</v>
      </c>
      <c r="C228" s="37">
        <f t="shared" si="19"/>
        <v>12329.827028575637</v>
      </c>
      <c r="D228" s="21">
        <v>0</v>
      </c>
    </row>
    <row r="229" spans="2:4" ht="16.8" customHeight="1" x14ac:dyDescent="0.25">
      <c r="B229" s="35">
        <f t="shared" si="1"/>
        <v>226</v>
      </c>
      <c r="C229" s="37">
        <f t="shared" si="19"/>
        <v>12329.827028575637</v>
      </c>
      <c r="D229" s="21">
        <v>0</v>
      </c>
    </row>
    <row r="230" spans="2:4" ht="16.8" customHeight="1" x14ac:dyDescent="0.25">
      <c r="B230" s="35">
        <f t="shared" si="1"/>
        <v>227</v>
      </c>
      <c r="C230" s="37">
        <f t="shared" si="19"/>
        <v>12329.827028575637</v>
      </c>
      <c r="D230" s="21">
        <v>0</v>
      </c>
    </row>
    <row r="231" spans="2:4" ht="16.8" customHeight="1" x14ac:dyDescent="0.25">
      <c r="B231" s="35">
        <f t="shared" si="1"/>
        <v>228</v>
      </c>
      <c r="C231" s="37">
        <f t="shared" si="19"/>
        <v>12329.827028575637</v>
      </c>
      <c r="D231" s="21">
        <v>0</v>
      </c>
    </row>
    <row r="232" spans="2:4" ht="16.8" customHeight="1" x14ac:dyDescent="0.25">
      <c r="B232" s="41">
        <f t="shared" ref="B232" si="20">+B231+1</f>
        <v>229</v>
      </c>
      <c r="C232" s="42">
        <f>IF(B232&gt;$G$7,"",+C231+(C231*$G$5))</f>
        <v>13472.801994124598</v>
      </c>
      <c r="D232" s="40">
        <f>IF(C232="","",D220*'Preencha Aqui'!$C$25)</f>
        <v>0</v>
      </c>
    </row>
    <row r="233" spans="2:4" ht="16.8" customHeight="1" x14ac:dyDescent="0.25">
      <c r="B233" s="35">
        <f t="shared" si="1"/>
        <v>230</v>
      </c>
      <c r="C233" s="37">
        <f t="shared" ref="C233:C243" si="21">IF(B233&gt;$G$7,"",C232)</f>
        <v>13472.801994124598</v>
      </c>
      <c r="D233" s="21">
        <v>0</v>
      </c>
    </row>
    <row r="234" spans="2:4" ht="16.8" customHeight="1" x14ac:dyDescent="0.25">
      <c r="B234" s="35">
        <f t="shared" si="1"/>
        <v>231</v>
      </c>
      <c r="C234" s="37">
        <f t="shared" si="21"/>
        <v>13472.801994124598</v>
      </c>
      <c r="D234" s="21">
        <v>0</v>
      </c>
    </row>
    <row r="235" spans="2:4" ht="16.8" customHeight="1" x14ac:dyDescent="0.25">
      <c r="B235" s="35">
        <f t="shared" si="1"/>
        <v>232</v>
      </c>
      <c r="C235" s="37">
        <f t="shared" si="21"/>
        <v>13472.801994124598</v>
      </c>
      <c r="D235" s="21">
        <v>0</v>
      </c>
    </row>
    <row r="236" spans="2:4" ht="16.8" customHeight="1" x14ac:dyDescent="0.25">
      <c r="B236" s="35">
        <f t="shared" si="1"/>
        <v>233</v>
      </c>
      <c r="C236" s="37">
        <f t="shared" si="21"/>
        <v>13472.801994124598</v>
      </c>
      <c r="D236" s="21">
        <v>0</v>
      </c>
    </row>
    <row r="237" spans="2:4" ht="16.8" customHeight="1" x14ac:dyDescent="0.25">
      <c r="B237" s="35">
        <f t="shared" si="1"/>
        <v>234</v>
      </c>
      <c r="C237" s="37">
        <f t="shared" si="21"/>
        <v>13472.801994124598</v>
      </c>
      <c r="D237" s="21">
        <v>0</v>
      </c>
    </row>
    <row r="238" spans="2:4" ht="16.8" customHeight="1" x14ac:dyDescent="0.25">
      <c r="B238" s="35">
        <f t="shared" si="1"/>
        <v>235</v>
      </c>
      <c r="C238" s="37">
        <f t="shared" si="21"/>
        <v>13472.801994124598</v>
      </c>
      <c r="D238" s="21">
        <v>0</v>
      </c>
    </row>
    <row r="239" spans="2:4" ht="16.8" customHeight="1" x14ac:dyDescent="0.25">
      <c r="B239" s="35">
        <f t="shared" si="1"/>
        <v>236</v>
      </c>
      <c r="C239" s="37">
        <f t="shared" si="21"/>
        <v>13472.801994124598</v>
      </c>
      <c r="D239" s="21">
        <v>0</v>
      </c>
    </row>
    <row r="240" spans="2:4" ht="16.8" customHeight="1" x14ac:dyDescent="0.25">
      <c r="B240" s="35">
        <f t="shared" si="1"/>
        <v>237</v>
      </c>
      <c r="C240" s="37">
        <f t="shared" si="21"/>
        <v>13472.801994124598</v>
      </c>
      <c r="D240" s="21">
        <v>0</v>
      </c>
    </row>
    <row r="241" spans="2:4" ht="16.8" customHeight="1" x14ac:dyDescent="0.25">
      <c r="B241" s="35">
        <f t="shared" si="1"/>
        <v>238</v>
      </c>
      <c r="C241" s="37">
        <f t="shared" si="21"/>
        <v>13472.801994124598</v>
      </c>
      <c r="D241" s="21">
        <v>0</v>
      </c>
    </row>
    <row r="242" spans="2:4" ht="16.8" customHeight="1" x14ac:dyDescent="0.25">
      <c r="B242" s="35">
        <f t="shared" si="1"/>
        <v>239</v>
      </c>
      <c r="C242" s="37">
        <f t="shared" si="21"/>
        <v>13472.801994124598</v>
      </c>
      <c r="D242" s="21">
        <v>0</v>
      </c>
    </row>
    <row r="243" spans="2:4" ht="16.8" customHeight="1" x14ac:dyDescent="0.25">
      <c r="B243" s="35">
        <f t="shared" si="1"/>
        <v>240</v>
      </c>
      <c r="C243" s="37">
        <f t="shared" si="21"/>
        <v>13472.801994124598</v>
      </c>
      <c r="D243" s="21">
        <v>0</v>
      </c>
    </row>
    <row r="244" spans="2:4" ht="16.8" customHeight="1" x14ac:dyDescent="0.25">
      <c r="B244" s="41">
        <f t="shared" ref="B244" si="22">+B243+1</f>
        <v>241</v>
      </c>
      <c r="C244" s="42">
        <f>IF(B244&gt;$G$7,"",+C243+(C243*$G$5))</f>
        <v>14721.730738979948</v>
      </c>
      <c r="D244" s="40">
        <f>IF(C244="","",D232*'Preencha Aqui'!$C$25)</f>
        <v>0</v>
      </c>
    </row>
    <row r="245" spans="2:4" ht="16.8" customHeight="1" x14ac:dyDescent="0.25">
      <c r="B245" s="35">
        <f t="shared" si="1"/>
        <v>242</v>
      </c>
      <c r="C245" s="37">
        <f t="shared" ref="C245:C255" si="23">IF(B245&gt;$G$7,"",C244)</f>
        <v>14721.730738979948</v>
      </c>
      <c r="D245" s="21">
        <v>0</v>
      </c>
    </row>
    <row r="246" spans="2:4" ht="16.8" customHeight="1" x14ac:dyDescent="0.25">
      <c r="B246" s="35">
        <f t="shared" si="1"/>
        <v>243</v>
      </c>
      <c r="C246" s="37">
        <f t="shared" si="23"/>
        <v>14721.730738979948</v>
      </c>
      <c r="D246" s="21">
        <v>0</v>
      </c>
    </row>
    <row r="247" spans="2:4" ht="16.8" customHeight="1" x14ac:dyDescent="0.25">
      <c r="B247" s="35">
        <f t="shared" si="1"/>
        <v>244</v>
      </c>
      <c r="C247" s="37">
        <f t="shared" si="23"/>
        <v>14721.730738979948</v>
      </c>
      <c r="D247" s="21">
        <v>0</v>
      </c>
    </row>
    <row r="248" spans="2:4" ht="16.8" customHeight="1" x14ac:dyDescent="0.25">
      <c r="B248" s="35">
        <f t="shared" si="1"/>
        <v>245</v>
      </c>
      <c r="C248" s="37">
        <f t="shared" si="23"/>
        <v>14721.730738979948</v>
      </c>
      <c r="D248" s="21">
        <v>0</v>
      </c>
    </row>
    <row r="249" spans="2:4" ht="16.8" customHeight="1" x14ac:dyDescent="0.25">
      <c r="B249" s="35">
        <f t="shared" si="1"/>
        <v>246</v>
      </c>
      <c r="C249" s="37">
        <f t="shared" si="23"/>
        <v>14721.730738979948</v>
      </c>
      <c r="D249" s="21">
        <v>0</v>
      </c>
    </row>
    <row r="250" spans="2:4" ht="16.8" customHeight="1" x14ac:dyDescent="0.25">
      <c r="B250" s="35">
        <f t="shared" si="1"/>
        <v>247</v>
      </c>
      <c r="C250" s="37">
        <f t="shared" si="23"/>
        <v>14721.730738979948</v>
      </c>
      <c r="D250" s="21">
        <v>0</v>
      </c>
    </row>
    <row r="251" spans="2:4" ht="16.8" customHeight="1" x14ac:dyDescent="0.25">
      <c r="B251" s="35">
        <f t="shared" si="1"/>
        <v>248</v>
      </c>
      <c r="C251" s="37">
        <f t="shared" si="23"/>
        <v>14721.730738979948</v>
      </c>
      <c r="D251" s="21">
        <v>0</v>
      </c>
    </row>
    <row r="252" spans="2:4" ht="16.8" customHeight="1" x14ac:dyDescent="0.25">
      <c r="B252" s="35">
        <f t="shared" si="1"/>
        <v>249</v>
      </c>
      <c r="C252" s="37">
        <f t="shared" si="23"/>
        <v>14721.730738979948</v>
      </c>
      <c r="D252" s="21">
        <v>0</v>
      </c>
    </row>
    <row r="253" spans="2:4" ht="16.8" customHeight="1" x14ac:dyDescent="0.25">
      <c r="B253" s="35">
        <f t="shared" si="1"/>
        <v>250</v>
      </c>
      <c r="C253" s="37">
        <f t="shared" si="23"/>
        <v>14721.730738979948</v>
      </c>
      <c r="D253" s="21">
        <v>0</v>
      </c>
    </row>
    <row r="254" spans="2:4" ht="16.8" customHeight="1" x14ac:dyDescent="0.25">
      <c r="B254" s="35">
        <f t="shared" si="1"/>
        <v>251</v>
      </c>
      <c r="C254" s="37">
        <f t="shared" si="23"/>
        <v>14721.730738979948</v>
      </c>
      <c r="D254" s="21">
        <v>0</v>
      </c>
    </row>
    <row r="255" spans="2:4" ht="16.8" customHeight="1" x14ac:dyDescent="0.25">
      <c r="B255" s="35">
        <f t="shared" si="1"/>
        <v>252</v>
      </c>
      <c r="C255" s="37">
        <f t="shared" si="23"/>
        <v>14721.730738979948</v>
      </c>
      <c r="D255" s="21">
        <v>0</v>
      </c>
    </row>
    <row r="256" spans="2:4" ht="16.8" customHeight="1" x14ac:dyDescent="0.25">
      <c r="B256" s="41">
        <f t="shared" ref="B256" si="24">+B255+1</f>
        <v>253</v>
      </c>
      <c r="C256" s="42">
        <f>IF(B256&gt;$G$7,"",+C255+(C255*$G$5))</f>
        <v>16086.435178483389</v>
      </c>
      <c r="D256" s="40">
        <f>IF(C256="","",D244*'Preencha Aqui'!$C$25)</f>
        <v>0</v>
      </c>
    </row>
    <row r="257" spans="2:4" ht="16.8" customHeight="1" x14ac:dyDescent="0.25">
      <c r="B257" s="35">
        <f t="shared" si="1"/>
        <v>254</v>
      </c>
      <c r="C257" s="37">
        <f t="shared" ref="C257:C267" si="25">IF(B257&gt;$G$7,"",C256)</f>
        <v>16086.435178483389</v>
      </c>
      <c r="D257" s="21">
        <v>0</v>
      </c>
    </row>
    <row r="258" spans="2:4" ht="16.8" customHeight="1" x14ac:dyDescent="0.25">
      <c r="B258" s="35">
        <f t="shared" si="1"/>
        <v>255</v>
      </c>
      <c r="C258" s="37">
        <f t="shared" si="25"/>
        <v>16086.435178483389</v>
      </c>
      <c r="D258" s="21">
        <v>0</v>
      </c>
    </row>
    <row r="259" spans="2:4" ht="16.8" customHeight="1" x14ac:dyDescent="0.25">
      <c r="B259" s="35">
        <f t="shared" si="1"/>
        <v>256</v>
      </c>
      <c r="C259" s="37">
        <f t="shared" si="25"/>
        <v>16086.435178483389</v>
      </c>
      <c r="D259" s="21">
        <v>0</v>
      </c>
    </row>
    <row r="260" spans="2:4" ht="16.8" customHeight="1" x14ac:dyDescent="0.25">
      <c r="B260" s="35">
        <f t="shared" ref="B260:B423" si="26">+B259+1</f>
        <v>257</v>
      </c>
      <c r="C260" s="37">
        <f t="shared" si="25"/>
        <v>16086.435178483389</v>
      </c>
      <c r="D260" s="21">
        <v>0</v>
      </c>
    </row>
    <row r="261" spans="2:4" ht="16.8" customHeight="1" x14ac:dyDescent="0.25">
      <c r="B261" s="35">
        <f t="shared" si="26"/>
        <v>258</v>
      </c>
      <c r="C261" s="37">
        <f t="shared" si="25"/>
        <v>16086.435178483389</v>
      </c>
      <c r="D261" s="21">
        <v>0</v>
      </c>
    </row>
    <row r="262" spans="2:4" ht="16.8" customHeight="1" x14ac:dyDescent="0.25">
      <c r="B262" s="35">
        <f t="shared" si="26"/>
        <v>259</v>
      </c>
      <c r="C262" s="37">
        <f t="shared" si="25"/>
        <v>16086.435178483389</v>
      </c>
      <c r="D262" s="21">
        <v>0</v>
      </c>
    </row>
    <row r="263" spans="2:4" ht="16.8" customHeight="1" x14ac:dyDescent="0.25">
      <c r="B263" s="35">
        <f t="shared" si="26"/>
        <v>260</v>
      </c>
      <c r="C263" s="37">
        <f t="shared" si="25"/>
        <v>16086.435178483389</v>
      </c>
      <c r="D263" s="21">
        <v>0</v>
      </c>
    </row>
    <row r="264" spans="2:4" ht="16.8" customHeight="1" x14ac:dyDescent="0.25">
      <c r="B264" s="35">
        <f t="shared" si="26"/>
        <v>261</v>
      </c>
      <c r="C264" s="37">
        <f t="shared" si="25"/>
        <v>16086.435178483389</v>
      </c>
      <c r="D264" s="21">
        <v>0</v>
      </c>
    </row>
    <row r="265" spans="2:4" ht="16.8" customHeight="1" x14ac:dyDescent="0.25">
      <c r="B265" s="35">
        <f t="shared" si="26"/>
        <v>262</v>
      </c>
      <c r="C265" s="37">
        <f t="shared" si="25"/>
        <v>16086.435178483389</v>
      </c>
      <c r="D265" s="21">
        <v>0</v>
      </c>
    </row>
    <row r="266" spans="2:4" ht="16.8" customHeight="1" x14ac:dyDescent="0.25">
      <c r="B266" s="35">
        <f t="shared" si="26"/>
        <v>263</v>
      </c>
      <c r="C266" s="37">
        <f t="shared" si="25"/>
        <v>16086.435178483389</v>
      </c>
      <c r="D266" s="21">
        <v>0</v>
      </c>
    </row>
    <row r="267" spans="2:4" ht="16.8" customHeight="1" x14ac:dyDescent="0.25">
      <c r="B267" s="35">
        <f t="shared" si="26"/>
        <v>264</v>
      </c>
      <c r="C267" s="37">
        <f t="shared" si="25"/>
        <v>16086.435178483389</v>
      </c>
      <c r="D267" s="21">
        <v>0</v>
      </c>
    </row>
    <row r="268" spans="2:4" ht="16.8" customHeight="1" x14ac:dyDescent="0.25">
      <c r="B268" s="41">
        <f t="shared" si="26"/>
        <v>265</v>
      </c>
      <c r="C268" s="42">
        <f>IF(B268&gt;$G$7,"",+C267+(C267*$G$5))</f>
        <v>17577.647719528799</v>
      </c>
      <c r="D268" s="40">
        <f>IF(C268="","",D256*'Preencha Aqui'!$C$25)</f>
        <v>0</v>
      </c>
    </row>
    <row r="269" spans="2:4" ht="16.8" customHeight="1" x14ac:dyDescent="0.25">
      <c r="B269" s="35">
        <f t="shared" si="26"/>
        <v>266</v>
      </c>
      <c r="C269" s="37">
        <f t="shared" ref="C269:C279" si="27">IF(B269&gt;$G$7,"",C268)</f>
        <v>17577.647719528799</v>
      </c>
      <c r="D269" s="21">
        <v>0</v>
      </c>
    </row>
    <row r="270" spans="2:4" ht="16.8" customHeight="1" x14ac:dyDescent="0.25">
      <c r="B270" s="35">
        <f t="shared" si="26"/>
        <v>267</v>
      </c>
      <c r="C270" s="37">
        <f t="shared" si="27"/>
        <v>17577.647719528799</v>
      </c>
      <c r="D270" s="21">
        <v>0</v>
      </c>
    </row>
    <row r="271" spans="2:4" ht="16.8" customHeight="1" x14ac:dyDescent="0.25">
      <c r="B271" s="35">
        <f t="shared" si="26"/>
        <v>268</v>
      </c>
      <c r="C271" s="37">
        <f t="shared" si="27"/>
        <v>17577.647719528799</v>
      </c>
      <c r="D271" s="21">
        <v>0</v>
      </c>
    </row>
    <row r="272" spans="2:4" ht="16.8" customHeight="1" x14ac:dyDescent="0.25">
      <c r="B272" s="35">
        <f t="shared" si="26"/>
        <v>269</v>
      </c>
      <c r="C272" s="37">
        <f t="shared" si="27"/>
        <v>17577.647719528799</v>
      </c>
      <c r="D272" s="21">
        <v>0</v>
      </c>
    </row>
    <row r="273" spans="2:4" ht="16.8" customHeight="1" x14ac:dyDescent="0.25">
      <c r="B273" s="35">
        <f t="shared" si="26"/>
        <v>270</v>
      </c>
      <c r="C273" s="37">
        <f t="shared" si="27"/>
        <v>17577.647719528799</v>
      </c>
      <c r="D273" s="21">
        <v>0</v>
      </c>
    </row>
    <row r="274" spans="2:4" ht="16.8" customHeight="1" x14ac:dyDescent="0.25">
      <c r="B274" s="35">
        <f t="shared" si="26"/>
        <v>271</v>
      </c>
      <c r="C274" s="37">
        <f t="shared" si="27"/>
        <v>17577.647719528799</v>
      </c>
      <c r="D274" s="21">
        <v>0</v>
      </c>
    </row>
    <row r="275" spans="2:4" ht="16.8" customHeight="1" x14ac:dyDescent="0.25">
      <c r="B275" s="35">
        <f t="shared" si="26"/>
        <v>272</v>
      </c>
      <c r="C275" s="37">
        <f t="shared" si="27"/>
        <v>17577.647719528799</v>
      </c>
      <c r="D275" s="21">
        <v>0</v>
      </c>
    </row>
    <row r="276" spans="2:4" ht="16.8" customHeight="1" x14ac:dyDescent="0.25">
      <c r="B276" s="35">
        <f t="shared" si="26"/>
        <v>273</v>
      </c>
      <c r="C276" s="37">
        <f t="shared" si="27"/>
        <v>17577.647719528799</v>
      </c>
      <c r="D276" s="21">
        <v>0</v>
      </c>
    </row>
    <row r="277" spans="2:4" ht="16.8" customHeight="1" x14ac:dyDescent="0.25">
      <c r="B277" s="35">
        <f t="shared" si="26"/>
        <v>274</v>
      </c>
      <c r="C277" s="37">
        <f t="shared" si="27"/>
        <v>17577.647719528799</v>
      </c>
      <c r="D277" s="21">
        <v>0</v>
      </c>
    </row>
    <row r="278" spans="2:4" ht="16.8" customHeight="1" x14ac:dyDescent="0.25">
      <c r="B278" s="35">
        <f t="shared" si="26"/>
        <v>275</v>
      </c>
      <c r="C278" s="37">
        <f t="shared" si="27"/>
        <v>17577.647719528799</v>
      </c>
      <c r="D278" s="21">
        <v>0</v>
      </c>
    </row>
    <row r="279" spans="2:4" ht="16.8" customHeight="1" x14ac:dyDescent="0.25">
      <c r="B279" s="35">
        <f t="shared" si="26"/>
        <v>276</v>
      </c>
      <c r="C279" s="37">
        <f t="shared" si="27"/>
        <v>17577.647719528799</v>
      </c>
      <c r="D279" s="21">
        <v>0</v>
      </c>
    </row>
    <row r="280" spans="2:4" ht="16.8" customHeight="1" x14ac:dyDescent="0.25">
      <c r="B280" s="41">
        <f t="shared" si="26"/>
        <v>277</v>
      </c>
      <c r="C280" s="42">
        <f>IF(B280&gt;$G$7,"",+C279+(C279*$G$5))</f>
        <v>19207.095663129119</v>
      </c>
      <c r="D280" s="40">
        <f>IF(C280="","",D268*'Preencha Aqui'!$C$25)</f>
        <v>0</v>
      </c>
    </row>
    <row r="281" spans="2:4" ht="16.8" customHeight="1" x14ac:dyDescent="0.25">
      <c r="B281" s="35">
        <f t="shared" si="26"/>
        <v>278</v>
      </c>
      <c r="C281" s="37">
        <f t="shared" ref="C281:C291" si="28">IF(B281&gt;$G$7,"",C280)</f>
        <v>19207.095663129119</v>
      </c>
      <c r="D281" s="21">
        <v>0</v>
      </c>
    </row>
    <row r="282" spans="2:4" ht="16.8" customHeight="1" x14ac:dyDescent="0.25">
      <c r="B282" s="35">
        <f t="shared" si="26"/>
        <v>279</v>
      </c>
      <c r="C282" s="37">
        <f t="shared" si="28"/>
        <v>19207.095663129119</v>
      </c>
      <c r="D282" s="21">
        <v>0</v>
      </c>
    </row>
    <row r="283" spans="2:4" ht="16.8" customHeight="1" x14ac:dyDescent="0.25">
      <c r="B283" s="35">
        <f t="shared" si="26"/>
        <v>280</v>
      </c>
      <c r="C283" s="37">
        <f t="shared" si="28"/>
        <v>19207.095663129119</v>
      </c>
      <c r="D283" s="21">
        <v>0</v>
      </c>
    </row>
    <row r="284" spans="2:4" ht="16.8" customHeight="1" x14ac:dyDescent="0.25">
      <c r="B284" s="35">
        <f t="shared" si="26"/>
        <v>281</v>
      </c>
      <c r="C284" s="37">
        <f t="shared" si="28"/>
        <v>19207.095663129119</v>
      </c>
      <c r="D284" s="21">
        <v>0</v>
      </c>
    </row>
    <row r="285" spans="2:4" ht="16.8" customHeight="1" x14ac:dyDescent="0.25">
      <c r="B285" s="35">
        <f t="shared" si="26"/>
        <v>282</v>
      </c>
      <c r="C285" s="37">
        <f t="shared" si="28"/>
        <v>19207.095663129119</v>
      </c>
      <c r="D285" s="21">
        <v>0</v>
      </c>
    </row>
    <row r="286" spans="2:4" ht="16.8" customHeight="1" x14ac:dyDescent="0.25">
      <c r="B286" s="35">
        <f t="shared" si="26"/>
        <v>283</v>
      </c>
      <c r="C286" s="37">
        <f t="shared" si="28"/>
        <v>19207.095663129119</v>
      </c>
      <c r="D286" s="21">
        <v>0</v>
      </c>
    </row>
    <row r="287" spans="2:4" ht="16.8" customHeight="1" x14ac:dyDescent="0.25">
      <c r="B287" s="35">
        <f t="shared" si="26"/>
        <v>284</v>
      </c>
      <c r="C287" s="37">
        <f t="shared" si="28"/>
        <v>19207.095663129119</v>
      </c>
      <c r="D287" s="21">
        <v>0</v>
      </c>
    </row>
    <row r="288" spans="2:4" ht="16.8" customHeight="1" x14ac:dyDescent="0.25">
      <c r="B288" s="35">
        <f t="shared" si="26"/>
        <v>285</v>
      </c>
      <c r="C288" s="37">
        <f t="shared" si="28"/>
        <v>19207.095663129119</v>
      </c>
      <c r="D288" s="21">
        <v>0</v>
      </c>
    </row>
    <row r="289" spans="2:4" ht="16.8" customHeight="1" x14ac:dyDescent="0.25">
      <c r="B289" s="35">
        <f t="shared" si="26"/>
        <v>286</v>
      </c>
      <c r="C289" s="37">
        <f t="shared" si="28"/>
        <v>19207.095663129119</v>
      </c>
      <c r="D289" s="21">
        <v>0</v>
      </c>
    </row>
    <row r="290" spans="2:4" ht="16.8" customHeight="1" x14ac:dyDescent="0.25">
      <c r="B290" s="35">
        <f t="shared" si="26"/>
        <v>287</v>
      </c>
      <c r="C290" s="37">
        <f t="shared" si="28"/>
        <v>19207.095663129119</v>
      </c>
      <c r="D290" s="21">
        <v>0</v>
      </c>
    </row>
    <row r="291" spans="2:4" ht="16.8" customHeight="1" x14ac:dyDescent="0.25">
      <c r="B291" s="35">
        <f t="shared" si="26"/>
        <v>288</v>
      </c>
      <c r="C291" s="37">
        <f t="shared" si="28"/>
        <v>19207.095663129119</v>
      </c>
      <c r="D291" s="21">
        <v>0</v>
      </c>
    </row>
    <row r="292" spans="2:4" ht="16.8" customHeight="1" x14ac:dyDescent="0.25">
      <c r="B292" s="41">
        <f t="shared" si="26"/>
        <v>289</v>
      </c>
      <c r="C292" s="42">
        <f>IF(B292&gt;$G$7,"",+C291+(C291*$G$5))</f>
        <v>20987.593431101188</v>
      </c>
      <c r="D292" s="40">
        <f>IF(C292="","",D280*'Preencha Aqui'!$C$25)</f>
        <v>0</v>
      </c>
    </row>
    <row r="293" spans="2:4" ht="16.8" customHeight="1" x14ac:dyDescent="0.25">
      <c r="B293" s="35">
        <f t="shared" si="26"/>
        <v>290</v>
      </c>
      <c r="C293" s="37">
        <f t="shared" ref="C293:C303" si="29">IF(B293&gt;$G$7,"",C292)</f>
        <v>20987.593431101188</v>
      </c>
      <c r="D293" s="21">
        <v>0</v>
      </c>
    </row>
    <row r="294" spans="2:4" ht="16.8" customHeight="1" x14ac:dyDescent="0.25">
      <c r="B294" s="35">
        <f t="shared" si="26"/>
        <v>291</v>
      </c>
      <c r="C294" s="37">
        <f t="shared" si="29"/>
        <v>20987.593431101188</v>
      </c>
      <c r="D294" s="21">
        <v>0</v>
      </c>
    </row>
    <row r="295" spans="2:4" ht="16.8" customHeight="1" x14ac:dyDescent="0.25">
      <c r="B295" s="35">
        <f t="shared" si="26"/>
        <v>292</v>
      </c>
      <c r="C295" s="37">
        <f t="shared" si="29"/>
        <v>20987.593431101188</v>
      </c>
      <c r="D295" s="21">
        <v>0</v>
      </c>
    </row>
    <row r="296" spans="2:4" ht="16.8" customHeight="1" x14ac:dyDescent="0.25">
      <c r="B296" s="35">
        <f t="shared" si="26"/>
        <v>293</v>
      </c>
      <c r="C296" s="37">
        <f t="shared" si="29"/>
        <v>20987.593431101188</v>
      </c>
      <c r="D296" s="21">
        <v>0</v>
      </c>
    </row>
    <row r="297" spans="2:4" ht="16.8" customHeight="1" x14ac:dyDescent="0.25">
      <c r="B297" s="35">
        <f t="shared" si="26"/>
        <v>294</v>
      </c>
      <c r="C297" s="37">
        <f t="shared" si="29"/>
        <v>20987.593431101188</v>
      </c>
      <c r="D297" s="21">
        <v>0</v>
      </c>
    </row>
    <row r="298" spans="2:4" ht="16.8" customHeight="1" x14ac:dyDescent="0.25">
      <c r="B298" s="35">
        <f t="shared" si="26"/>
        <v>295</v>
      </c>
      <c r="C298" s="37">
        <f t="shared" si="29"/>
        <v>20987.593431101188</v>
      </c>
      <c r="D298" s="21">
        <v>0</v>
      </c>
    </row>
    <row r="299" spans="2:4" ht="16.8" customHeight="1" x14ac:dyDescent="0.25">
      <c r="B299" s="35">
        <f t="shared" si="26"/>
        <v>296</v>
      </c>
      <c r="C299" s="37">
        <f t="shared" si="29"/>
        <v>20987.593431101188</v>
      </c>
      <c r="D299" s="21">
        <v>0</v>
      </c>
    </row>
    <row r="300" spans="2:4" ht="16.8" customHeight="1" x14ac:dyDescent="0.25">
      <c r="B300" s="35">
        <f t="shared" si="26"/>
        <v>297</v>
      </c>
      <c r="C300" s="37">
        <f t="shared" si="29"/>
        <v>20987.593431101188</v>
      </c>
      <c r="D300" s="21">
        <v>0</v>
      </c>
    </row>
    <row r="301" spans="2:4" ht="16.8" customHeight="1" x14ac:dyDescent="0.25">
      <c r="B301" s="35">
        <f t="shared" si="26"/>
        <v>298</v>
      </c>
      <c r="C301" s="37">
        <f t="shared" si="29"/>
        <v>20987.593431101188</v>
      </c>
      <c r="D301" s="21">
        <v>0</v>
      </c>
    </row>
    <row r="302" spans="2:4" ht="16.8" customHeight="1" x14ac:dyDescent="0.25">
      <c r="B302" s="35">
        <f t="shared" si="26"/>
        <v>299</v>
      </c>
      <c r="C302" s="37">
        <f t="shared" si="29"/>
        <v>20987.593431101188</v>
      </c>
      <c r="D302" s="21">
        <v>0</v>
      </c>
    </row>
    <row r="303" spans="2:4" ht="16.8" customHeight="1" x14ac:dyDescent="0.25">
      <c r="B303" s="35">
        <f t="shared" si="26"/>
        <v>300</v>
      </c>
      <c r="C303" s="37">
        <f t="shared" si="29"/>
        <v>20987.593431101188</v>
      </c>
      <c r="D303" s="21">
        <v>0</v>
      </c>
    </row>
    <row r="304" spans="2:4" ht="16.8" customHeight="1" x14ac:dyDescent="0.25">
      <c r="B304" s="41">
        <f t="shared" si="26"/>
        <v>301</v>
      </c>
      <c r="C304" s="42">
        <f>IF(B304&gt;$G$7,"",+C303+(C303*$G$5))</f>
        <v>22933.143342164269</v>
      </c>
      <c r="D304" s="40">
        <f>IF(C304="","",D292*'Preencha Aqui'!$C$25)</f>
        <v>0</v>
      </c>
    </row>
    <row r="305" spans="2:4" ht="16.8" customHeight="1" x14ac:dyDescent="0.25">
      <c r="B305" s="35">
        <f t="shared" si="26"/>
        <v>302</v>
      </c>
      <c r="C305" s="37">
        <f t="shared" ref="C305:C315" si="30">IF(B305&gt;$G$7,"",C304)</f>
        <v>22933.143342164269</v>
      </c>
      <c r="D305" s="21">
        <v>0</v>
      </c>
    </row>
    <row r="306" spans="2:4" ht="16.8" customHeight="1" x14ac:dyDescent="0.25">
      <c r="B306" s="35">
        <f t="shared" si="26"/>
        <v>303</v>
      </c>
      <c r="C306" s="37">
        <f t="shared" si="30"/>
        <v>22933.143342164269</v>
      </c>
      <c r="D306" s="21">
        <v>0</v>
      </c>
    </row>
    <row r="307" spans="2:4" ht="16.8" customHeight="1" x14ac:dyDescent="0.25">
      <c r="B307" s="35">
        <f t="shared" si="26"/>
        <v>304</v>
      </c>
      <c r="C307" s="37">
        <f t="shared" si="30"/>
        <v>22933.143342164269</v>
      </c>
      <c r="D307" s="21">
        <v>0</v>
      </c>
    </row>
    <row r="308" spans="2:4" ht="16.8" customHeight="1" x14ac:dyDescent="0.25">
      <c r="B308" s="35">
        <f t="shared" si="26"/>
        <v>305</v>
      </c>
      <c r="C308" s="37">
        <f t="shared" si="30"/>
        <v>22933.143342164269</v>
      </c>
      <c r="D308" s="21">
        <v>0</v>
      </c>
    </row>
    <row r="309" spans="2:4" ht="16.8" customHeight="1" x14ac:dyDescent="0.25">
      <c r="B309" s="35">
        <f t="shared" si="26"/>
        <v>306</v>
      </c>
      <c r="C309" s="37">
        <f t="shared" si="30"/>
        <v>22933.143342164269</v>
      </c>
      <c r="D309" s="21">
        <v>0</v>
      </c>
    </row>
    <row r="310" spans="2:4" ht="16.8" customHeight="1" x14ac:dyDescent="0.25">
      <c r="B310" s="35">
        <f t="shared" si="26"/>
        <v>307</v>
      </c>
      <c r="C310" s="37">
        <f t="shared" si="30"/>
        <v>22933.143342164269</v>
      </c>
      <c r="D310" s="21">
        <v>0</v>
      </c>
    </row>
    <row r="311" spans="2:4" ht="16.8" customHeight="1" x14ac:dyDescent="0.25">
      <c r="B311" s="35">
        <f t="shared" si="26"/>
        <v>308</v>
      </c>
      <c r="C311" s="37">
        <f t="shared" si="30"/>
        <v>22933.143342164269</v>
      </c>
      <c r="D311" s="21">
        <v>0</v>
      </c>
    </row>
    <row r="312" spans="2:4" ht="16.8" customHeight="1" x14ac:dyDescent="0.25">
      <c r="B312" s="35">
        <f t="shared" si="26"/>
        <v>309</v>
      </c>
      <c r="C312" s="37">
        <f t="shared" si="30"/>
        <v>22933.143342164269</v>
      </c>
      <c r="D312" s="21">
        <v>0</v>
      </c>
    </row>
    <row r="313" spans="2:4" ht="16.8" customHeight="1" x14ac:dyDescent="0.25">
      <c r="B313" s="35">
        <f t="shared" si="26"/>
        <v>310</v>
      </c>
      <c r="C313" s="37">
        <f t="shared" si="30"/>
        <v>22933.143342164269</v>
      </c>
      <c r="D313" s="21">
        <v>0</v>
      </c>
    </row>
    <row r="314" spans="2:4" ht="16.8" customHeight="1" x14ac:dyDescent="0.25">
      <c r="B314" s="35">
        <f t="shared" si="26"/>
        <v>311</v>
      </c>
      <c r="C314" s="37">
        <f t="shared" si="30"/>
        <v>22933.143342164269</v>
      </c>
      <c r="D314" s="21">
        <v>0</v>
      </c>
    </row>
    <row r="315" spans="2:4" ht="16.8" customHeight="1" x14ac:dyDescent="0.25">
      <c r="B315" s="35">
        <f t="shared" si="26"/>
        <v>312</v>
      </c>
      <c r="C315" s="37">
        <f t="shared" si="30"/>
        <v>22933.143342164269</v>
      </c>
      <c r="D315" s="21">
        <v>0</v>
      </c>
    </row>
    <row r="316" spans="2:4" ht="16.8" customHeight="1" x14ac:dyDescent="0.25">
      <c r="B316" s="41">
        <f t="shared" si="26"/>
        <v>313</v>
      </c>
      <c r="C316" s="42">
        <f>IF(B316&gt;$G$7,"",+C315+(C315*$G$5))</f>
        <v>25059.045729982896</v>
      </c>
      <c r="D316" s="40">
        <f>IF(C316="","",D304*'Preencha Aqui'!$C$25)</f>
        <v>0</v>
      </c>
    </row>
    <row r="317" spans="2:4" ht="16.8" customHeight="1" x14ac:dyDescent="0.25">
      <c r="B317" s="35">
        <f t="shared" si="26"/>
        <v>314</v>
      </c>
      <c r="C317" s="37">
        <f t="shared" ref="C317:C327" si="31">IF(B317&gt;$G$7,"",C316)</f>
        <v>25059.045729982896</v>
      </c>
      <c r="D317" s="21">
        <v>0</v>
      </c>
    </row>
    <row r="318" spans="2:4" ht="16.8" customHeight="1" x14ac:dyDescent="0.25">
      <c r="B318" s="35">
        <f t="shared" si="26"/>
        <v>315</v>
      </c>
      <c r="C318" s="37">
        <f t="shared" si="31"/>
        <v>25059.045729982896</v>
      </c>
      <c r="D318" s="21">
        <v>0</v>
      </c>
    </row>
    <row r="319" spans="2:4" ht="16.8" customHeight="1" x14ac:dyDescent="0.25">
      <c r="B319" s="35">
        <f t="shared" si="26"/>
        <v>316</v>
      </c>
      <c r="C319" s="37">
        <f t="shared" si="31"/>
        <v>25059.045729982896</v>
      </c>
      <c r="D319" s="21">
        <v>0</v>
      </c>
    </row>
    <row r="320" spans="2:4" ht="16.8" customHeight="1" x14ac:dyDescent="0.25">
      <c r="B320" s="35">
        <f t="shared" si="26"/>
        <v>317</v>
      </c>
      <c r="C320" s="37">
        <f t="shared" si="31"/>
        <v>25059.045729982896</v>
      </c>
      <c r="D320" s="21">
        <v>0</v>
      </c>
    </row>
    <row r="321" spans="2:4" ht="16.8" customHeight="1" x14ac:dyDescent="0.25">
      <c r="B321" s="35">
        <f t="shared" si="26"/>
        <v>318</v>
      </c>
      <c r="C321" s="37">
        <f t="shared" si="31"/>
        <v>25059.045729982896</v>
      </c>
      <c r="D321" s="21">
        <v>0</v>
      </c>
    </row>
    <row r="322" spans="2:4" ht="16.8" customHeight="1" x14ac:dyDescent="0.25">
      <c r="B322" s="35">
        <f t="shared" si="26"/>
        <v>319</v>
      </c>
      <c r="C322" s="37">
        <f t="shared" si="31"/>
        <v>25059.045729982896</v>
      </c>
      <c r="D322" s="21">
        <v>0</v>
      </c>
    </row>
    <row r="323" spans="2:4" ht="16.8" customHeight="1" x14ac:dyDescent="0.25">
      <c r="B323" s="35">
        <f t="shared" si="26"/>
        <v>320</v>
      </c>
      <c r="C323" s="37">
        <f t="shared" si="31"/>
        <v>25059.045729982896</v>
      </c>
      <c r="D323" s="21">
        <v>0</v>
      </c>
    </row>
    <row r="324" spans="2:4" ht="16.8" customHeight="1" x14ac:dyDescent="0.25">
      <c r="B324" s="35">
        <f t="shared" si="26"/>
        <v>321</v>
      </c>
      <c r="C324" s="37">
        <f t="shared" si="31"/>
        <v>25059.045729982896</v>
      </c>
      <c r="D324" s="21">
        <v>0</v>
      </c>
    </row>
    <row r="325" spans="2:4" ht="16.8" customHeight="1" x14ac:dyDescent="0.25">
      <c r="B325" s="35">
        <f t="shared" si="26"/>
        <v>322</v>
      </c>
      <c r="C325" s="37">
        <f t="shared" si="31"/>
        <v>25059.045729982896</v>
      </c>
      <c r="D325" s="21">
        <v>0</v>
      </c>
    </row>
    <row r="326" spans="2:4" ht="16.8" customHeight="1" x14ac:dyDescent="0.25">
      <c r="B326" s="35">
        <f t="shared" si="26"/>
        <v>323</v>
      </c>
      <c r="C326" s="37">
        <f t="shared" si="31"/>
        <v>25059.045729982896</v>
      </c>
      <c r="D326" s="21">
        <v>0</v>
      </c>
    </row>
    <row r="327" spans="2:4" ht="16.8" customHeight="1" x14ac:dyDescent="0.25">
      <c r="B327" s="35">
        <f t="shared" si="26"/>
        <v>324</v>
      </c>
      <c r="C327" s="37">
        <f t="shared" si="31"/>
        <v>25059.045729982896</v>
      </c>
      <c r="D327" s="21">
        <v>0</v>
      </c>
    </row>
    <row r="328" spans="2:4" ht="16.8" customHeight="1" x14ac:dyDescent="0.25">
      <c r="B328" s="41">
        <f t="shared" si="26"/>
        <v>325</v>
      </c>
      <c r="C328" s="42">
        <f>IF(B328&gt;$G$7,"",+C327+(C327*$G$5))</f>
        <v>27382.019269152312</v>
      </c>
      <c r="D328" s="40">
        <f>IF(C328="","",D316*'Preencha Aqui'!$C$25)</f>
        <v>0</v>
      </c>
    </row>
    <row r="329" spans="2:4" ht="16.8" customHeight="1" x14ac:dyDescent="0.25">
      <c r="B329" s="35">
        <f t="shared" si="26"/>
        <v>326</v>
      </c>
      <c r="C329" s="37">
        <f t="shared" ref="C329:C339" si="32">IF(B329&gt;$G$7,"",C328)</f>
        <v>27382.019269152312</v>
      </c>
      <c r="D329" s="21">
        <v>0</v>
      </c>
    </row>
    <row r="330" spans="2:4" ht="16.8" customHeight="1" x14ac:dyDescent="0.25">
      <c r="B330" s="35">
        <f t="shared" si="26"/>
        <v>327</v>
      </c>
      <c r="C330" s="37">
        <f t="shared" si="32"/>
        <v>27382.019269152312</v>
      </c>
      <c r="D330" s="21">
        <v>0</v>
      </c>
    </row>
    <row r="331" spans="2:4" ht="16.8" customHeight="1" x14ac:dyDescent="0.25">
      <c r="B331" s="35">
        <f t="shared" si="26"/>
        <v>328</v>
      </c>
      <c r="C331" s="37">
        <f t="shared" si="32"/>
        <v>27382.019269152312</v>
      </c>
      <c r="D331" s="21">
        <v>0</v>
      </c>
    </row>
    <row r="332" spans="2:4" ht="16.8" customHeight="1" x14ac:dyDescent="0.25">
      <c r="B332" s="35">
        <f t="shared" si="26"/>
        <v>329</v>
      </c>
      <c r="C332" s="37">
        <f t="shared" si="32"/>
        <v>27382.019269152312</v>
      </c>
      <c r="D332" s="21">
        <v>0</v>
      </c>
    </row>
    <row r="333" spans="2:4" ht="16.8" customHeight="1" x14ac:dyDescent="0.25">
      <c r="B333" s="35">
        <f t="shared" si="26"/>
        <v>330</v>
      </c>
      <c r="C333" s="37">
        <f t="shared" si="32"/>
        <v>27382.019269152312</v>
      </c>
      <c r="D333" s="21">
        <v>0</v>
      </c>
    </row>
    <row r="334" spans="2:4" ht="16.8" customHeight="1" x14ac:dyDescent="0.25">
      <c r="B334" s="35">
        <f t="shared" si="26"/>
        <v>331</v>
      </c>
      <c r="C334" s="37">
        <f t="shared" si="32"/>
        <v>27382.019269152312</v>
      </c>
      <c r="D334" s="21">
        <v>0</v>
      </c>
    </row>
    <row r="335" spans="2:4" ht="16.8" customHeight="1" x14ac:dyDescent="0.25">
      <c r="B335" s="35">
        <f t="shared" si="26"/>
        <v>332</v>
      </c>
      <c r="C335" s="37">
        <f t="shared" si="32"/>
        <v>27382.019269152312</v>
      </c>
      <c r="D335" s="21">
        <v>0</v>
      </c>
    </row>
    <row r="336" spans="2:4" ht="16.8" customHeight="1" x14ac:dyDescent="0.25">
      <c r="B336" s="35">
        <f t="shared" si="26"/>
        <v>333</v>
      </c>
      <c r="C336" s="37">
        <f t="shared" si="32"/>
        <v>27382.019269152312</v>
      </c>
      <c r="D336" s="21">
        <v>0</v>
      </c>
    </row>
    <row r="337" spans="2:4" ht="16.8" customHeight="1" x14ac:dyDescent="0.25">
      <c r="B337" s="35">
        <f t="shared" si="26"/>
        <v>334</v>
      </c>
      <c r="C337" s="37">
        <f t="shared" si="32"/>
        <v>27382.019269152312</v>
      </c>
      <c r="D337" s="21">
        <v>0</v>
      </c>
    </row>
    <row r="338" spans="2:4" ht="16.8" customHeight="1" x14ac:dyDescent="0.25">
      <c r="B338" s="35">
        <f t="shared" si="26"/>
        <v>335</v>
      </c>
      <c r="C338" s="37">
        <f t="shared" si="32"/>
        <v>27382.019269152312</v>
      </c>
      <c r="D338" s="21">
        <v>0</v>
      </c>
    </row>
    <row r="339" spans="2:4" ht="16.8" customHeight="1" x14ac:dyDescent="0.25">
      <c r="B339" s="35">
        <f t="shared" si="26"/>
        <v>336</v>
      </c>
      <c r="C339" s="37">
        <f t="shared" si="32"/>
        <v>27382.019269152312</v>
      </c>
      <c r="D339" s="21">
        <v>0</v>
      </c>
    </row>
    <row r="340" spans="2:4" ht="16.8" customHeight="1" x14ac:dyDescent="0.25">
      <c r="B340" s="41">
        <f t="shared" si="26"/>
        <v>337</v>
      </c>
      <c r="C340" s="42">
        <f>IF(B340&gt;$G$7,"",+C339+(C339*$G$5))</f>
        <v>29920.332455402731</v>
      </c>
      <c r="D340" s="40">
        <f>IF(C340="","",D328*'Preencha Aqui'!$C$25)</f>
        <v>0</v>
      </c>
    </row>
    <row r="341" spans="2:4" ht="16.8" customHeight="1" x14ac:dyDescent="0.25">
      <c r="B341" s="35">
        <f t="shared" si="26"/>
        <v>338</v>
      </c>
      <c r="C341" s="37">
        <f t="shared" ref="C341:C351" si="33">IF(B341&gt;$G$7,"",C340)</f>
        <v>29920.332455402731</v>
      </c>
      <c r="D341" s="21">
        <v>0</v>
      </c>
    </row>
    <row r="342" spans="2:4" ht="16.8" customHeight="1" x14ac:dyDescent="0.25">
      <c r="B342" s="35">
        <f t="shared" si="26"/>
        <v>339</v>
      </c>
      <c r="C342" s="37">
        <f t="shared" si="33"/>
        <v>29920.332455402731</v>
      </c>
      <c r="D342" s="21">
        <v>0</v>
      </c>
    </row>
    <row r="343" spans="2:4" ht="16.8" customHeight="1" x14ac:dyDescent="0.25">
      <c r="B343" s="35">
        <f t="shared" si="26"/>
        <v>340</v>
      </c>
      <c r="C343" s="37">
        <f t="shared" si="33"/>
        <v>29920.332455402731</v>
      </c>
      <c r="D343" s="21">
        <v>0</v>
      </c>
    </row>
    <row r="344" spans="2:4" ht="16.8" customHeight="1" x14ac:dyDescent="0.25">
      <c r="B344" s="35">
        <f t="shared" si="26"/>
        <v>341</v>
      </c>
      <c r="C344" s="37">
        <f t="shared" si="33"/>
        <v>29920.332455402731</v>
      </c>
      <c r="D344" s="21">
        <v>0</v>
      </c>
    </row>
    <row r="345" spans="2:4" ht="16.8" customHeight="1" x14ac:dyDescent="0.25">
      <c r="B345" s="35">
        <f t="shared" si="26"/>
        <v>342</v>
      </c>
      <c r="C345" s="37">
        <f t="shared" si="33"/>
        <v>29920.332455402731</v>
      </c>
      <c r="D345" s="21">
        <v>0</v>
      </c>
    </row>
    <row r="346" spans="2:4" ht="16.8" customHeight="1" x14ac:dyDescent="0.25">
      <c r="B346" s="35">
        <f t="shared" si="26"/>
        <v>343</v>
      </c>
      <c r="C346" s="37">
        <f t="shared" si="33"/>
        <v>29920.332455402731</v>
      </c>
      <c r="D346" s="21">
        <v>0</v>
      </c>
    </row>
    <row r="347" spans="2:4" ht="16.8" customHeight="1" x14ac:dyDescent="0.25">
      <c r="B347" s="35">
        <f t="shared" si="26"/>
        <v>344</v>
      </c>
      <c r="C347" s="37">
        <f t="shared" si="33"/>
        <v>29920.332455402731</v>
      </c>
      <c r="D347" s="21">
        <v>0</v>
      </c>
    </row>
    <row r="348" spans="2:4" ht="16.8" customHeight="1" x14ac:dyDescent="0.25">
      <c r="B348" s="35">
        <f t="shared" si="26"/>
        <v>345</v>
      </c>
      <c r="C348" s="37">
        <f t="shared" si="33"/>
        <v>29920.332455402731</v>
      </c>
      <c r="D348" s="21">
        <v>0</v>
      </c>
    </row>
    <row r="349" spans="2:4" ht="16.8" customHeight="1" x14ac:dyDescent="0.25">
      <c r="B349" s="35">
        <f t="shared" si="26"/>
        <v>346</v>
      </c>
      <c r="C349" s="37">
        <f t="shared" si="33"/>
        <v>29920.332455402731</v>
      </c>
      <c r="D349" s="21">
        <v>0</v>
      </c>
    </row>
    <row r="350" spans="2:4" ht="16.8" customHeight="1" x14ac:dyDescent="0.25">
      <c r="B350" s="35">
        <f t="shared" si="26"/>
        <v>347</v>
      </c>
      <c r="C350" s="37">
        <f t="shared" si="33"/>
        <v>29920.332455402731</v>
      </c>
      <c r="D350" s="21">
        <v>0</v>
      </c>
    </row>
    <row r="351" spans="2:4" ht="16.8" customHeight="1" x14ac:dyDescent="0.25">
      <c r="B351" s="35">
        <f t="shared" si="26"/>
        <v>348</v>
      </c>
      <c r="C351" s="37">
        <f t="shared" si="33"/>
        <v>29920.332455402731</v>
      </c>
      <c r="D351" s="21">
        <v>0</v>
      </c>
    </row>
    <row r="352" spans="2:4" ht="16.8" customHeight="1" x14ac:dyDescent="0.25">
      <c r="B352" s="41">
        <f t="shared" si="26"/>
        <v>349</v>
      </c>
      <c r="C352" s="42">
        <f>IF(B352&gt;$G$7,"",+C351+(C351*$G$5))</f>
        <v>32693.947274018567</v>
      </c>
      <c r="D352" s="40">
        <f>IF(C352="","",D340*'Preencha Aqui'!$C$25)</f>
        <v>0</v>
      </c>
    </row>
    <row r="353" spans="2:4" ht="16.8" customHeight="1" x14ac:dyDescent="0.25">
      <c r="B353" s="35">
        <f t="shared" si="26"/>
        <v>350</v>
      </c>
      <c r="C353" s="37">
        <f t="shared" ref="C353:C375" si="34">IF(B353&gt;$G$7,"",C352)</f>
        <v>32693.947274018567</v>
      </c>
      <c r="D353" s="21">
        <v>0</v>
      </c>
    </row>
    <row r="354" spans="2:4" ht="16.8" customHeight="1" x14ac:dyDescent="0.25">
      <c r="B354" s="35">
        <f t="shared" si="26"/>
        <v>351</v>
      </c>
      <c r="C354" s="37">
        <f t="shared" si="34"/>
        <v>32693.947274018567</v>
      </c>
      <c r="D354" s="21">
        <v>0</v>
      </c>
    </row>
    <row r="355" spans="2:4" ht="16.8" customHeight="1" x14ac:dyDescent="0.25">
      <c r="B355" s="35">
        <f t="shared" si="26"/>
        <v>352</v>
      </c>
      <c r="C355" s="37">
        <f t="shared" si="34"/>
        <v>32693.947274018567</v>
      </c>
      <c r="D355" s="21">
        <v>0</v>
      </c>
    </row>
    <row r="356" spans="2:4" ht="16.8" customHeight="1" x14ac:dyDescent="0.25">
      <c r="B356" s="35">
        <f t="shared" si="26"/>
        <v>353</v>
      </c>
      <c r="C356" s="37">
        <f t="shared" si="34"/>
        <v>32693.947274018567</v>
      </c>
      <c r="D356" s="21">
        <v>0</v>
      </c>
    </row>
    <row r="357" spans="2:4" ht="16.8" customHeight="1" x14ac:dyDescent="0.25">
      <c r="B357" s="35">
        <f t="shared" si="26"/>
        <v>354</v>
      </c>
      <c r="C357" s="37">
        <f t="shared" si="34"/>
        <v>32693.947274018567</v>
      </c>
      <c r="D357" s="21">
        <v>0</v>
      </c>
    </row>
    <row r="358" spans="2:4" ht="16.8" customHeight="1" x14ac:dyDescent="0.25">
      <c r="B358" s="35">
        <f t="shared" si="26"/>
        <v>355</v>
      </c>
      <c r="C358" s="37">
        <f t="shared" si="34"/>
        <v>32693.947274018567</v>
      </c>
      <c r="D358" s="21">
        <v>0</v>
      </c>
    </row>
    <row r="359" spans="2:4" ht="16.8" customHeight="1" x14ac:dyDescent="0.25">
      <c r="B359" s="35">
        <f t="shared" si="26"/>
        <v>356</v>
      </c>
      <c r="C359" s="37">
        <f t="shared" si="34"/>
        <v>32693.947274018567</v>
      </c>
      <c r="D359" s="21">
        <v>0</v>
      </c>
    </row>
    <row r="360" spans="2:4" ht="16.8" customHeight="1" x14ac:dyDescent="0.25">
      <c r="B360" s="35">
        <f t="shared" si="26"/>
        <v>357</v>
      </c>
      <c r="C360" s="37">
        <f t="shared" si="34"/>
        <v>32693.947274018567</v>
      </c>
      <c r="D360" s="21">
        <v>0</v>
      </c>
    </row>
    <row r="361" spans="2:4" ht="16.8" customHeight="1" x14ac:dyDescent="0.25">
      <c r="B361" s="35">
        <f t="shared" si="26"/>
        <v>358</v>
      </c>
      <c r="C361" s="37">
        <f t="shared" si="34"/>
        <v>32693.947274018567</v>
      </c>
      <c r="D361" s="21">
        <v>0</v>
      </c>
    </row>
    <row r="362" spans="2:4" ht="16.8" customHeight="1" x14ac:dyDescent="0.25">
      <c r="B362" s="35">
        <f t="shared" si="26"/>
        <v>359</v>
      </c>
      <c r="C362" s="37">
        <f t="shared" si="34"/>
        <v>32693.947274018567</v>
      </c>
      <c r="D362" s="21">
        <v>0</v>
      </c>
    </row>
    <row r="363" spans="2:4" ht="16.8" customHeight="1" x14ac:dyDescent="0.25">
      <c r="B363" s="35">
        <f t="shared" si="26"/>
        <v>360</v>
      </c>
      <c r="C363" s="37">
        <f t="shared" si="34"/>
        <v>32693.947274018567</v>
      </c>
      <c r="D363" s="21">
        <v>0</v>
      </c>
    </row>
    <row r="364" spans="2:4" ht="16.8" customHeight="1" x14ac:dyDescent="0.25">
      <c r="B364" s="41">
        <f t="shared" si="26"/>
        <v>361</v>
      </c>
      <c r="C364" s="42" t="str">
        <f>IF(B364&gt;$G$7,"",+C363+(C363*$G$5))</f>
        <v/>
      </c>
      <c r="D364" s="40" t="str">
        <f>IF(C364="","",D352*'Preencha Aqui'!$C$25)</f>
        <v/>
      </c>
    </row>
    <row r="365" spans="2:4" ht="16.8" customHeight="1" x14ac:dyDescent="0.25">
      <c r="B365" s="35">
        <f t="shared" si="26"/>
        <v>362</v>
      </c>
      <c r="C365" s="37" t="str">
        <f t="shared" si="34"/>
        <v/>
      </c>
      <c r="D365" s="21">
        <v>0</v>
      </c>
    </row>
    <row r="366" spans="2:4" ht="16.8" customHeight="1" x14ac:dyDescent="0.25">
      <c r="B366" s="35">
        <f t="shared" si="26"/>
        <v>363</v>
      </c>
      <c r="C366" s="37" t="str">
        <f t="shared" si="34"/>
        <v/>
      </c>
      <c r="D366" s="21">
        <v>0</v>
      </c>
    </row>
    <row r="367" spans="2:4" ht="16.8" customHeight="1" x14ac:dyDescent="0.25">
      <c r="B367" s="35">
        <f t="shared" si="26"/>
        <v>364</v>
      </c>
      <c r="C367" s="37" t="str">
        <f t="shared" si="34"/>
        <v/>
      </c>
      <c r="D367" s="21">
        <v>0</v>
      </c>
    </row>
    <row r="368" spans="2:4" ht="16.8" customHeight="1" x14ac:dyDescent="0.25">
      <c r="B368" s="35">
        <f t="shared" si="26"/>
        <v>365</v>
      </c>
      <c r="C368" s="37" t="str">
        <f t="shared" si="34"/>
        <v/>
      </c>
      <c r="D368" s="21">
        <v>0</v>
      </c>
    </row>
    <row r="369" spans="2:4" ht="16.8" customHeight="1" x14ac:dyDescent="0.25">
      <c r="B369" s="35">
        <f t="shared" si="26"/>
        <v>366</v>
      </c>
      <c r="C369" s="37" t="str">
        <f t="shared" si="34"/>
        <v/>
      </c>
      <c r="D369" s="21">
        <v>0</v>
      </c>
    </row>
    <row r="370" spans="2:4" ht="16.8" customHeight="1" x14ac:dyDescent="0.25">
      <c r="B370" s="35">
        <f t="shared" si="26"/>
        <v>367</v>
      </c>
      <c r="C370" s="37" t="str">
        <f t="shared" si="34"/>
        <v/>
      </c>
      <c r="D370" s="21">
        <v>0</v>
      </c>
    </row>
    <row r="371" spans="2:4" ht="16.8" customHeight="1" x14ac:dyDescent="0.25">
      <c r="B371" s="35">
        <f t="shared" si="26"/>
        <v>368</v>
      </c>
      <c r="C371" s="37" t="str">
        <f t="shared" si="34"/>
        <v/>
      </c>
      <c r="D371" s="21">
        <v>0</v>
      </c>
    </row>
    <row r="372" spans="2:4" ht="16.8" customHeight="1" x14ac:dyDescent="0.25">
      <c r="B372" s="35">
        <f t="shared" si="26"/>
        <v>369</v>
      </c>
      <c r="C372" s="37" t="str">
        <f t="shared" si="34"/>
        <v/>
      </c>
      <c r="D372" s="21">
        <v>0</v>
      </c>
    </row>
    <row r="373" spans="2:4" ht="16.8" customHeight="1" x14ac:dyDescent="0.25">
      <c r="B373" s="35">
        <f t="shared" si="26"/>
        <v>370</v>
      </c>
      <c r="C373" s="37" t="str">
        <f t="shared" si="34"/>
        <v/>
      </c>
      <c r="D373" s="21">
        <v>0</v>
      </c>
    </row>
    <row r="374" spans="2:4" ht="16.8" customHeight="1" x14ac:dyDescent="0.25">
      <c r="B374" s="35">
        <f t="shared" si="26"/>
        <v>371</v>
      </c>
      <c r="C374" s="37" t="str">
        <f t="shared" si="34"/>
        <v/>
      </c>
      <c r="D374" s="21">
        <v>0</v>
      </c>
    </row>
    <row r="375" spans="2:4" ht="16.8" customHeight="1" x14ac:dyDescent="0.25">
      <c r="B375" s="35">
        <f t="shared" si="26"/>
        <v>372</v>
      </c>
      <c r="C375" s="37" t="str">
        <f t="shared" si="34"/>
        <v/>
      </c>
      <c r="D375" s="21">
        <v>0</v>
      </c>
    </row>
    <row r="376" spans="2:4" ht="16.8" customHeight="1" x14ac:dyDescent="0.25">
      <c r="B376" s="41">
        <f t="shared" si="26"/>
        <v>373</v>
      </c>
      <c r="C376" s="42" t="str">
        <f>IF(B376&gt;$G$7,"",+C375+(C375*$G$5))</f>
        <v/>
      </c>
      <c r="D376" s="40" t="str">
        <f>IF(C376="","",D364*'Preencha Aqui'!$C$25)</f>
        <v/>
      </c>
    </row>
    <row r="377" spans="2:4" ht="16.8" customHeight="1" x14ac:dyDescent="0.25">
      <c r="B377" s="35">
        <f t="shared" si="26"/>
        <v>374</v>
      </c>
      <c r="C377" s="37" t="str">
        <f t="shared" ref="C377:C387" si="35">IF(B377&gt;$G$7,"",C376)</f>
        <v/>
      </c>
      <c r="D377" s="21">
        <v>0</v>
      </c>
    </row>
    <row r="378" spans="2:4" ht="16.8" customHeight="1" x14ac:dyDescent="0.25">
      <c r="B378" s="35">
        <f t="shared" si="26"/>
        <v>375</v>
      </c>
      <c r="C378" s="37" t="str">
        <f t="shared" si="35"/>
        <v/>
      </c>
      <c r="D378" s="21">
        <v>0</v>
      </c>
    </row>
    <row r="379" spans="2:4" ht="16.8" customHeight="1" x14ac:dyDescent="0.25">
      <c r="B379" s="35">
        <f t="shared" si="26"/>
        <v>376</v>
      </c>
      <c r="C379" s="37" t="str">
        <f t="shared" si="35"/>
        <v/>
      </c>
      <c r="D379" s="21">
        <v>0</v>
      </c>
    </row>
    <row r="380" spans="2:4" ht="16.8" customHeight="1" x14ac:dyDescent="0.25">
      <c r="B380" s="35">
        <f t="shared" si="26"/>
        <v>377</v>
      </c>
      <c r="C380" s="37" t="str">
        <f t="shared" si="35"/>
        <v/>
      </c>
      <c r="D380" s="21">
        <v>0</v>
      </c>
    </row>
    <row r="381" spans="2:4" ht="16.8" customHeight="1" x14ac:dyDescent="0.25">
      <c r="B381" s="35">
        <f t="shared" si="26"/>
        <v>378</v>
      </c>
      <c r="C381" s="37" t="str">
        <f t="shared" si="35"/>
        <v/>
      </c>
      <c r="D381" s="21">
        <v>0</v>
      </c>
    </row>
    <row r="382" spans="2:4" ht="16.8" customHeight="1" x14ac:dyDescent="0.25">
      <c r="B382" s="35">
        <f t="shared" si="26"/>
        <v>379</v>
      </c>
      <c r="C382" s="37" t="str">
        <f t="shared" si="35"/>
        <v/>
      </c>
      <c r="D382" s="21">
        <v>0</v>
      </c>
    </row>
    <row r="383" spans="2:4" ht="16.8" customHeight="1" x14ac:dyDescent="0.25">
      <c r="B383" s="35">
        <f t="shared" si="26"/>
        <v>380</v>
      </c>
      <c r="C383" s="37" t="str">
        <f t="shared" si="35"/>
        <v/>
      </c>
      <c r="D383" s="21">
        <v>0</v>
      </c>
    </row>
    <row r="384" spans="2:4" ht="16.8" customHeight="1" x14ac:dyDescent="0.25">
      <c r="B384" s="35">
        <f t="shared" si="26"/>
        <v>381</v>
      </c>
      <c r="C384" s="37" t="str">
        <f t="shared" si="35"/>
        <v/>
      </c>
      <c r="D384" s="21">
        <v>0</v>
      </c>
    </row>
    <row r="385" spans="2:4" ht="16.8" customHeight="1" x14ac:dyDescent="0.25">
      <c r="B385" s="35">
        <f t="shared" si="26"/>
        <v>382</v>
      </c>
      <c r="C385" s="37" t="str">
        <f t="shared" si="35"/>
        <v/>
      </c>
      <c r="D385" s="21">
        <v>0</v>
      </c>
    </row>
    <row r="386" spans="2:4" ht="16.8" customHeight="1" x14ac:dyDescent="0.25">
      <c r="B386" s="35">
        <f t="shared" si="26"/>
        <v>383</v>
      </c>
      <c r="C386" s="37" t="str">
        <f t="shared" si="35"/>
        <v/>
      </c>
      <c r="D386" s="21">
        <v>0</v>
      </c>
    </row>
    <row r="387" spans="2:4" ht="16.8" customHeight="1" x14ac:dyDescent="0.25">
      <c r="B387" s="35">
        <f t="shared" si="26"/>
        <v>384</v>
      </c>
      <c r="C387" s="37" t="str">
        <f t="shared" si="35"/>
        <v/>
      </c>
      <c r="D387" s="21">
        <v>0</v>
      </c>
    </row>
    <row r="388" spans="2:4" ht="16.8" customHeight="1" x14ac:dyDescent="0.25">
      <c r="B388" s="41">
        <f t="shared" si="26"/>
        <v>385</v>
      </c>
      <c r="C388" s="42" t="str">
        <f>IF(B388&gt;$G$7,"",+C387+(C387*$G$5))</f>
        <v/>
      </c>
      <c r="D388" s="40" t="str">
        <f>IF(C388="","",D376*'Preencha Aqui'!$C$25)</f>
        <v/>
      </c>
    </row>
    <row r="389" spans="2:4" ht="16.8" customHeight="1" x14ac:dyDescent="0.25">
      <c r="B389" s="35">
        <f t="shared" si="26"/>
        <v>386</v>
      </c>
      <c r="C389" s="37" t="str">
        <f t="shared" ref="C389:C399" si="36">IF(B389&gt;$G$7,"",C388)</f>
        <v/>
      </c>
      <c r="D389" s="21">
        <v>0</v>
      </c>
    </row>
    <row r="390" spans="2:4" ht="16.8" customHeight="1" x14ac:dyDescent="0.25">
      <c r="B390" s="35">
        <f t="shared" si="26"/>
        <v>387</v>
      </c>
      <c r="C390" s="37" t="str">
        <f t="shared" si="36"/>
        <v/>
      </c>
      <c r="D390" s="21">
        <v>0</v>
      </c>
    </row>
    <row r="391" spans="2:4" ht="16.8" customHeight="1" x14ac:dyDescent="0.25">
      <c r="B391" s="35">
        <f t="shared" si="26"/>
        <v>388</v>
      </c>
      <c r="C391" s="37" t="str">
        <f t="shared" si="36"/>
        <v/>
      </c>
      <c r="D391" s="21">
        <v>0</v>
      </c>
    </row>
    <row r="392" spans="2:4" ht="16.8" customHeight="1" x14ac:dyDescent="0.25">
      <c r="B392" s="35">
        <f t="shared" si="26"/>
        <v>389</v>
      </c>
      <c r="C392" s="37" t="str">
        <f t="shared" si="36"/>
        <v/>
      </c>
      <c r="D392" s="21">
        <v>0</v>
      </c>
    </row>
    <row r="393" spans="2:4" ht="16.8" customHeight="1" x14ac:dyDescent="0.25">
      <c r="B393" s="35">
        <f t="shared" si="26"/>
        <v>390</v>
      </c>
      <c r="C393" s="37" t="str">
        <f t="shared" si="36"/>
        <v/>
      </c>
      <c r="D393" s="21">
        <v>0</v>
      </c>
    </row>
    <row r="394" spans="2:4" ht="16.8" customHeight="1" x14ac:dyDescent="0.25">
      <c r="B394" s="35">
        <f t="shared" si="26"/>
        <v>391</v>
      </c>
      <c r="C394" s="37" t="str">
        <f t="shared" si="36"/>
        <v/>
      </c>
      <c r="D394" s="21">
        <v>0</v>
      </c>
    </row>
    <row r="395" spans="2:4" ht="16.8" customHeight="1" x14ac:dyDescent="0.25">
      <c r="B395" s="35">
        <f t="shared" si="26"/>
        <v>392</v>
      </c>
      <c r="C395" s="37" t="str">
        <f t="shared" si="36"/>
        <v/>
      </c>
      <c r="D395" s="21">
        <v>0</v>
      </c>
    </row>
    <row r="396" spans="2:4" ht="16.8" customHeight="1" x14ac:dyDescent="0.25">
      <c r="B396" s="35">
        <f t="shared" si="26"/>
        <v>393</v>
      </c>
      <c r="C396" s="37" t="str">
        <f t="shared" si="36"/>
        <v/>
      </c>
      <c r="D396" s="21">
        <v>0</v>
      </c>
    </row>
    <row r="397" spans="2:4" ht="16.8" customHeight="1" x14ac:dyDescent="0.25">
      <c r="B397" s="35">
        <f t="shared" si="26"/>
        <v>394</v>
      </c>
      <c r="C397" s="37" t="str">
        <f t="shared" si="36"/>
        <v/>
      </c>
      <c r="D397" s="21">
        <v>0</v>
      </c>
    </row>
    <row r="398" spans="2:4" ht="16.8" customHeight="1" x14ac:dyDescent="0.25">
      <c r="B398" s="35">
        <f t="shared" si="26"/>
        <v>395</v>
      </c>
      <c r="C398" s="37" t="str">
        <f t="shared" si="36"/>
        <v/>
      </c>
      <c r="D398" s="21">
        <v>0</v>
      </c>
    </row>
    <row r="399" spans="2:4" ht="16.8" customHeight="1" x14ac:dyDescent="0.25">
      <c r="B399" s="35">
        <f t="shared" si="26"/>
        <v>396</v>
      </c>
      <c r="C399" s="37" t="str">
        <f t="shared" si="36"/>
        <v/>
      </c>
      <c r="D399" s="21">
        <v>0</v>
      </c>
    </row>
    <row r="400" spans="2:4" ht="16.8" customHeight="1" x14ac:dyDescent="0.25">
      <c r="B400" s="41">
        <f t="shared" si="26"/>
        <v>397</v>
      </c>
      <c r="C400" s="42" t="str">
        <f>IF(B400&gt;$G$7,"",+C399+(C399*$G$5))</f>
        <v/>
      </c>
      <c r="D400" s="40" t="str">
        <f>IF(C400="","",D388*'Preencha Aqui'!$C$25)</f>
        <v/>
      </c>
    </row>
    <row r="401" spans="2:4" ht="16.8" customHeight="1" x14ac:dyDescent="0.25">
      <c r="B401" s="35">
        <f t="shared" si="26"/>
        <v>398</v>
      </c>
      <c r="C401" s="37" t="str">
        <f t="shared" ref="C401:C411" si="37">IF(B401&gt;$G$7,"",C400)</f>
        <v/>
      </c>
      <c r="D401" s="21">
        <v>0</v>
      </c>
    </row>
    <row r="402" spans="2:4" ht="16.8" customHeight="1" x14ac:dyDescent="0.25">
      <c r="B402" s="35">
        <f t="shared" si="26"/>
        <v>399</v>
      </c>
      <c r="C402" s="37" t="str">
        <f t="shared" si="37"/>
        <v/>
      </c>
      <c r="D402" s="21">
        <v>0</v>
      </c>
    </row>
    <row r="403" spans="2:4" ht="16.8" customHeight="1" x14ac:dyDescent="0.25">
      <c r="B403" s="35">
        <f t="shared" si="26"/>
        <v>400</v>
      </c>
      <c r="C403" s="37" t="str">
        <f t="shared" si="37"/>
        <v/>
      </c>
      <c r="D403" s="21">
        <v>0</v>
      </c>
    </row>
    <row r="404" spans="2:4" ht="16.8" customHeight="1" x14ac:dyDescent="0.25">
      <c r="B404" s="35">
        <f t="shared" si="26"/>
        <v>401</v>
      </c>
      <c r="C404" s="37" t="str">
        <f t="shared" si="37"/>
        <v/>
      </c>
      <c r="D404" s="21">
        <v>0</v>
      </c>
    </row>
    <row r="405" spans="2:4" ht="16.8" customHeight="1" x14ac:dyDescent="0.25">
      <c r="B405" s="35">
        <f t="shared" si="26"/>
        <v>402</v>
      </c>
      <c r="C405" s="37" t="str">
        <f t="shared" si="37"/>
        <v/>
      </c>
      <c r="D405" s="21">
        <v>0</v>
      </c>
    </row>
    <row r="406" spans="2:4" ht="16.8" customHeight="1" x14ac:dyDescent="0.25">
      <c r="B406" s="35">
        <f t="shared" si="26"/>
        <v>403</v>
      </c>
      <c r="C406" s="37" t="str">
        <f t="shared" si="37"/>
        <v/>
      </c>
      <c r="D406" s="21">
        <v>0</v>
      </c>
    </row>
    <row r="407" spans="2:4" ht="16.8" customHeight="1" x14ac:dyDescent="0.25">
      <c r="B407" s="35">
        <f t="shared" si="26"/>
        <v>404</v>
      </c>
      <c r="C407" s="37" t="str">
        <f t="shared" si="37"/>
        <v/>
      </c>
      <c r="D407" s="21">
        <v>0</v>
      </c>
    </row>
    <row r="408" spans="2:4" ht="16.8" customHeight="1" x14ac:dyDescent="0.25">
      <c r="B408" s="35">
        <f t="shared" si="26"/>
        <v>405</v>
      </c>
      <c r="C408" s="37" t="str">
        <f t="shared" si="37"/>
        <v/>
      </c>
      <c r="D408" s="21">
        <v>0</v>
      </c>
    </row>
    <row r="409" spans="2:4" ht="16.8" customHeight="1" x14ac:dyDescent="0.25">
      <c r="B409" s="35">
        <f t="shared" si="26"/>
        <v>406</v>
      </c>
      <c r="C409" s="37" t="str">
        <f t="shared" si="37"/>
        <v/>
      </c>
      <c r="D409" s="21">
        <v>0</v>
      </c>
    </row>
    <row r="410" spans="2:4" ht="16.8" customHeight="1" x14ac:dyDescent="0.25">
      <c r="B410" s="35">
        <f t="shared" si="26"/>
        <v>407</v>
      </c>
      <c r="C410" s="37" t="str">
        <f t="shared" si="37"/>
        <v/>
      </c>
      <c r="D410" s="21">
        <v>0</v>
      </c>
    </row>
    <row r="411" spans="2:4" ht="16.8" customHeight="1" x14ac:dyDescent="0.25">
      <c r="B411" s="35">
        <f t="shared" si="26"/>
        <v>408</v>
      </c>
      <c r="C411" s="37" t="str">
        <f t="shared" si="37"/>
        <v/>
      </c>
      <c r="D411" s="21">
        <v>0</v>
      </c>
    </row>
    <row r="412" spans="2:4" ht="16.8" customHeight="1" x14ac:dyDescent="0.25">
      <c r="B412" s="41">
        <f t="shared" si="26"/>
        <v>409</v>
      </c>
      <c r="C412" s="42" t="str">
        <f>IF(B412&gt;$G$7,"",+C411+(C411*$G$5))</f>
        <v/>
      </c>
      <c r="D412" s="40" t="str">
        <f>IF(C412="","",D400*'Preencha Aqui'!$C$25)</f>
        <v/>
      </c>
    </row>
    <row r="413" spans="2:4" ht="16.8" customHeight="1" x14ac:dyDescent="0.25">
      <c r="B413" s="35">
        <f t="shared" si="26"/>
        <v>410</v>
      </c>
      <c r="C413" s="37" t="str">
        <f t="shared" ref="C413:C423" si="38">IF(B413&gt;$G$7,"",C412)</f>
        <v/>
      </c>
      <c r="D413" s="21">
        <v>0</v>
      </c>
    </row>
    <row r="414" spans="2:4" ht="16.8" customHeight="1" x14ac:dyDescent="0.25">
      <c r="B414" s="35">
        <f t="shared" si="26"/>
        <v>411</v>
      </c>
      <c r="C414" s="37" t="str">
        <f t="shared" si="38"/>
        <v/>
      </c>
      <c r="D414" s="21">
        <v>0</v>
      </c>
    </row>
    <row r="415" spans="2:4" ht="16.8" customHeight="1" x14ac:dyDescent="0.25">
      <c r="B415" s="35">
        <f t="shared" si="26"/>
        <v>412</v>
      </c>
      <c r="C415" s="37" t="str">
        <f t="shared" si="38"/>
        <v/>
      </c>
      <c r="D415" s="21">
        <v>0</v>
      </c>
    </row>
    <row r="416" spans="2:4" ht="16.8" customHeight="1" x14ac:dyDescent="0.25">
      <c r="B416" s="35">
        <f t="shared" si="26"/>
        <v>413</v>
      </c>
      <c r="C416" s="37" t="str">
        <f t="shared" si="38"/>
        <v/>
      </c>
      <c r="D416" s="21">
        <v>0</v>
      </c>
    </row>
    <row r="417" spans="2:4" ht="16.8" customHeight="1" x14ac:dyDescent="0.25">
      <c r="B417" s="35">
        <f t="shared" si="26"/>
        <v>414</v>
      </c>
      <c r="C417" s="37" t="str">
        <f t="shared" si="38"/>
        <v/>
      </c>
      <c r="D417" s="21">
        <v>0</v>
      </c>
    </row>
    <row r="418" spans="2:4" ht="16.8" customHeight="1" x14ac:dyDescent="0.25">
      <c r="B418" s="35">
        <f t="shared" si="26"/>
        <v>415</v>
      </c>
      <c r="C418" s="37" t="str">
        <f t="shared" si="38"/>
        <v/>
      </c>
      <c r="D418" s="21">
        <v>0</v>
      </c>
    </row>
    <row r="419" spans="2:4" ht="16.8" customHeight="1" x14ac:dyDescent="0.25">
      <c r="B419" s="35">
        <f t="shared" si="26"/>
        <v>416</v>
      </c>
      <c r="C419" s="37" t="str">
        <f t="shared" si="38"/>
        <v/>
      </c>
      <c r="D419" s="21">
        <v>0</v>
      </c>
    </row>
    <row r="420" spans="2:4" ht="16.8" customHeight="1" x14ac:dyDescent="0.25">
      <c r="B420" s="35">
        <f t="shared" si="26"/>
        <v>417</v>
      </c>
      <c r="C420" s="37" t="str">
        <f t="shared" si="38"/>
        <v/>
      </c>
      <c r="D420" s="21">
        <v>0</v>
      </c>
    </row>
    <row r="421" spans="2:4" ht="16.8" customHeight="1" x14ac:dyDescent="0.25">
      <c r="B421" s="35">
        <f t="shared" si="26"/>
        <v>418</v>
      </c>
      <c r="C421" s="37" t="str">
        <f t="shared" si="38"/>
        <v/>
      </c>
      <c r="D421" s="21">
        <v>0</v>
      </c>
    </row>
    <row r="422" spans="2:4" ht="16.8" customHeight="1" x14ac:dyDescent="0.25">
      <c r="B422" s="35">
        <f t="shared" si="26"/>
        <v>419</v>
      </c>
      <c r="C422" s="37" t="str">
        <f t="shared" si="38"/>
        <v/>
      </c>
      <c r="D422" s="21">
        <v>0</v>
      </c>
    </row>
    <row r="423" spans="2:4" ht="16.8" customHeight="1" x14ac:dyDescent="0.25">
      <c r="B423" s="35">
        <f t="shared" si="26"/>
        <v>420</v>
      </c>
      <c r="C423" s="37" t="str">
        <f t="shared" si="38"/>
        <v/>
      </c>
      <c r="D423" s="21">
        <v>0</v>
      </c>
    </row>
  </sheetData>
  <pageMargins left="0.511811024" right="0.511811024" top="0.78740157499999996" bottom="0.78740157499999996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D8350CCF6AAF4AAA65F14454BE4135" ma:contentTypeVersion="17" ma:contentTypeDescription="Crie um novo documento." ma:contentTypeScope="" ma:versionID="88ee13ab5c890ec51df12b273b67798b">
  <xsd:schema xmlns:xsd="http://www.w3.org/2001/XMLSchema" xmlns:xs="http://www.w3.org/2001/XMLSchema" xmlns:p="http://schemas.microsoft.com/office/2006/metadata/properties" xmlns:ns2="96059822-cedb-447c-b7ac-4fb3262c8533" xmlns:ns3="a18f71ab-1992-408d-aa7d-d2e0b31da886" targetNamespace="http://schemas.microsoft.com/office/2006/metadata/properties" ma:root="true" ma:fieldsID="77e2ca543441d267e8339a28d7cde42f" ns2:_="" ns3:_="">
    <xsd:import namespace="96059822-cedb-447c-b7ac-4fb3262c8533"/>
    <xsd:import namespace="a18f71ab-1992-408d-aa7d-d2e0b31da8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059822-cedb-447c-b7ac-4fb3262c853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e0f821ba-9ef2-4ce0-ab91-3295ab383a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8f71ab-1992-408d-aa7d-d2e0b31da88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fec303bc-0c7a-4409-84d4-6ab03dfac653}" ma:internalName="TaxCatchAll" ma:showField="CatchAllData" ma:web="a18f71ab-1992-408d-aa7d-d2e0b31da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B544B3A-391F-48D5-885A-8D36841350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059822-cedb-447c-b7ac-4fb3262c8533"/>
    <ds:schemaRef ds:uri="a18f71ab-1992-408d-aa7d-d2e0b31da8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905B94-7F43-4F51-BA2A-4BAF6481E36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Preencha Aqui</vt:lpstr>
      <vt:lpstr>Resultado</vt:lpstr>
      <vt:lpstr>Tabela Price</vt:lpstr>
      <vt:lpstr>Tabela Sac</vt:lpstr>
      <vt:lpstr>Aluguel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Mayara Sati Dantas Yamamoto</cp:lastModifiedBy>
  <dcterms:modified xsi:type="dcterms:W3CDTF">2024-08-22T13:17:43Z</dcterms:modified>
</cp:coreProperties>
</file>