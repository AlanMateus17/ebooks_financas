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5"/>
  <workbookPr/>
  <mc:AlternateContent xmlns:mc="http://schemas.openxmlformats.org/markup-compatibility/2006">
    <mc:Choice Requires="x15">
      <x15ac:absPath xmlns:x15ac="http://schemas.microsoft.com/office/spreadsheetml/2010/11/ac" url="C:\Users\mayara.yamamoto\Downloads\"/>
    </mc:Choice>
  </mc:AlternateContent>
  <xr:revisionPtr revIDLastSave="0" documentId="13_ncr:1_{7CCB4D0B-5B7E-4B2E-A2E2-F6493CADCB62}" xr6:coauthVersionLast="36" xr6:coauthVersionMax="36" xr10:uidLastSave="{00000000-0000-0000-0000-000000000000}"/>
  <bookViews>
    <workbookView xWindow="0" yWindow="0" windowWidth="23040" windowHeight="9684" xr2:uid="{00000000-000D-0000-FFFF-FFFF00000000}"/>
  </bookViews>
  <sheets>
    <sheet name="Sac ou Price " sheetId="1" r:id="rId1"/>
    <sheet name="Plan2" sheetId="2" state="hidden" r:id="rId2"/>
    <sheet name="Plan3" sheetId="3" state="hidden" r:id="rId3"/>
  </sheets>
  <definedNames>
    <definedName name="entrada" localSheetId="0">'Sac ou Price '!$E$6</definedName>
    <definedName name="entrada">#REF!</definedName>
    <definedName name="juros" localSheetId="0">'Sac ou Price '!$E$9</definedName>
    <definedName name="juros">#REF!</definedName>
    <definedName name="prestacao" localSheetId="0">'Sac ou Price '!$E$7</definedName>
    <definedName name="prestacao">#REF!</definedName>
    <definedName name="valor" localSheetId="0">'Sac ou Price '!$E$5</definedName>
    <definedName name="valor">#REF!</definedName>
  </definedNames>
  <calcPr calcId="191029"/>
  <extLst>
    <ext uri="GoogleSheetsCustomDataVersion1">
      <go:sheetsCustomData xmlns:go="http://customooxmlschemas.google.com/" r:id="rId7" roundtripDataSignature="AMtx7miriKQXL5QkIMynSMqhL3rsBs4Q2g=="/>
    </ext>
  </extLst>
</workbook>
</file>

<file path=xl/calcChain.xml><?xml version="1.0" encoding="utf-8"?>
<calcChain xmlns="http://schemas.openxmlformats.org/spreadsheetml/2006/main">
  <c r="L13" i="1" l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I104" i="1" s="1"/>
  <c r="I105" i="1" s="1"/>
  <c r="I106" i="1" s="1"/>
  <c r="I107" i="1" s="1"/>
  <c r="I108" i="1" s="1"/>
  <c r="I109" i="1" s="1"/>
  <c r="I110" i="1" s="1"/>
  <c r="I111" i="1" s="1"/>
  <c r="I112" i="1" s="1"/>
  <c r="I113" i="1" s="1"/>
  <c r="I114" i="1" s="1"/>
  <c r="I115" i="1" s="1"/>
  <c r="I116" i="1" s="1"/>
  <c r="I117" i="1" s="1"/>
  <c r="I118" i="1" s="1"/>
  <c r="I119" i="1" s="1"/>
  <c r="I120" i="1" s="1"/>
  <c r="I121" i="1" s="1"/>
  <c r="I122" i="1" s="1"/>
  <c r="I123" i="1" s="1"/>
  <c r="I124" i="1" s="1"/>
  <c r="I125" i="1" s="1"/>
  <c r="I126" i="1" s="1"/>
  <c r="I127" i="1" s="1"/>
  <c r="I128" i="1" s="1"/>
  <c r="I129" i="1" s="1"/>
  <c r="I130" i="1" s="1"/>
  <c r="I131" i="1" s="1"/>
  <c r="I132" i="1" s="1"/>
  <c r="I133" i="1" s="1"/>
  <c r="I134" i="1" s="1"/>
  <c r="I135" i="1" s="1"/>
  <c r="I136" i="1" s="1"/>
  <c r="I137" i="1" s="1"/>
  <c r="I138" i="1" s="1"/>
  <c r="I139" i="1" s="1"/>
  <c r="I140" i="1" s="1"/>
  <c r="I141" i="1" s="1"/>
  <c r="I142" i="1" s="1"/>
  <c r="I143" i="1" s="1"/>
  <c r="I144" i="1" s="1"/>
  <c r="I145" i="1" s="1"/>
  <c r="I146" i="1" s="1"/>
  <c r="I147" i="1" s="1"/>
  <c r="I148" i="1" s="1"/>
  <c r="I149" i="1" s="1"/>
  <c r="I150" i="1" s="1"/>
  <c r="I151" i="1" s="1"/>
  <c r="I152" i="1" s="1"/>
  <c r="I153" i="1" s="1"/>
  <c r="I154" i="1" s="1"/>
  <c r="I155" i="1" s="1"/>
  <c r="I156" i="1" s="1"/>
  <c r="I157" i="1" s="1"/>
  <c r="I158" i="1" s="1"/>
  <c r="I159" i="1" s="1"/>
  <c r="I160" i="1" s="1"/>
  <c r="I161" i="1" s="1"/>
  <c r="I162" i="1" s="1"/>
  <c r="I163" i="1" s="1"/>
  <c r="I164" i="1" s="1"/>
  <c r="I165" i="1" s="1"/>
  <c r="I166" i="1" s="1"/>
  <c r="I167" i="1" s="1"/>
  <c r="I168" i="1" s="1"/>
  <c r="I169" i="1" s="1"/>
  <c r="I170" i="1" s="1"/>
  <c r="I171" i="1" s="1"/>
  <c r="I172" i="1" s="1"/>
  <c r="I173" i="1" s="1"/>
  <c r="I174" i="1" s="1"/>
  <c r="I175" i="1" s="1"/>
  <c r="I176" i="1" s="1"/>
  <c r="I177" i="1" s="1"/>
  <c r="I178" i="1" s="1"/>
  <c r="I179" i="1" s="1"/>
  <c r="I180" i="1" s="1"/>
  <c r="I181" i="1" s="1"/>
  <c r="I182" i="1" s="1"/>
  <c r="I183" i="1" s="1"/>
  <c r="I184" i="1" s="1"/>
  <c r="I185" i="1" s="1"/>
  <c r="I186" i="1" s="1"/>
  <c r="I187" i="1" s="1"/>
  <c r="I188" i="1" s="1"/>
  <c r="I189" i="1" s="1"/>
  <c r="I190" i="1" s="1"/>
  <c r="I191" i="1" s="1"/>
  <c r="I192" i="1" s="1"/>
  <c r="I193" i="1" s="1"/>
  <c r="I194" i="1" s="1"/>
  <c r="I195" i="1" s="1"/>
  <c r="I196" i="1" s="1"/>
  <c r="I197" i="1" s="1"/>
  <c r="I198" i="1" s="1"/>
  <c r="I199" i="1" s="1"/>
  <c r="I200" i="1" s="1"/>
  <c r="I201" i="1" s="1"/>
  <c r="I202" i="1" s="1"/>
  <c r="I203" i="1" s="1"/>
  <c r="I204" i="1" s="1"/>
  <c r="I205" i="1" s="1"/>
  <c r="I206" i="1" s="1"/>
  <c r="I207" i="1" s="1"/>
  <c r="I208" i="1" s="1"/>
  <c r="I209" i="1" s="1"/>
  <c r="I210" i="1" s="1"/>
  <c r="I211" i="1" s="1"/>
  <c r="I212" i="1" s="1"/>
  <c r="I213" i="1" s="1"/>
  <c r="I214" i="1" s="1"/>
  <c r="I215" i="1" s="1"/>
  <c r="I216" i="1" s="1"/>
  <c r="I217" i="1" s="1"/>
  <c r="I218" i="1" s="1"/>
  <c r="I219" i="1" s="1"/>
  <c r="I220" i="1" s="1"/>
  <c r="I221" i="1" s="1"/>
  <c r="I222" i="1" s="1"/>
  <c r="I223" i="1" s="1"/>
  <c r="I224" i="1" s="1"/>
  <c r="I225" i="1" s="1"/>
  <c r="I226" i="1" s="1"/>
  <c r="I227" i="1" s="1"/>
  <c r="I228" i="1" s="1"/>
  <c r="I229" i="1" s="1"/>
  <c r="I230" i="1" s="1"/>
  <c r="I231" i="1" s="1"/>
  <c r="I232" i="1" s="1"/>
  <c r="I233" i="1" s="1"/>
  <c r="I234" i="1" s="1"/>
  <c r="I235" i="1" s="1"/>
  <c r="I236" i="1" s="1"/>
  <c r="I237" i="1" s="1"/>
  <c r="I238" i="1" s="1"/>
  <c r="I239" i="1" s="1"/>
  <c r="I240" i="1" s="1"/>
  <c r="I241" i="1" s="1"/>
  <c r="I242" i="1" s="1"/>
  <c r="I243" i="1" s="1"/>
  <c r="I244" i="1" s="1"/>
  <c r="I245" i="1" s="1"/>
  <c r="I246" i="1" s="1"/>
  <c r="I247" i="1" s="1"/>
  <c r="I248" i="1" s="1"/>
  <c r="I249" i="1" s="1"/>
  <c r="I250" i="1" s="1"/>
  <c r="I251" i="1" s="1"/>
  <c r="I252" i="1" s="1"/>
  <c r="I253" i="1" s="1"/>
  <c r="I254" i="1" s="1"/>
  <c r="I255" i="1" s="1"/>
  <c r="I256" i="1" s="1"/>
  <c r="I257" i="1" s="1"/>
  <c r="I258" i="1" s="1"/>
  <c r="I259" i="1" s="1"/>
  <c r="I260" i="1" s="1"/>
  <c r="I261" i="1" s="1"/>
  <c r="I262" i="1" s="1"/>
  <c r="I263" i="1" s="1"/>
  <c r="I264" i="1" s="1"/>
  <c r="I265" i="1" s="1"/>
  <c r="I266" i="1" s="1"/>
  <c r="I267" i="1" s="1"/>
  <c r="I268" i="1" s="1"/>
  <c r="I269" i="1" s="1"/>
  <c r="I270" i="1" s="1"/>
  <c r="I271" i="1" s="1"/>
  <c r="I272" i="1" s="1"/>
  <c r="I273" i="1" s="1"/>
  <c r="I274" i="1" s="1"/>
  <c r="I275" i="1" s="1"/>
  <c r="I276" i="1" s="1"/>
  <c r="I277" i="1" s="1"/>
  <c r="I278" i="1" s="1"/>
  <c r="I279" i="1" s="1"/>
  <c r="I280" i="1" s="1"/>
  <c r="I281" i="1" s="1"/>
  <c r="I282" i="1" s="1"/>
  <c r="I283" i="1" s="1"/>
  <c r="I284" i="1" s="1"/>
  <c r="I285" i="1" s="1"/>
  <c r="I286" i="1" s="1"/>
  <c r="I287" i="1" s="1"/>
  <c r="I288" i="1" s="1"/>
  <c r="I289" i="1" s="1"/>
  <c r="I290" i="1" s="1"/>
  <c r="I291" i="1" s="1"/>
  <c r="I292" i="1" s="1"/>
  <c r="I293" i="1" s="1"/>
  <c r="I294" i="1" s="1"/>
  <c r="I295" i="1" s="1"/>
  <c r="I296" i="1" s="1"/>
  <c r="I297" i="1" s="1"/>
  <c r="I298" i="1" s="1"/>
  <c r="I299" i="1" s="1"/>
  <c r="I300" i="1" s="1"/>
  <c r="I301" i="1" s="1"/>
  <c r="I302" i="1" s="1"/>
  <c r="I303" i="1" s="1"/>
  <c r="I304" i="1" s="1"/>
  <c r="I305" i="1" s="1"/>
  <c r="I306" i="1" s="1"/>
  <c r="I307" i="1" s="1"/>
  <c r="I308" i="1" s="1"/>
  <c r="I309" i="1" s="1"/>
  <c r="I310" i="1" s="1"/>
  <c r="I311" i="1" s="1"/>
  <c r="I312" i="1" s="1"/>
  <c r="I313" i="1" s="1"/>
  <c r="I314" i="1" s="1"/>
  <c r="I315" i="1" s="1"/>
  <c r="I316" i="1" s="1"/>
  <c r="I317" i="1" s="1"/>
  <c r="I318" i="1" s="1"/>
  <c r="I319" i="1" s="1"/>
  <c r="I320" i="1" s="1"/>
  <c r="I321" i="1" s="1"/>
  <c r="I322" i="1" s="1"/>
  <c r="I323" i="1" s="1"/>
  <c r="I324" i="1" s="1"/>
  <c r="I325" i="1" s="1"/>
  <c r="I326" i="1" s="1"/>
  <c r="I327" i="1" s="1"/>
  <c r="I328" i="1" s="1"/>
  <c r="I329" i="1" s="1"/>
  <c r="I330" i="1" s="1"/>
  <c r="I331" i="1" s="1"/>
  <c r="I332" i="1" s="1"/>
  <c r="I333" i="1" s="1"/>
  <c r="I334" i="1" s="1"/>
  <c r="I335" i="1" s="1"/>
  <c r="I336" i="1" s="1"/>
  <c r="I337" i="1" s="1"/>
  <c r="I338" i="1" s="1"/>
  <c r="I339" i="1" s="1"/>
  <c r="I340" i="1" s="1"/>
  <c r="I341" i="1" s="1"/>
  <c r="I342" i="1" s="1"/>
  <c r="I343" i="1" s="1"/>
  <c r="I344" i="1" s="1"/>
  <c r="I345" i="1" s="1"/>
  <c r="I346" i="1" s="1"/>
  <c r="I347" i="1" s="1"/>
  <c r="I348" i="1" s="1"/>
  <c r="I349" i="1" s="1"/>
  <c r="I350" i="1" s="1"/>
  <c r="I351" i="1" s="1"/>
  <c r="I352" i="1" s="1"/>
  <c r="I353" i="1" s="1"/>
  <c r="I354" i="1" s="1"/>
  <c r="I355" i="1" s="1"/>
  <c r="I356" i="1" s="1"/>
  <c r="I357" i="1" s="1"/>
  <c r="I358" i="1" s="1"/>
  <c r="I359" i="1" s="1"/>
  <c r="I360" i="1" s="1"/>
  <c r="I361" i="1" s="1"/>
  <c r="I362" i="1" s="1"/>
  <c r="I363" i="1" s="1"/>
  <c r="I364" i="1" s="1"/>
  <c r="I365" i="1" s="1"/>
  <c r="I366" i="1" s="1"/>
  <c r="I367" i="1" s="1"/>
  <c r="I368" i="1" s="1"/>
  <c r="I369" i="1" s="1"/>
  <c r="I370" i="1" s="1"/>
  <c r="I371" i="1" s="1"/>
  <c r="I372" i="1" s="1"/>
  <c r="I373" i="1" s="1"/>
  <c r="I374" i="1" s="1"/>
  <c r="I375" i="1" s="1"/>
  <c r="I376" i="1" s="1"/>
  <c r="I377" i="1" s="1"/>
  <c r="I378" i="1" s="1"/>
  <c r="I379" i="1" s="1"/>
  <c r="I380" i="1" s="1"/>
  <c r="I381" i="1" s="1"/>
  <c r="I382" i="1" s="1"/>
  <c r="I383" i="1" s="1"/>
  <c r="I384" i="1" s="1"/>
  <c r="I385" i="1" s="1"/>
  <c r="I386" i="1" s="1"/>
  <c r="I387" i="1" s="1"/>
  <c r="I388" i="1" s="1"/>
  <c r="I389" i="1" s="1"/>
  <c r="I390" i="1" s="1"/>
  <c r="I391" i="1" s="1"/>
  <c r="I392" i="1" s="1"/>
  <c r="I393" i="1" s="1"/>
  <c r="I394" i="1" s="1"/>
  <c r="I395" i="1" s="1"/>
  <c r="I396" i="1" s="1"/>
  <c r="I397" i="1" s="1"/>
  <c r="I398" i="1" s="1"/>
  <c r="I399" i="1" s="1"/>
  <c r="I400" i="1" s="1"/>
  <c r="I401" i="1" s="1"/>
  <c r="I402" i="1" s="1"/>
  <c r="I403" i="1" s="1"/>
  <c r="I404" i="1" s="1"/>
  <c r="I405" i="1" s="1"/>
  <c r="I406" i="1" s="1"/>
  <c r="I407" i="1" s="1"/>
  <c r="I408" i="1" s="1"/>
  <c r="I409" i="1" s="1"/>
  <c r="I410" i="1" s="1"/>
  <c r="I411" i="1" s="1"/>
  <c r="I412" i="1" s="1"/>
  <c r="I413" i="1" s="1"/>
  <c r="I414" i="1" s="1"/>
  <c r="I415" i="1" s="1"/>
  <c r="I416" i="1" s="1"/>
  <c r="I417" i="1" s="1"/>
  <c r="I418" i="1" s="1"/>
  <c r="I419" i="1" s="1"/>
  <c r="I420" i="1" s="1"/>
  <c r="I421" i="1" s="1"/>
  <c r="I422" i="1" s="1"/>
  <c r="I423" i="1" s="1"/>
  <c r="I424" i="1" s="1"/>
  <c r="I425" i="1" s="1"/>
  <c r="I426" i="1" s="1"/>
  <c r="I427" i="1" s="1"/>
  <c r="I428" i="1" s="1"/>
  <c r="I429" i="1" s="1"/>
  <c r="I430" i="1" s="1"/>
  <c r="I431" i="1" s="1"/>
  <c r="I432" i="1" s="1"/>
  <c r="I433" i="1" s="1"/>
  <c r="H15" i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F13" i="1"/>
  <c r="B15" i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L14" i="1" l="1"/>
  <c r="H27" i="1"/>
  <c r="E9" i="1"/>
  <c r="J14" i="1" s="1"/>
  <c r="K14" i="1" s="1"/>
  <c r="L6" i="1" s="1"/>
  <c r="E14" i="1" l="1"/>
  <c r="K6" i="1" s="1"/>
  <c r="D14" i="1"/>
  <c r="J15" i="1"/>
  <c r="K15" i="1" s="1"/>
  <c r="L15" i="1"/>
  <c r="H28" i="1"/>
  <c r="L16" i="1" l="1"/>
  <c r="C14" i="1"/>
  <c r="F14" i="1" s="1"/>
  <c r="J16" i="1"/>
  <c r="H29" i="1"/>
  <c r="K7" i="1"/>
  <c r="D15" i="1" l="1"/>
  <c r="E15" i="1"/>
  <c r="L17" i="1"/>
  <c r="K16" i="1"/>
  <c r="H30" i="1"/>
  <c r="C15" i="1" l="1"/>
  <c r="F15" i="1" s="1"/>
  <c r="D16" i="1" s="1"/>
  <c r="L18" i="1"/>
  <c r="J17" i="1"/>
  <c r="H31" i="1"/>
  <c r="L19" i="1" l="1"/>
  <c r="E16" i="1"/>
  <c r="C16" i="1" s="1"/>
  <c r="K17" i="1"/>
  <c r="H32" i="1"/>
  <c r="L20" i="1" l="1"/>
  <c r="F16" i="1"/>
  <c r="E17" i="1" s="1"/>
  <c r="J18" i="1"/>
  <c r="H33" i="1"/>
  <c r="D17" i="1" l="1"/>
  <c r="C17" i="1" s="1"/>
  <c r="F17" i="1" s="1"/>
  <c r="L21" i="1"/>
  <c r="J19" i="1"/>
  <c r="K19" i="1" s="1"/>
  <c r="K18" i="1"/>
  <c r="H34" i="1"/>
  <c r="L22" i="1" l="1"/>
  <c r="H35" i="1"/>
  <c r="L23" i="1" l="1"/>
  <c r="E18" i="1"/>
  <c r="D18" i="1"/>
  <c r="J20" i="1"/>
  <c r="H36" i="1"/>
  <c r="C18" i="1" l="1"/>
  <c r="F18" i="1" s="1"/>
  <c r="L24" i="1"/>
  <c r="J21" i="1"/>
  <c r="K20" i="1"/>
  <c r="H37" i="1"/>
  <c r="L25" i="1" l="1"/>
  <c r="E19" i="1"/>
  <c r="D19" i="1"/>
  <c r="J22" i="1"/>
  <c r="K21" i="1"/>
  <c r="H38" i="1"/>
  <c r="C19" i="1" l="1"/>
  <c r="F19" i="1" s="1"/>
  <c r="L26" i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J23" i="1"/>
  <c r="K22" i="1"/>
  <c r="H39" i="1"/>
  <c r="D20" i="1" l="1"/>
  <c r="L39" i="1"/>
  <c r="J24" i="1"/>
  <c r="K24" i="1" s="1"/>
  <c r="K23" i="1"/>
  <c r="H40" i="1"/>
  <c r="E20" i="1" l="1"/>
  <c r="L40" i="1"/>
  <c r="H41" i="1"/>
  <c r="C20" i="1" l="1"/>
  <c r="L41" i="1"/>
  <c r="J25" i="1"/>
  <c r="H42" i="1"/>
  <c r="F20" i="1" l="1"/>
  <c r="L42" i="1"/>
  <c r="J26" i="1"/>
  <c r="K26" i="1" s="1"/>
  <c r="K25" i="1"/>
  <c r="H43" i="1"/>
  <c r="E21" i="1" l="1"/>
  <c r="D21" i="1"/>
  <c r="L43" i="1"/>
  <c r="H44" i="1"/>
  <c r="C21" i="1" l="1"/>
  <c r="F21" i="1" s="1"/>
  <c r="L44" i="1"/>
  <c r="J27" i="1"/>
  <c r="H45" i="1"/>
  <c r="E22" i="1" l="1"/>
  <c r="D22" i="1"/>
  <c r="L45" i="1"/>
  <c r="J28" i="1"/>
  <c r="K28" i="1" s="1"/>
  <c r="K27" i="1"/>
  <c r="H46" i="1"/>
  <c r="L46" i="1" s="1"/>
  <c r="C22" i="1" l="1"/>
  <c r="F22" i="1" s="1"/>
  <c r="E23" i="1" s="1"/>
  <c r="J29" i="1"/>
  <c r="H47" i="1"/>
  <c r="L47" i="1" s="1"/>
  <c r="D23" i="1" l="1"/>
  <c r="C23" i="1" s="1"/>
  <c r="J30" i="1"/>
  <c r="K29" i="1"/>
  <c r="H48" i="1"/>
  <c r="L48" i="1" s="1"/>
  <c r="F23" i="1" l="1"/>
  <c r="E24" i="1" s="1"/>
  <c r="K30" i="1"/>
  <c r="H49" i="1"/>
  <c r="L49" i="1" s="1"/>
  <c r="D24" i="1" l="1"/>
  <c r="C24" i="1" s="1"/>
  <c r="F24" i="1" s="1"/>
  <c r="J31" i="1"/>
  <c r="H50" i="1"/>
  <c r="L50" i="1" s="1"/>
  <c r="D25" i="1" l="1"/>
  <c r="E25" i="1"/>
  <c r="K31" i="1"/>
  <c r="H51" i="1"/>
  <c r="L51" i="1" s="1"/>
  <c r="C25" i="1" l="1"/>
  <c r="F25" i="1" s="1"/>
  <c r="D26" i="1" s="1"/>
  <c r="J32" i="1"/>
  <c r="K32" i="1" s="1"/>
  <c r="H52" i="1"/>
  <c r="L52" i="1" s="1"/>
  <c r="E26" i="1" l="1"/>
  <c r="C26" i="1" s="1"/>
  <c r="F26" i="1" s="1"/>
  <c r="H53" i="1"/>
  <c r="L53" i="1" s="1"/>
  <c r="D27" i="1" l="1"/>
  <c r="J33" i="1"/>
  <c r="K33" i="1" s="1"/>
  <c r="H54" i="1"/>
  <c r="L54" i="1" s="1"/>
  <c r="E27" i="1" l="1"/>
  <c r="C27" i="1" s="1"/>
  <c r="F27" i="1" s="1"/>
  <c r="H55" i="1"/>
  <c r="L55" i="1" s="1"/>
  <c r="D28" i="1" l="1"/>
  <c r="J34" i="1"/>
  <c r="K34" i="1" s="1"/>
  <c r="H56" i="1"/>
  <c r="L56" i="1" s="1"/>
  <c r="E28" i="1" l="1"/>
  <c r="C28" i="1" s="1"/>
  <c r="F28" i="1" s="1"/>
  <c r="H57" i="1"/>
  <c r="L57" i="1" s="1"/>
  <c r="D29" i="1" l="1"/>
  <c r="J35" i="1"/>
  <c r="K35" i="1" s="1"/>
  <c r="H58" i="1"/>
  <c r="L58" i="1" s="1"/>
  <c r="E29" i="1" l="1"/>
  <c r="C29" i="1" s="1"/>
  <c r="F29" i="1" s="1"/>
  <c r="H59" i="1"/>
  <c r="L59" i="1" s="1"/>
  <c r="D30" i="1" l="1"/>
  <c r="J36" i="1"/>
  <c r="K36" i="1" s="1"/>
  <c r="H60" i="1"/>
  <c r="L60" i="1" s="1"/>
  <c r="E30" i="1" l="1"/>
  <c r="C30" i="1" s="1"/>
  <c r="F30" i="1" s="1"/>
  <c r="J37" i="1"/>
  <c r="K37" i="1" s="1"/>
  <c r="H61" i="1"/>
  <c r="L61" i="1" s="1"/>
  <c r="D31" i="1" l="1"/>
  <c r="H62" i="1"/>
  <c r="L62" i="1" s="1"/>
  <c r="E31" i="1" l="1"/>
  <c r="C31" i="1" s="1"/>
  <c r="F31" i="1" s="1"/>
  <c r="J38" i="1"/>
  <c r="K38" i="1" s="1"/>
  <c r="H63" i="1"/>
  <c r="L63" i="1" s="1"/>
  <c r="D32" i="1" l="1"/>
  <c r="J39" i="1"/>
  <c r="K39" i="1" s="1"/>
  <c r="H64" i="1"/>
  <c r="L64" i="1" s="1"/>
  <c r="E32" i="1" l="1"/>
  <c r="H65" i="1"/>
  <c r="L65" i="1" s="1"/>
  <c r="C32" i="1" l="1"/>
  <c r="F32" i="1" s="1"/>
  <c r="J40" i="1"/>
  <c r="K40" i="1" s="1"/>
  <c r="H66" i="1"/>
  <c r="L66" i="1" s="1"/>
  <c r="D33" i="1" l="1"/>
  <c r="J41" i="1"/>
  <c r="K41" i="1" s="1"/>
  <c r="H67" i="1"/>
  <c r="L67" i="1" s="1"/>
  <c r="E33" i="1" l="1"/>
  <c r="H68" i="1"/>
  <c r="L68" i="1" s="1"/>
  <c r="C33" i="1" l="1"/>
  <c r="F33" i="1" s="1"/>
  <c r="J42" i="1"/>
  <c r="K42" i="1" s="1"/>
  <c r="H69" i="1"/>
  <c r="L69" i="1" s="1"/>
  <c r="D34" i="1" l="1"/>
  <c r="H70" i="1"/>
  <c r="L70" i="1" s="1"/>
  <c r="E34" i="1" l="1"/>
  <c r="C34" i="1" s="1"/>
  <c r="F34" i="1" s="1"/>
  <c r="J43" i="1"/>
  <c r="K43" i="1" s="1"/>
  <c r="H71" i="1"/>
  <c r="L71" i="1" s="1"/>
  <c r="D35" i="1" l="1"/>
  <c r="H72" i="1"/>
  <c r="L72" i="1" s="1"/>
  <c r="E35" i="1" l="1"/>
  <c r="C35" i="1" s="1"/>
  <c r="F35" i="1" s="1"/>
  <c r="J44" i="1"/>
  <c r="K44" i="1" s="1"/>
  <c r="H73" i="1"/>
  <c r="L73" i="1" s="1"/>
  <c r="D36" i="1" l="1"/>
  <c r="H74" i="1"/>
  <c r="L74" i="1" s="1"/>
  <c r="E36" i="1" l="1"/>
  <c r="C36" i="1" s="1"/>
  <c r="F36" i="1" s="1"/>
  <c r="J45" i="1"/>
  <c r="K45" i="1" s="1"/>
  <c r="H75" i="1"/>
  <c r="L75" i="1" s="1"/>
  <c r="D37" i="1" l="1"/>
  <c r="H76" i="1"/>
  <c r="L76" i="1" s="1"/>
  <c r="E37" i="1" l="1"/>
  <c r="J46" i="1"/>
  <c r="K46" i="1" s="1"/>
  <c r="H77" i="1"/>
  <c r="L77" i="1" s="1"/>
  <c r="C37" i="1" l="1"/>
  <c r="F37" i="1" s="1"/>
  <c r="H78" i="1"/>
  <c r="L78" i="1" s="1"/>
  <c r="D38" i="1" l="1"/>
  <c r="J47" i="1"/>
  <c r="K47" i="1" s="1"/>
  <c r="H79" i="1"/>
  <c r="L79" i="1" s="1"/>
  <c r="E38" i="1" l="1"/>
  <c r="H80" i="1"/>
  <c r="L80" i="1" s="1"/>
  <c r="C38" i="1" l="1"/>
  <c r="F38" i="1" s="1"/>
  <c r="J48" i="1"/>
  <c r="K48" i="1" s="1"/>
  <c r="H81" i="1"/>
  <c r="L81" i="1" s="1"/>
  <c r="D39" i="1" l="1"/>
  <c r="H82" i="1"/>
  <c r="L82" i="1" s="1"/>
  <c r="E39" i="1" l="1"/>
  <c r="C39" i="1" s="1"/>
  <c r="F39" i="1" s="1"/>
  <c r="J49" i="1"/>
  <c r="K49" i="1" s="1"/>
  <c r="H83" i="1"/>
  <c r="L83" i="1" s="1"/>
  <c r="D40" i="1" l="1"/>
  <c r="J50" i="1"/>
  <c r="K50" i="1" s="1"/>
  <c r="H84" i="1"/>
  <c r="L84" i="1" s="1"/>
  <c r="E40" i="1" l="1"/>
  <c r="C40" i="1" s="1"/>
  <c r="F40" i="1" s="1"/>
  <c r="J51" i="1"/>
  <c r="K51" i="1" s="1"/>
  <c r="H85" i="1"/>
  <c r="L85" i="1" s="1"/>
  <c r="D41" i="1" l="1"/>
  <c r="H86" i="1"/>
  <c r="L86" i="1" s="1"/>
  <c r="E41" i="1" l="1"/>
  <c r="C41" i="1" s="1"/>
  <c r="F41" i="1" s="1"/>
  <c r="J52" i="1"/>
  <c r="K52" i="1" s="1"/>
  <c r="H87" i="1"/>
  <c r="L87" i="1" s="1"/>
  <c r="D42" i="1" l="1"/>
  <c r="H88" i="1"/>
  <c r="L88" i="1" s="1"/>
  <c r="E42" i="1" l="1"/>
  <c r="C42" i="1" s="1"/>
  <c r="F42" i="1" s="1"/>
  <c r="J53" i="1"/>
  <c r="K53" i="1" s="1"/>
  <c r="H89" i="1"/>
  <c r="L89" i="1" s="1"/>
  <c r="D43" i="1" l="1"/>
  <c r="H90" i="1"/>
  <c r="L90" i="1" s="1"/>
  <c r="E43" i="1" l="1"/>
  <c r="C43" i="1" s="1"/>
  <c r="F43" i="1" s="1"/>
  <c r="J54" i="1"/>
  <c r="K54" i="1" s="1"/>
  <c r="H91" i="1"/>
  <c r="L91" i="1" s="1"/>
  <c r="D44" i="1" l="1"/>
  <c r="H92" i="1"/>
  <c r="L92" i="1" s="1"/>
  <c r="E44" i="1" l="1"/>
  <c r="C44" i="1" s="1"/>
  <c r="F44" i="1" s="1"/>
  <c r="J55" i="1"/>
  <c r="K55" i="1" s="1"/>
  <c r="H93" i="1"/>
  <c r="L93" i="1" s="1"/>
  <c r="D45" i="1" l="1"/>
  <c r="H94" i="1"/>
  <c r="L94" i="1" s="1"/>
  <c r="E45" i="1" l="1"/>
  <c r="C45" i="1" s="1"/>
  <c r="F45" i="1" s="1"/>
  <c r="J56" i="1"/>
  <c r="K56" i="1" s="1"/>
  <c r="H95" i="1"/>
  <c r="L95" i="1" s="1"/>
  <c r="D46" i="1" l="1"/>
  <c r="J57" i="1"/>
  <c r="K57" i="1" s="1"/>
  <c r="H96" i="1"/>
  <c r="L96" i="1" s="1"/>
  <c r="E46" i="1" l="1"/>
  <c r="C46" i="1" s="1"/>
  <c r="F46" i="1" s="1"/>
  <c r="H97" i="1"/>
  <c r="L97" i="1" s="1"/>
  <c r="D47" i="1" l="1"/>
  <c r="J58" i="1"/>
  <c r="K58" i="1" s="1"/>
  <c r="H98" i="1"/>
  <c r="L98" i="1" s="1"/>
  <c r="E47" i="1" l="1"/>
  <c r="C47" i="1" s="1"/>
  <c r="F47" i="1" s="1"/>
  <c r="H99" i="1"/>
  <c r="L99" i="1" s="1"/>
  <c r="D48" i="1" l="1"/>
  <c r="J59" i="1"/>
  <c r="K59" i="1" s="1"/>
  <c r="H100" i="1"/>
  <c r="L100" i="1" s="1"/>
  <c r="E48" i="1" l="1"/>
  <c r="H101" i="1"/>
  <c r="L101" i="1" s="1"/>
  <c r="C48" i="1" l="1"/>
  <c r="F48" i="1" s="1"/>
  <c r="J60" i="1"/>
  <c r="K60" i="1" s="1"/>
  <c r="H102" i="1"/>
  <c r="L102" i="1" s="1"/>
  <c r="H103" i="1" l="1"/>
  <c r="L103" i="1" s="1"/>
  <c r="E49" i="1" l="1"/>
  <c r="D49" i="1"/>
  <c r="J61" i="1"/>
  <c r="K61" i="1" s="1"/>
  <c r="H104" i="1"/>
  <c r="L104" i="1" s="1"/>
  <c r="C49" i="1" l="1"/>
  <c r="F49" i="1" s="1"/>
  <c r="D50" i="1" s="1"/>
  <c r="H105" i="1"/>
  <c r="L105" i="1" s="1"/>
  <c r="E50" i="1" l="1"/>
  <c r="C50" i="1" s="1"/>
  <c r="F50" i="1" s="1"/>
  <c r="J62" i="1"/>
  <c r="K62" i="1" s="1"/>
  <c r="H106" i="1"/>
  <c r="L106" i="1" s="1"/>
  <c r="D51" i="1" l="1"/>
  <c r="H107" i="1"/>
  <c r="L107" i="1" s="1"/>
  <c r="E51" i="1" l="1"/>
  <c r="J63" i="1"/>
  <c r="K63" i="1" s="1"/>
  <c r="H108" i="1"/>
  <c r="L108" i="1" s="1"/>
  <c r="C51" i="1" l="1"/>
  <c r="F51" i="1" s="1"/>
  <c r="H109" i="1"/>
  <c r="L109" i="1" s="1"/>
  <c r="D52" i="1" l="1"/>
  <c r="J64" i="1"/>
  <c r="K64" i="1" s="1"/>
  <c r="H110" i="1"/>
  <c r="L110" i="1" s="1"/>
  <c r="E52" i="1" l="1"/>
  <c r="C52" i="1" s="1"/>
  <c r="F52" i="1" s="1"/>
  <c r="H111" i="1"/>
  <c r="L111" i="1" s="1"/>
  <c r="D53" i="1" l="1"/>
  <c r="J65" i="1"/>
  <c r="K65" i="1" s="1"/>
  <c r="H112" i="1"/>
  <c r="L112" i="1" s="1"/>
  <c r="E53" i="1" l="1"/>
  <c r="C53" i="1" s="1"/>
  <c r="F53" i="1" s="1"/>
  <c r="H113" i="1"/>
  <c r="L113" i="1" s="1"/>
  <c r="D54" i="1" l="1"/>
  <c r="J66" i="1"/>
  <c r="K66" i="1" s="1"/>
  <c r="H114" i="1"/>
  <c r="L114" i="1" s="1"/>
  <c r="E54" i="1" l="1"/>
  <c r="H115" i="1"/>
  <c r="L115" i="1" s="1"/>
  <c r="C54" i="1" l="1"/>
  <c r="F54" i="1" s="1"/>
  <c r="J67" i="1"/>
  <c r="K67" i="1" s="1"/>
  <c r="H116" i="1"/>
  <c r="L116" i="1" s="1"/>
  <c r="D55" i="1" l="1"/>
  <c r="H117" i="1"/>
  <c r="L117" i="1" s="1"/>
  <c r="E55" i="1" l="1"/>
  <c r="C55" i="1" s="1"/>
  <c r="F55" i="1" s="1"/>
  <c r="J68" i="1"/>
  <c r="K68" i="1" s="1"/>
  <c r="H118" i="1"/>
  <c r="L118" i="1" s="1"/>
  <c r="D56" i="1" l="1"/>
  <c r="H119" i="1"/>
  <c r="L119" i="1" s="1"/>
  <c r="E56" i="1" l="1"/>
  <c r="J69" i="1"/>
  <c r="K69" i="1" s="1"/>
  <c r="H120" i="1"/>
  <c r="L120" i="1" s="1"/>
  <c r="C56" i="1" l="1"/>
  <c r="H121" i="1"/>
  <c r="L121" i="1" s="1"/>
  <c r="F56" i="1" l="1"/>
  <c r="E57" i="1"/>
  <c r="J70" i="1"/>
  <c r="K70" i="1" s="1"/>
  <c r="H122" i="1"/>
  <c r="L122" i="1" s="1"/>
  <c r="D57" i="1" l="1"/>
  <c r="C57" i="1" s="1"/>
  <c r="H123" i="1"/>
  <c r="L123" i="1" s="1"/>
  <c r="F57" i="1" l="1"/>
  <c r="J71" i="1"/>
  <c r="K71" i="1" s="1"/>
  <c r="H124" i="1"/>
  <c r="L124" i="1" s="1"/>
  <c r="E58" i="1" l="1"/>
  <c r="D58" i="1"/>
  <c r="H125" i="1"/>
  <c r="L125" i="1" s="1"/>
  <c r="C58" i="1" l="1"/>
  <c r="J72" i="1"/>
  <c r="K72" i="1" s="1"/>
  <c r="H126" i="1"/>
  <c r="L126" i="1" s="1"/>
  <c r="F58" i="1" l="1"/>
  <c r="H127" i="1"/>
  <c r="L127" i="1" s="1"/>
  <c r="E59" i="1" l="1"/>
  <c r="D59" i="1"/>
  <c r="J73" i="1"/>
  <c r="K73" i="1" s="1"/>
  <c r="H128" i="1"/>
  <c r="L128" i="1" s="1"/>
  <c r="C59" i="1" l="1"/>
  <c r="F59" i="1" s="1"/>
  <c r="H129" i="1"/>
  <c r="L129" i="1" s="1"/>
  <c r="D60" i="1" l="1"/>
  <c r="E60" i="1"/>
  <c r="J74" i="1"/>
  <c r="K74" i="1" s="1"/>
  <c r="H130" i="1"/>
  <c r="L130" i="1" s="1"/>
  <c r="C60" i="1" l="1"/>
  <c r="F60" i="1" s="1"/>
  <c r="D61" i="1" s="1"/>
  <c r="H131" i="1"/>
  <c r="L131" i="1" s="1"/>
  <c r="E61" i="1" l="1"/>
  <c r="C61" i="1" s="1"/>
  <c r="F61" i="1" s="1"/>
  <c r="D62" i="1" s="1"/>
  <c r="J75" i="1"/>
  <c r="K75" i="1" s="1"/>
  <c r="H132" i="1"/>
  <c r="L132" i="1" s="1"/>
  <c r="E62" i="1" l="1"/>
  <c r="C62" i="1" s="1"/>
  <c r="F62" i="1" s="1"/>
  <c r="D63" i="1" s="1"/>
  <c r="H133" i="1"/>
  <c r="L133" i="1" s="1"/>
  <c r="E63" i="1" l="1"/>
  <c r="C63" i="1" s="1"/>
  <c r="F63" i="1" s="1"/>
  <c r="J76" i="1"/>
  <c r="K76" i="1" s="1"/>
  <c r="H134" i="1"/>
  <c r="L134" i="1" s="1"/>
  <c r="D64" i="1" l="1"/>
  <c r="J77" i="1"/>
  <c r="K77" i="1" s="1"/>
  <c r="H135" i="1"/>
  <c r="L135" i="1" s="1"/>
  <c r="E64" i="1" l="1"/>
  <c r="C64" i="1" s="1"/>
  <c r="F64" i="1" s="1"/>
  <c r="H136" i="1"/>
  <c r="L136" i="1" s="1"/>
  <c r="D65" i="1" l="1"/>
  <c r="J78" i="1"/>
  <c r="K78" i="1" s="1"/>
  <c r="H137" i="1"/>
  <c r="L137" i="1" s="1"/>
  <c r="E65" i="1" l="1"/>
  <c r="H138" i="1"/>
  <c r="L138" i="1" s="1"/>
  <c r="C65" i="1" l="1"/>
  <c r="F65" i="1" s="1"/>
  <c r="J79" i="1"/>
  <c r="K79" i="1" s="1"/>
  <c r="H139" i="1"/>
  <c r="L139" i="1" s="1"/>
  <c r="D66" i="1" l="1"/>
  <c r="H140" i="1"/>
  <c r="L140" i="1" s="1"/>
  <c r="E66" i="1" l="1"/>
  <c r="C66" i="1" s="1"/>
  <c r="F66" i="1" s="1"/>
  <c r="J80" i="1"/>
  <c r="K80" i="1" s="1"/>
  <c r="H141" i="1"/>
  <c r="L141" i="1" s="1"/>
  <c r="D67" i="1" l="1"/>
  <c r="H142" i="1"/>
  <c r="L142" i="1" s="1"/>
  <c r="E67" i="1" l="1"/>
  <c r="C67" i="1" s="1"/>
  <c r="F67" i="1" s="1"/>
  <c r="J81" i="1"/>
  <c r="K81" i="1" s="1"/>
  <c r="H143" i="1"/>
  <c r="L143" i="1" s="1"/>
  <c r="D68" i="1" l="1"/>
  <c r="H144" i="1"/>
  <c r="L144" i="1" s="1"/>
  <c r="E68" i="1" l="1"/>
  <c r="C68" i="1" s="1"/>
  <c r="F68" i="1" s="1"/>
  <c r="J82" i="1"/>
  <c r="K82" i="1" s="1"/>
  <c r="H145" i="1"/>
  <c r="L145" i="1" s="1"/>
  <c r="D69" i="1" l="1"/>
  <c r="H146" i="1"/>
  <c r="L146" i="1" s="1"/>
  <c r="E69" i="1" l="1"/>
  <c r="C69" i="1" s="1"/>
  <c r="F69" i="1" s="1"/>
  <c r="J83" i="1"/>
  <c r="K83" i="1" s="1"/>
  <c r="H147" i="1"/>
  <c r="L147" i="1" s="1"/>
  <c r="D70" i="1" l="1"/>
  <c r="H148" i="1"/>
  <c r="L148" i="1" s="1"/>
  <c r="E70" i="1" l="1"/>
  <c r="C70" i="1" s="1"/>
  <c r="F70" i="1" s="1"/>
  <c r="J84" i="1"/>
  <c r="K84" i="1" s="1"/>
  <c r="H149" i="1"/>
  <c r="L149" i="1" s="1"/>
  <c r="D71" i="1" l="1"/>
  <c r="H150" i="1"/>
  <c r="L150" i="1" s="1"/>
  <c r="E71" i="1" l="1"/>
  <c r="J85" i="1"/>
  <c r="K85" i="1" s="1"/>
  <c r="H151" i="1"/>
  <c r="L151" i="1" s="1"/>
  <c r="C71" i="1" l="1"/>
  <c r="F71" i="1" s="1"/>
  <c r="H152" i="1"/>
  <c r="L152" i="1" s="1"/>
  <c r="J86" i="1" l="1"/>
  <c r="K86" i="1" s="1"/>
  <c r="H153" i="1"/>
  <c r="L153" i="1" s="1"/>
  <c r="E72" i="1" l="1"/>
  <c r="D72" i="1"/>
  <c r="H154" i="1"/>
  <c r="L154" i="1" s="1"/>
  <c r="C72" i="1" l="1"/>
  <c r="F72" i="1" s="1"/>
  <c r="D73" i="1" s="1"/>
  <c r="J87" i="1"/>
  <c r="K87" i="1" s="1"/>
  <c r="H155" i="1"/>
  <c r="L155" i="1" s="1"/>
  <c r="E73" i="1" l="1"/>
  <c r="H156" i="1"/>
  <c r="L156" i="1" s="1"/>
  <c r="C73" i="1" l="1"/>
  <c r="F73" i="1" s="1"/>
  <c r="J88" i="1"/>
  <c r="K88" i="1" s="1"/>
  <c r="H157" i="1"/>
  <c r="L157" i="1" s="1"/>
  <c r="D74" i="1" l="1"/>
  <c r="H158" i="1"/>
  <c r="L158" i="1" s="1"/>
  <c r="E74" i="1" l="1"/>
  <c r="C74" i="1" s="1"/>
  <c r="F74" i="1" s="1"/>
  <c r="J89" i="1"/>
  <c r="K89" i="1" s="1"/>
  <c r="H159" i="1"/>
  <c r="L159" i="1" s="1"/>
  <c r="D75" i="1" l="1"/>
  <c r="J90" i="1"/>
  <c r="K90" i="1" s="1"/>
  <c r="H160" i="1"/>
  <c r="L160" i="1" s="1"/>
  <c r="E75" i="1" l="1"/>
  <c r="J91" i="1"/>
  <c r="K91" i="1" s="1"/>
  <c r="H161" i="1"/>
  <c r="L161" i="1" s="1"/>
  <c r="C75" i="1" l="1"/>
  <c r="F75" i="1" s="1"/>
  <c r="H162" i="1"/>
  <c r="L162" i="1" s="1"/>
  <c r="D76" i="1" l="1"/>
  <c r="J92" i="1"/>
  <c r="K92" i="1" s="1"/>
  <c r="H163" i="1"/>
  <c r="L163" i="1" s="1"/>
  <c r="E76" i="1" l="1"/>
  <c r="H164" i="1"/>
  <c r="L164" i="1" s="1"/>
  <c r="C76" i="1" l="1"/>
  <c r="F76" i="1" s="1"/>
  <c r="J93" i="1"/>
  <c r="K93" i="1" s="1"/>
  <c r="H165" i="1"/>
  <c r="L165" i="1" s="1"/>
  <c r="D77" i="1" l="1"/>
  <c r="H166" i="1"/>
  <c r="L166" i="1" s="1"/>
  <c r="E77" i="1" l="1"/>
  <c r="C77" i="1" s="1"/>
  <c r="F77" i="1" s="1"/>
  <c r="J94" i="1"/>
  <c r="K94" i="1" s="1"/>
  <c r="H167" i="1"/>
  <c r="L167" i="1" s="1"/>
  <c r="D78" i="1" l="1"/>
  <c r="H168" i="1"/>
  <c r="L168" i="1" s="1"/>
  <c r="E78" i="1" l="1"/>
  <c r="C78" i="1" s="1"/>
  <c r="F78" i="1" s="1"/>
  <c r="J95" i="1"/>
  <c r="K95" i="1" s="1"/>
  <c r="H169" i="1"/>
  <c r="L169" i="1" s="1"/>
  <c r="D79" i="1" l="1"/>
  <c r="H170" i="1"/>
  <c r="L170" i="1" s="1"/>
  <c r="E79" i="1" l="1"/>
  <c r="J96" i="1"/>
  <c r="K96" i="1" s="1"/>
  <c r="H171" i="1"/>
  <c r="L171" i="1" s="1"/>
  <c r="C79" i="1" l="1"/>
  <c r="F79" i="1" s="1"/>
  <c r="H172" i="1"/>
  <c r="L172" i="1" s="1"/>
  <c r="D80" i="1" l="1"/>
  <c r="J97" i="1"/>
  <c r="K97" i="1" s="1"/>
  <c r="H173" i="1"/>
  <c r="L173" i="1" s="1"/>
  <c r="E80" i="1" l="1"/>
  <c r="H174" i="1"/>
  <c r="L174" i="1" s="1"/>
  <c r="C80" i="1" l="1"/>
  <c r="F80" i="1" s="1"/>
  <c r="J98" i="1"/>
  <c r="K98" i="1" s="1"/>
  <c r="H175" i="1"/>
  <c r="L175" i="1" s="1"/>
  <c r="D81" i="1" l="1"/>
  <c r="H176" i="1"/>
  <c r="L176" i="1" s="1"/>
  <c r="E81" i="1" l="1"/>
  <c r="C81" i="1" s="1"/>
  <c r="F81" i="1" s="1"/>
  <c r="J99" i="1"/>
  <c r="K99" i="1" s="1"/>
  <c r="H177" i="1"/>
  <c r="L177" i="1" s="1"/>
  <c r="D82" i="1" l="1"/>
  <c r="H178" i="1"/>
  <c r="L178" i="1" s="1"/>
  <c r="E82" i="1" l="1"/>
  <c r="C82" i="1" s="1"/>
  <c r="F82" i="1" s="1"/>
  <c r="J100" i="1"/>
  <c r="K100" i="1" s="1"/>
  <c r="H179" i="1"/>
  <c r="L179" i="1" s="1"/>
  <c r="H180" i="1" l="1"/>
  <c r="L180" i="1" s="1"/>
  <c r="E83" i="1" l="1"/>
  <c r="D83" i="1"/>
  <c r="J101" i="1"/>
  <c r="K101" i="1" s="1"/>
  <c r="H181" i="1"/>
  <c r="L181" i="1" s="1"/>
  <c r="C83" i="1" l="1"/>
  <c r="F83" i="1" s="1"/>
  <c r="E84" i="1" s="1"/>
  <c r="H182" i="1"/>
  <c r="L182" i="1" s="1"/>
  <c r="D84" i="1" l="1"/>
  <c r="C84" i="1" s="1"/>
  <c r="F84" i="1" s="1"/>
  <c r="J102" i="1"/>
  <c r="K102" i="1" s="1"/>
  <c r="H183" i="1"/>
  <c r="L183" i="1" s="1"/>
  <c r="D85" i="1" l="1"/>
  <c r="J103" i="1"/>
  <c r="K103" i="1" s="1"/>
  <c r="H184" i="1"/>
  <c r="L184" i="1" s="1"/>
  <c r="E85" i="1" l="1"/>
  <c r="C85" i="1" s="1"/>
  <c r="F85" i="1" s="1"/>
  <c r="H185" i="1"/>
  <c r="L185" i="1" s="1"/>
  <c r="D86" i="1" l="1"/>
  <c r="J104" i="1"/>
  <c r="K104" i="1" s="1"/>
  <c r="H186" i="1"/>
  <c r="L186" i="1" s="1"/>
  <c r="E86" i="1" l="1"/>
  <c r="H187" i="1"/>
  <c r="L187" i="1" s="1"/>
  <c r="C86" i="1" l="1"/>
  <c r="J105" i="1"/>
  <c r="K105" i="1" s="1"/>
  <c r="H188" i="1"/>
  <c r="L188" i="1" s="1"/>
  <c r="F86" i="1" l="1"/>
  <c r="E87" i="1"/>
  <c r="H189" i="1"/>
  <c r="L189" i="1" s="1"/>
  <c r="D87" i="1" l="1"/>
  <c r="C87" i="1" s="1"/>
  <c r="F87" i="1" s="1"/>
  <c r="J106" i="1"/>
  <c r="K106" i="1" s="1"/>
  <c r="H190" i="1"/>
  <c r="L190" i="1" s="1"/>
  <c r="D88" i="1" l="1"/>
  <c r="E88" i="1"/>
  <c r="C88" i="1" s="1"/>
  <c r="F88" i="1" s="1"/>
  <c r="H191" i="1"/>
  <c r="L191" i="1" s="1"/>
  <c r="D89" i="1" l="1"/>
  <c r="J107" i="1"/>
  <c r="K107" i="1" s="1"/>
  <c r="H192" i="1"/>
  <c r="L192" i="1" s="1"/>
  <c r="E89" i="1" l="1"/>
  <c r="C89" i="1" s="1"/>
  <c r="F89" i="1" s="1"/>
  <c r="H193" i="1"/>
  <c r="L193" i="1" s="1"/>
  <c r="D90" i="1" l="1"/>
  <c r="J108" i="1"/>
  <c r="K108" i="1" s="1"/>
  <c r="H194" i="1"/>
  <c r="L194" i="1" s="1"/>
  <c r="E90" i="1" l="1"/>
  <c r="C90" i="1" s="1"/>
  <c r="F90" i="1" s="1"/>
  <c r="H195" i="1"/>
  <c r="L195" i="1" s="1"/>
  <c r="D91" i="1" l="1"/>
  <c r="J109" i="1"/>
  <c r="K109" i="1" s="1"/>
  <c r="H196" i="1"/>
  <c r="L196" i="1" s="1"/>
  <c r="E91" i="1" l="1"/>
  <c r="C91" i="1" s="1"/>
  <c r="F91" i="1" s="1"/>
  <c r="H197" i="1"/>
  <c r="L197" i="1" s="1"/>
  <c r="J110" i="1" l="1"/>
  <c r="K110" i="1" s="1"/>
  <c r="H198" i="1"/>
  <c r="L198" i="1" s="1"/>
  <c r="D92" i="1" l="1"/>
  <c r="H199" i="1"/>
  <c r="L199" i="1" s="1"/>
  <c r="E92" i="1" l="1"/>
  <c r="C92" i="1" s="1"/>
  <c r="F92" i="1" s="1"/>
  <c r="J111" i="1"/>
  <c r="K111" i="1" s="1"/>
  <c r="H200" i="1"/>
  <c r="L200" i="1" s="1"/>
  <c r="D93" i="1" l="1"/>
  <c r="H201" i="1"/>
  <c r="L201" i="1" s="1"/>
  <c r="E93" i="1" l="1"/>
  <c r="C93" i="1" s="1"/>
  <c r="F93" i="1" s="1"/>
  <c r="J112" i="1"/>
  <c r="K112" i="1" s="1"/>
  <c r="H202" i="1"/>
  <c r="L202" i="1" s="1"/>
  <c r="D94" i="1" l="1"/>
  <c r="H203" i="1"/>
  <c r="L203" i="1" s="1"/>
  <c r="E94" i="1" l="1"/>
  <c r="J113" i="1"/>
  <c r="K113" i="1" s="1"/>
  <c r="H204" i="1"/>
  <c r="L204" i="1" s="1"/>
  <c r="C94" i="1" l="1"/>
  <c r="F94" i="1" s="1"/>
  <c r="H205" i="1"/>
  <c r="L205" i="1" s="1"/>
  <c r="D95" i="1" l="1"/>
  <c r="J114" i="1"/>
  <c r="K114" i="1" s="1"/>
  <c r="H206" i="1"/>
  <c r="L206" i="1" s="1"/>
  <c r="E95" i="1" l="1"/>
  <c r="C95" i="1" s="1"/>
  <c r="F95" i="1" s="1"/>
  <c r="H207" i="1"/>
  <c r="L207" i="1" s="1"/>
  <c r="D96" i="1" l="1"/>
  <c r="J115" i="1"/>
  <c r="K115" i="1" s="1"/>
  <c r="H208" i="1"/>
  <c r="L208" i="1" s="1"/>
  <c r="E96" i="1" l="1"/>
  <c r="C96" i="1" s="1"/>
  <c r="F96" i="1" s="1"/>
  <c r="H209" i="1"/>
  <c r="L209" i="1" s="1"/>
  <c r="D97" i="1" l="1"/>
  <c r="J116" i="1"/>
  <c r="K116" i="1" s="1"/>
  <c r="H210" i="1"/>
  <c r="L210" i="1" s="1"/>
  <c r="E97" i="1" l="1"/>
  <c r="C97" i="1" s="1"/>
  <c r="F97" i="1" s="1"/>
  <c r="H211" i="1"/>
  <c r="L211" i="1" s="1"/>
  <c r="D98" i="1" l="1"/>
  <c r="J117" i="1"/>
  <c r="K117" i="1" s="1"/>
  <c r="H212" i="1"/>
  <c r="L212" i="1" s="1"/>
  <c r="E98" i="1" l="1"/>
  <c r="H213" i="1"/>
  <c r="L213" i="1" s="1"/>
  <c r="C98" i="1" l="1"/>
  <c r="F98" i="1" s="1"/>
  <c r="J118" i="1"/>
  <c r="K118" i="1" s="1"/>
  <c r="H214" i="1"/>
  <c r="L214" i="1" s="1"/>
  <c r="D99" i="1" l="1"/>
  <c r="H215" i="1"/>
  <c r="L215" i="1" s="1"/>
  <c r="E99" i="1" l="1"/>
  <c r="C99" i="1" s="1"/>
  <c r="F99" i="1" s="1"/>
  <c r="J119" i="1"/>
  <c r="K119" i="1" s="1"/>
  <c r="H216" i="1"/>
  <c r="L216" i="1" s="1"/>
  <c r="D100" i="1" l="1"/>
  <c r="H217" i="1"/>
  <c r="L217" i="1" s="1"/>
  <c r="E100" i="1" l="1"/>
  <c r="C100" i="1" s="1"/>
  <c r="F100" i="1" s="1"/>
  <c r="J120" i="1"/>
  <c r="K120" i="1" s="1"/>
  <c r="H218" i="1"/>
  <c r="L218" i="1" s="1"/>
  <c r="D101" i="1" l="1"/>
  <c r="H219" i="1"/>
  <c r="L219" i="1" s="1"/>
  <c r="E101" i="1" l="1"/>
  <c r="C101" i="1" s="1"/>
  <c r="F101" i="1" s="1"/>
  <c r="J121" i="1"/>
  <c r="K121" i="1" s="1"/>
  <c r="H220" i="1"/>
  <c r="L220" i="1" s="1"/>
  <c r="D102" i="1" l="1"/>
  <c r="H221" i="1"/>
  <c r="L221" i="1" s="1"/>
  <c r="E102" i="1" l="1"/>
  <c r="C102" i="1" s="1"/>
  <c r="F102" i="1" s="1"/>
  <c r="J122" i="1"/>
  <c r="K122" i="1" s="1"/>
  <c r="H222" i="1"/>
  <c r="L222" i="1" s="1"/>
  <c r="D103" i="1" l="1"/>
  <c r="H223" i="1"/>
  <c r="L223" i="1" s="1"/>
  <c r="E103" i="1" l="1"/>
  <c r="C103" i="1" s="1"/>
  <c r="F103" i="1" s="1"/>
  <c r="J123" i="1"/>
  <c r="K123" i="1" s="1"/>
  <c r="H224" i="1"/>
  <c r="L224" i="1" s="1"/>
  <c r="D104" i="1" l="1"/>
  <c r="H225" i="1"/>
  <c r="L225" i="1" s="1"/>
  <c r="E104" i="1" l="1"/>
  <c r="C104" i="1" s="1"/>
  <c r="F104" i="1" s="1"/>
  <c r="J124" i="1"/>
  <c r="K124" i="1" s="1"/>
  <c r="H226" i="1"/>
  <c r="L226" i="1" s="1"/>
  <c r="D105" i="1" l="1"/>
  <c r="H227" i="1"/>
  <c r="L227" i="1" s="1"/>
  <c r="E105" i="1" l="1"/>
  <c r="C105" i="1" s="1"/>
  <c r="F105" i="1" s="1"/>
  <c r="J125" i="1"/>
  <c r="K125" i="1" s="1"/>
  <c r="H228" i="1"/>
  <c r="L228" i="1" s="1"/>
  <c r="D106" i="1" l="1"/>
  <c r="H229" i="1"/>
  <c r="L229" i="1" s="1"/>
  <c r="E106" i="1" l="1"/>
  <c r="C106" i="1" s="1"/>
  <c r="F106" i="1" s="1"/>
  <c r="J126" i="1"/>
  <c r="K126" i="1" s="1"/>
  <c r="H230" i="1"/>
  <c r="L230" i="1" s="1"/>
  <c r="D107" i="1" l="1"/>
  <c r="H231" i="1"/>
  <c r="L231" i="1" s="1"/>
  <c r="E107" i="1" l="1"/>
  <c r="C107" i="1" s="1"/>
  <c r="F107" i="1" s="1"/>
  <c r="J127" i="1"/>
  <c r="K127" i="1" s="1"/>
  <c r="H232" i="1"/>
  <c r="L232" i="1" s="1"/>
  <c r="D108" i="1" l="1"/>
  <c r="H233" i="1"/>
  <c r="L233" i="1" s="1"/>
  <c r="E108" i="1" l="1"/>
  <c r="C108" i="1" s="1"/>
  <c r="F108" i="1" s="1"/>
  <c r="J128" i="1"/>
  <c r="K128" i="1" s="1"/>
  <c r="H234" i="1"/>
  <c r="L234" i="1" s="1"/>
  <c r="D109" i="1" l="1"/>
  <c r="H235" i="1"/>
  <c r="L235" i="1" s="1"/>
  <c r="E109" i="1" l="1"/>
  <c r="C109" i="1" s="1"/>
  <c r="F109" i="1" s="1"/>
  <c r="J129" i="1"/>
  <c r="K129" i="1" s="1"/>
  <c r="H236" i="1"/>
  <c r="L236" i="1" s="1"/>
  <c r="D110" i="1" l="1"/>
  <c r="H237" i="1"/>
  <c r="L237" i="1" s="1"/>
  <c r="E110" i="1" l="1"/>
  <c r="C110" i="1" s="1"/>
  <c r="F110" i="1" s="1"/>
  <c r="J130" i="1"/>
  <c r="K130" i="1" s="1"/>
  <c r="H238" i="1"/>
  <c r="L238" i="1" s="1"/>
  <c r="D111" i="1" l="1"/>
  <c r="H239" i="1"/>
  <c r="L239" i="1" s="1"/>
  <c r="E111" i="1" l="1"/>
  <c r="J131" i="1"/>
  <c r="K131" i="1" s="1"/>
  <c r="H240" i="1"/>
  <c r="L240" i="1" s="1"/>
  <c r="C111" i="1" l="1"/>
  <c r="H241" i="1"/>
  <c r="L241" i="1" s="1"/>
  <c r="F111" i="1" l="1"/>
  <c r="E112" i="1"/>
  <c r="J132" i="1"/>
  <c r="K132" i="1" s="1"/>
  <c r="H242" i="1"/>
  <c r="L242" i="1" s="1"/>
  <c r="D112" i="1" l="1"/>
  <c r="C112" i="1" s="1"/>
  <c r="H243" i="1"/>
  <c r="L243" i="1" s="1"/>
  <c r="F112" i="1" l="1"/>
  <c r="J133" i="1"/>
  <c r="K133" i="1" s="1"/>
  <c r="H244" i="1"/>
  <c r="L244" i="1" s="1"/>
  <c r="E113" i="1" l="1"/>
  <c r="D113" i="1"/>
  <c r="J134" i="1"/>
  <c r="K134" i="1" s="1"/>
  <c r="H245" i="1"/>
  <c r="L245" i="1" s="1"/>
  <c r="C113" i="1" l="1"/>
  <c r="F113" i="1" s="1"/>
  <c r="H246" i="1"/>
  <c r="L246" i="1" s="1"/>
  <c r="D114" i="1" l="1"/>
  <c r="E114" i="1"/>
  <c r="J135" i="1"/>
  <c r="K135" i="1" s="1"/>
  <c r="H247" i="1"/>
  <c r="L247" i="1" s="1"/>
  <c r="C114" i="1" l="1"/>
  <c r="F114" i="1" s="1"/>
  <c r="D115" i="1"/>
  <c r="E115" i="1"/>
  <c r="C115" i="1" s="1"/>
  <c r="F115" i="1" s="1"/>
  <c r="H248" i="1"/>
  <c r="L248" i="1" s="1"/>
  <c r="D116" i="1" l="1"/>
  <c r="E116" i="1"/>
  <c r="C116" i="1" s="1"/>
  <c r="F116" i="1" s="1"/>
  <c r="J136" i="1"/>
  <c r="K136" i="1" s="1"/>
  <c r="H249" i="1"/>
  <c r="L249" i="1" s="1"/>
  <c r="D117" i="1" l="1"/>
  <c r="H250" i="1"/>
  <c r="L250" i="1" s="1"/>
  <c r="E117" i="1" l="1"/>
  <c r="J137" i="1"/>
  <c r="K137" i="1" s="1"/>
  <c r="H251" i="1"/>
  <c r="L251" i="1" s="1"/>
  <c r="C117" i="1" l="1"/>
  <c r="F117" i="1" s="1"/>
  <c r="H252" i="1"/>
  <c r="L252" i="1" s="1"/>
  <c r="D118" i="1" l="1"/>
  <c r="J138" i="1"/>
  <c r="K138" i="1" s="1"/>
  <c r="H253" i="1"/>
  <c r="L253" i="1" s="1"/>
  <c r="E118" i="1" l="1"/>
  <c r="H254" i="1"/>
  <c r="L254" i="1" s="1"/>
  <c r="C118" i="1" l="1"/>
  <c r="F118" i="1" s="1"/>
  <c r="D119" i="1" s="1"/>
  <c r="J139" i="1"/>
  <c r="K139" i="1" s="1"/>
  <c r="H255" i="1"/>
  <c r="L255" i="1" s="1"/>
  <c r="E119" i="1" l="1"/>
  <c r="C119" i="1" s="1"/>
  <c r="F119" i="1" s="1"/>
  <c r="H256" i="1"/>
  <c r="L256" i="1" s="1"/>
  <c r="D120" i="1" l="1"/>
  <c r="J140" i="1"/>
  <c r="K140" i="1" s="1"/>
  <c r="H257" i="1"/>
  <c r="L257" i="1" s="1"/>
  <c r="E120" i="1" l="1"/>
  <c r="H258" i="1"/>
  <c r="L258" i="1" s="1"/>
  <c r="C120" i="1" l="1"/>
  <c r="F120" i="1" s="1"/>
  <c r="J141" i="1"/>
  <c r="K141" i="1" s="1"/>
  <c r="H259" i="1"/>
  <c r="L259" i="1" s="1"/>
  <c r="D121" i="1" l="1"/>
  <c r="H260" i="1"/>
  <c r="L260" i="1" s="1"/>
  <c r="E121" i="1" l="1"/>
  <c r="C121" i="1" s="1"/>
  <c r="F121" i="1" s="1"/>
  <c r="J142" i="1"/>
  <c r="K142" i="1" s="1"/>
  <c r="H261" i="1"/>
  <c r="L261" i="1" s="1"/>
  <c r="D122" i="1" l="1"/>
  <c r="H262" i="1"/>
  <c r="L262" i="1" s="1"/>
  <c r="E122" i="1" l="1"/>
  <c r="J143" i="1"/>
  <c r="K143" i="1" s="1"/>
  <c r="H263" i="1"/>
  <c r="L263" i="1" s="1"/>
  <c r="C122" i="1" l="1"/>
  <c r="F122" i="1" s="1"/>
  <c r="H264" i="1"/>
  <c r="L264" i="1" s="1"/>
  <c r="D123" i="1" l="1"/>
  <c r="J144" i="1"/>
  <c r="K144" i="1" s="1"/>
  <c r="H265" i="1"/>
  <c r="L265" i="1" s="1"/>
  <c r="E123" i="1" l="1"/>
  <c r="C123" i="1" s="1"/>
  <c r="F123" i="1" s="1"/>
  <c r="H266" i="1"/>
  <c r="L266" i="1" s="1"/>
  <c r="D124" i="1" l="1"/>
  <c r="J145" i="1"/>
  <c r="K145" i="1" s="1"/>
  <c r="H267" i="1"/>
  <c r="L267" i="1" s="1"/>
  <c r="E124" i="1" l="1"/>
  <c r="H268" i="1"/>
  <c r="L268" i="1" s="1"/>
  <c r="C124" i="1" l="1"/>
  <c r="F124" i="1" s="1"/>
  <c r="J146" i="1"/>
  <c r="K146" i="1" s="1"/>
  <c r="H269" i="1"/>
  <c r="L269" i="1" s="1"/>
  <c r="D125" i="1" l="1"/>
  <c r="H270" i="1"/>
  <c r="L270" i="1" s="1"/>
  <c r="E125" i="1" l="1"/>
  <c r="C125" i="1" s="1"/>
  <c r="F125" i="1" s="1"/>
  <c r="J147" i="1"/>
  <c r="K147" i="1" s="1"/>
  <c r="H271" i="1"/>
  <c r="L271" i="1" s="1"/>
  <c r="D126" i="1" l="1"/>
  <c r="H272" i="1"/>
  <c r="L272" i="1" s="1"/>
  <c r="E126" i="1" l="1"/>
  <c r="C126" i="1" s="1"/>
  <c r="F126" i="1" s="1"/>
  <c r="J148" i="1"/>
  <c r="K148" i="1" s="1"/>
  <c r="H273" i="1"/>
  <c r="L273" i="1" s="1"/>
  <c r="D127" i="1" l="1"/>
  <c r="H274" i="1"/>
  <c r="L274" i="1" s="1"/>
  <c r="E127" i="1" l="1"/>
  <c r="C127" i="1" s="1"/>
  <c r="F127" i="1" s="1"/>
  <c r="J149" i="1"/>
  <c r="K149" i="1" s="1"/>
  <c r="H275" i="1"/>
  <c r="L275" i="1" s="1"/>
  <c r="D128" i="1" l="1"/>
  <c r="H276" i="1"/>
  <c r="L276" i="1" s="1"/>
  <c r="E128" i="1" l="1"/>
  <c r="C128" i="1" s="1"/>
  <c r="F128" i="1" s="1"/>
  <c r="J150" i="1"/>
  <c r="K150" i="1" s="1"/>
  <c r="H277" i="1"/>
  <c r="L277" i="1" s="1"/>
  <c r="D129" i="1" l="1"/>
  <c r="J151" i="1"/>
  <c r="K151" i="1" s="1"/>
  <c r="H278" i="1"/>
  <c r="L278" i="1" s="1"/>
  <c r="E129" i="1" l="1"/>
  <c r="J152" i="1"/>
  <c r="K152" i="1" s="1"/>
  <c r="H279" i="1"/>
  <c r="L279" i="1" s="1"/>
  <c r="C129" i="1" l="1"/>
  <c r="F129" i="1" s="1"/>
  <c r="H280" i="1"/>
  <c r="L280" i="1" s="1"/>
  <c r="D130" i="1" l="1"/>
  <c r="J153" i="1"/>
  <c r="K153" i="1" s="1"/>
  <c r="H281" i="1"/>
  <c r="L281" i="1" s="1"/>
  <c r="E130" i="1" l="1"/>
  <c r="H282" i="1"/>
  <c r="L282" i="1" s="1"/>
  <c r="C130" i="1" l="1"/>
  <c r="F130" i="1" s="1"/>
  <c r="J154" i="1"/>
  <c r="K154" i="1" s="1"/>
  <c r="H283" i="1"/>
  <c r="L283" i="1" s="1"/>
  <c r="D131" i="1" l="1"/>
  <c r="H284" i="1"/>
  <c r="L284" i="1" s="1"/>
  <c r="E131" i="1" l="1"/>
  <c r="C131" i="1" s="1"/>
  <c r="F131" i="1" s="1"/>
  <c r="D132" i="1" s="1"/>
  <c r="J155" i="1"/>
  <c r="K155" i="1" s="1"/>
  <c r="H285" i="1"/>
  <c r="L285" i="1" s="1"/>
  <c r="E132" i="1" l="1"/>
  <c r="C132" i="1" s="1"/>
  <c r="F132" i="1" s="1"/>
  <c r="H286" i="1"/>
  <c r="L286" i="1" s="1"/>
  <c r="D133" i="1" l="1"/>
  <c r="J156" i="1"/>
  <c r="K156" i="1" s="1"/>
  <c r="H287" i="1"/>
  <c r="L287" i="1" s="1"/>
  <c r="E133" i="1" l="1"/>
  <c r="H288" i="1"/>
  <c r="L288" i="1" s="1"/>
  <c r="C133" i="1" l="1"/>
  <c r="F133" i="1" s="1"/>
  <c r="J157" i="1"/>
  <c r="K157" i="1" s="1"/>
  <c r="H289" i="1"/>
  <c r="L289" i="1" s="1"/>
  <c r="D134" i="1" l="1"/>
  <c r="H290" i="1"/>
  <c r="L290" i="1" s="1"/>
  <c r="E134" i="1" l="1"/>
  <c r="C134" i="1" s="1"/>
  <c r="F134" i="1" s="1"/>
  <c r="J158" i="1"/>
  <c r="K158" i="1" s="1"/>
  <c r="H291" i="1"/>
  <c r="L291" i="1" s="1"/>
  <c r="D135" i="1" l="1"/>
  <c r="H292" i="1"/>
  <c r="L292" i="1" s="1"/>
  <c r="E135" i="1" l="1"/>
  <c r="C135" i="1" s="1"/>
  <c r="F135" i="1" s="1"/>
  <c r="J159" i="1"/>
  <c r="K159" i="1" s="1"/>
  <c r="H293" i="1"/>
  <c r="L293" i="1" s="1"/>
  <c r="D136" i="1" l="1"/>
  <c r="H294" i="1"/>
  <c r="L294" i="1" s="1"/>
  <c r="E136" i="1" l="1"/>
  <c r="C136" i="1" s="1"/>
  <c r="F136" i="1" s="1"/>
  <c r="J160" i="1"/>
  <c r="K160" i="1" s="1"/>
  <c r="H295" i="1"/>
  <c r="L295" i="1" s="1"/>
  <c r="D137" i="1" l="1"/>
  <c r="H296" i="1"/>
  <c r="L296" i="1" s="1"/>
  <c r="E137" i="1" l="1"/>
  <c r="C137" i="1" s="1"/>
  <c r="F137" i="1" s="1"/>
  <c r="J161" i="1"/>
  <c r="K161" i="1" s="1"/>
  <c r="H297" i="1"/>
  <c r="L297" i="1" s="1"/>
  <c r="D138" i="1" l="1"/>
  <c r="H298" i="1"/>
  <c r="L298" i="1" s="1"/>
  <c r="E138" i="1" l="1"/>
  <c r="C138" i="1" s="1"/>
  <c r="F138" i="1" s="1"/>
  <c r="J162" i="1"/>
  <c r="K162" i="1" s="1"/>
  <c r="H299" i="1"/>
  <c r="L299" i="1" s="1"/>
  <c r="D139" i="1" l="1"/>
  <c r="H300" i="1"/>
  <c r="L300" i="1" s="1"/>
  <c r="E139" i="1" l="1"/>
  <c r="C139" i="1" s="1"/>
  <c r="F139" i="1" s="1"/>
  <c r="J163" i="1"/>
  <c r="K163" i="1" s="1"/>
  <c r="H301" i="1"/>
  <c r="L301" i="1" s="1"/>
  <c r="D140" i="1" l="1"/>
  <c r="H302" i="1"/>
  <c r="L302" i="1" s="1"/>
  <c r="E140" i="1" l="1"/>
  <c r="J164" i="1"/>
  <c r="K164" i="1" s="1"/>
  <c r="H303" i="1"/>
  <c r="L303" i="1" s="1"/>
  <c r="C140" i="1" l="1"/>
  <c r="F140" i="1" s="1"/>
  <c r="H304" i="1"/>
  <c r="L304" i="1" s="1"/>
  <c r="D141" i="1" l="1"/>
  <c r="J165" i="1"/>
  <c r="K165" i="1" s="1"/>
  <c r="H305" i="1"/>
  <c r="L305" i="1" s="1"/>
  <c r="E141" i="1" l="1"/>
  <c r="H306" i="1"/>
  <c r="L306" i="1" s="1"/>
  <c r="C141" i="1" l="1"/>
  <c r="F141" i="1" s="1"/>
  <c r="J166" i="1"/>
  <c r="K166" i="1" s="1"/>
  <c r="H307" i="1"/>
  <c r="L307" i="1" s="1"/>
  <c r="D142" i="1" l="1"/>
  <c r="H308" i="1"/>
  <c r="L308" i="1" s="1"/>
  <c r="E142" i="1" l="1"/>
  <c r="J167" i="1"/>
  <c r="K167" i="1" s="1"/>
  <c r="H309" i="1"/>
  <c r="L309" i="1" s="1"/>
  <c r="C142" i="1" l="1"/>
  <c r="F142" i="1" s="1"/>
  <c r="H310" i="1"/>
  <c r="L310" i="1" s="1"/>
  <c r="D143" i="1" l="1"/>
  <c r="J168" i="1"/>
  <c r="K168" i="1" s="1"/>
  <c r="H311" i="1"/>
  <c r="L311" i="1" s="1"/>
  <c r="E143" i="1" l="1"/>
  <c r="H312" i="1"/>
  <c r="L312" i="1" s="1"/>
  <c r="C143" i="1" l="1"/>
  <c r="F143" i="1" s="1"/>
  <c r="J169" i="1"/>
  <c r="K169" i="1" s="1"/>
  <c r="H313" i="1"/>
  <c r="L313" i="1" s="1"/>
  <c r="D144" i="1" l="1"/>
  <c r="H314" i="1"/>
  <c r="L314" i="1" s="1"/>
  <c r="E144" i="1" l="1"/>
  <c r="C144" i="1" s="1"/>
  <c r="F144" i="1" s="1"/>
  <c r="J170" i="1"/>
  <c r="K170" i="1" s="1"/>
  <c r="H315" i="1"/>
  <c r="L315" i="1" s="1"/>
  <c r="D145" i="1" l="1"/>
  <c r="H316" i="1"/>
  <c r="L316" i="1" s="1"/>
  <c r="E145" i="1" l="1"/>
  <c r="C145" i="1" s="1"/>
  <c r="F145" i="1" s="1"/>
  <c r="J171" i="1"/>
  <c r="K171" i="1" s="1"/>
  <c r="H317" i="1"/>
  <c r="L317" i="1" s="1"/>
  <c r="D146" i="1" l="1"/>
  <c r="H318" i="1"/>
  <c r="L318" i="1" s="1"/>
  <c r="E146" i="1" l="1"/>
  <c r="J172" i="1"/>
  <c r="K172" i="1" s="1"/>
  <c r="H319" i="1"/>
  <c r="L319" i="1" s="1"/>
  <c r="C146" i="1" l="1"/>
  <c r="F146" i="1" s="1"/>
  <c r="H320" i="1"/>
  <c r="L320" i="1" s="1"/>
  <c r="D147" i="1" l="1"/>
  <c r="J173" i="1"/>
  <c r="K173" i="1" s="1"/>
  <c r="H321" i="1"/>
  <c r="L321" i="1" s="1"/>
  <c r="E147" i="1" l="1"/>
  <c r="C147" i="1" s="1"/>
  <c r="F147" i="1" s="1"/>
  <c r="H322" i="1"/>
  <c r="L322" i="1" s="1"/>
  <c r="D148" i="1" l="1"/>
  <c r="J174" i="1"/>
  <c r="K174" i="1" s="1"/>
  <c r="H323" i="1"/>
  <c r="L323" i="1" s="1"/>
  <c r="E148" i="1" l="1"/>
  <c r="C148" i="1" s="1"/>
  <c r="F148" i="1" s="1"/>
  <c r="H324" i="1"/>
  <c r="L324" i="1" s="1"/>
  <c r="D149" i="1" l="1"/>
  <c r="J175" i="1"/>
  <c r="K175" i="1" s="1"/>
  <c r="H325" i="1"/>
  <c r="L325" i="1" s="1"/>
  <c r="E149" i="1" l="1"/>
  <c r="C149" i="1" s="1"/>
  <c r="F149" i="1" s="1"/>
  <c r="H326" i="1"/>
  <c r="L326" i="1" s="1"/>
  <c r="D150" i="1" l="1"/>
  <c r="J176" i="1"/>
  <c r="K176" i="1" s="1"/>
  <c r="H327" i="1"/>
  <c r="L327" i="1" s="1"/>
  <c r="E150" i="1" l="1"/>
  <c r="C150" i="1" s="1"/>
  <c r="F150" i="1" s="1"/>
  <c r="H328" i="1"/>
  <c r="L328" i="1" s="1"/>
  <c r="D151" i="1" l="1"/>
  <c r="J177" i="1"/>
  <c r="K177" i="1" s="1"/>
  <c r="H329" i="1"/>
  <c r="L329" i="1" s="1"/>
  <c r="E151" i="1" l="1"/>
  <c r="C151" i="1" s="1"/>
  <c r="F151" i="1" s="1"/>
  <c r="H330" i="1"/>
  <c r="L330" i="1" s="1"/>
  <c r="D152" i="1" l="1"/>
  <c r="J178" i="1"/>
  <c r="K178" i="1" s="1"/>
  <c r="H331" i="1"/>
  <c r="L331" i="1" s="1"/>
  <c r="E152" i="1" l="1"/>
  <c r="C152" i="1" s="1"/>
  <c r="F152" i="1" s="1"/>
  <c r="H332" i="1"/>
  <c r="L332" i="1" s="1"/>
  <c r="D153" i="1" l="1"/>
  <c r="J179" i="1"/>
  <c r="K179" i="1" s="1"/>
  <c r="H333" i="1"/>
  <c r="L333" i="1" s="1"/>
  <c r="E153" i="1" l="1"/>
  <c r="H334" i="1"/>
  <c r="L334" i="1" s="1"/>
  <c r="C153" i="1" l="1"/>
  <c r="F153" i="1" s="1"/>
  <c r="J180" i="1"/>
  <c r="K180" i="1" s="1"/>
  <c r="H335" i="1"/>
  <c r="L335" i="1" s="1"/>
  <c r="D154" i="1" l="1"/>
  <c r="H336" i="1"/>
  <c r="L336" i="1" s="1"/>
  <c r="E154" i="1" l="1"/>
  <c r="C154" i="1" s="1"/>
  <c r="F154" i="1" s="1"/>
  <c r="J181" i="1"/>
  <c r="K181" i="1" s="1"/>
  <c r="H337" i="1"/>
  <c r="L337" i="1" s="1"/>
  <c r="D155" i="1" l="1"/>
  <c r="H338" i="1"/>
  <c r="L338" i="1" s="1"/>
  <c r="E155" i="1" l="1"/>
  <c r="C155" i="1" s="1"/>
  <c r="F155" i="1" s="1"/>
  <c r="J182" i="1"/>
  <c r="K182" i="1" s="1"/>
  <c r="H339" i="1"/>
  <c r="L339" i="1" s="1"/>
  <c r="D156" i="1" l="1"/>
  <c r="H340" i="1"/>
  <c r="L340" i="1" s="1"/>
  <c r="E156" i="1" l="1"/>
  <c r="C156" i="1" s="1"/>
  <c r="F156" i="1" s="1"/>
  <c r="J183" i="1"/>
  <c r="K183" i="1" s="1"/>
  <c r="H341" i="1"/>
  <c r="L341" i="1" s="1"/>
  <c r="D157" i="1" l="1"/>
  <c r="H342" i="1"/>
  <c r="L342" i="1" s="1"/>
  <c r="E157" i="1" l="1"/>
  <c r="J184" i="1"/>
  <c r="K184" i="1" s="1"/>
  <c r="H343" i="1"/>
  <c r="L343" i="1" s="1"/>
  <c r="C157" i="1" l="1"/>
  <c r="F157" i="1" s="1"/>
  <c r="H344" i="1"/>
  <c r="L344" i="1" s="1"/>
  <c r="D158" i="1" l="1"/>
  <c r="J185" i="1"/>
  <c r="K185" i="1" s="1"/>
  <c r="H345" i="1"/>
  <c r="L345" i="1" s="1"/>
  <c r="E158" i="1" l="1"/>
  <c r="C158" i="1" s="1"/>
  <c r="F158" i="1" s="1"/>
  <c r="H346" i="1"/>
  <c r="L346" i="1" s="1"/>
  <c r="J186" i="1" l="1"/>
  <c r="K186" i="1" s="1"/>
  <c r="H347" i="1"/>
  <c r="L347" i="1" s="1"/>
  <c r="D159" i="1" l="1"/>
  <c r="H348" i="1"/>
  <c r="L348" i="1" s="1"/>
  <c r="E159" i="1" l="1"/>
  <c r="J187" i="1"/>
  <c r="K187" i="1" s="1"/>
  <c r="H349" i="1"/>
  <c r="L349" i="1" s="1"/>
  <c r="C159" i="1" l="1"/>
  <c r="F159" i="1" s="1"/>
  <c r="H350" i="1"/>
  <c r="L350" i="1" s="1"/>
  <c r="D160" i="1" l="1"/>
  <c r="J188" i="1"/>
  <c r="K188" i="1" s="1"/>
  <c r="H351" i="1"/>
  <c r="L351" i="1" s="1"/>
  <c r="E160" i="1" l="1"/>
  <c r="H352" i="1"/>
  <c r="L352" i="1" s="1"/>
  <c r="C160" i="1" l="1"/>
  <c r="F160" i="1" s="1"/>
  <c r="J189" i="1"/>
  <c r="K189" i="1" s="1"/>
  <c r="H353" i="1"/>
  <c r="L353" i="1" s="1"/>
  <c r="D161" i="1" l="1"/>
  <c r="H354" i="1"/>
  <c r="L354" i="1" s="1"/>
  <c r="E161" i="1" l="1"/>
  <c r="J190" i="1"/>
  <c r="K190" i="1" s="1"/>
  <c r="H355" i="1"/>
  <c r="L355" i="1" s="1"/>
  <c r="C161" i="1" l="1"/>
  <c r="F161" i="1" s="1"/>
  <c r="H356" i="1"/>
  <c r="L356" i="1" s="1"/>
  <c r="D162" i="1" l="1"/>
  <c r="J191" i="1"/>
  <c r="K191" i="1" s="1"/>
  <c r="H357" i="1"/>
  <c r="L357" i="1" s="1"/>
  <c r="E162" i="1" l="1"/>
  <c r="H358" i="1"/>
  <c r="L358" i="1" s="1"/>
  <c r="C162" i="1" l="1"/>
  <c r="F162" i="1" s="1"/>
  <c r="J192" i="1"/>
  <c r="K192" i="1" s="1"/>
  <c r="H359" i="1"/>
  <c r="L359" i="1" s="1"/>
  <c r="D163" i="1" l="1"/>
  <c r="J193" i="1"/>
  <c r="K193" i="1" s="1"/>
  <c r="H360" i="1"/>
  <c r="L360" i="1" s="1"/>
  <c r="E163" i="1" l="1"/>
  <c r="H361" i="1"/>
  <c r="L361" i="1" s="1"/>
  <c r="C163" i="1" l="1"/>
  <c r="F163" i="1" s="1"/>
  <c r="J194" i="1"/>
  <c r="K194" i="1" s="1"/>
  <c r="H362" i="1"/>
  <c r="L362" i="1" s="1"/>
  <c r="D164" i="1" l="1"/>
  <c r="H363" i="1"/>
  <c r="L363" i="1" s="1"/>
  <c r="E164" i="1" l="1"/>
  <c r="J195" i="1"/>
  <c r="K195" i="1" s="1"/>
  <c r="H364" i="1"/>
  <c r="L364" i="1" s="1"/>
  <c r="C164" i="1" l="1"/>
  <c r="F164" i="1" s="1"/>
  <c r="H365" i="1"/>
  <c r="L365" i="1" s="1"/>
  <c r="D165" i="1" l="1"/>
  <c r="J196" i="1"/>
  <c r="K196" i="1" s="1"/>
  <c r="H366" i="1"/>
  <c r="L366" i="1" s="1"/>
  <c r="E165" i="1" l="1"/>
  <c r="H367" i="1"/>
  <c r="L367" i="1" s="1"/>
  <c r="C165" i="1" l="1"/>
  <c r="F165" i="1" s="1"/>
  <c r="J197" i="1"/>
  <c r="K197" i="1" s="1"/>
  <c r="H368" i="1"/>
  <c r="L368" i="1" s="1"/>
  <c r="D166" i="1" l="1"/>
  <c r="H369" i="1"/>
  <c r="L369" i="1" s="1"/>
  <c r="E166" i="1" l="1"/>
  <c r="J198" i="1"/>
  <c r="K198" i="1" s="1"/>
  <c r="H370" i="1"/>
  <c r="L370" i="1" s="1"/>
  <c r="C166" i="1" l="1"/>
  <c r="F166" i="1" s="1"/>
  <c r="H371" i="1"/>
  <c r="L371" i="1" s="1"/>
  <c r="D167" i="1" l="1"/>
  <c r="J199" i="1"/>
  <c r="K199" i="1" s="1"/>
  <c r="H372" i="1"/>
  <c r="L372" i="1" s="1"/>
  <c r="E167" i="1" l="1"/>
  <c r="H373" i="1"/>
  <c r="L373" i="1" s="1"/>
  <c r="C167" i="1" l="1"/>
  <c r="F167" i="1" s="1"/>
  <c r="J200" i="1"/>
  <c r="K200" i="1" s="1"/>
  <c r="H374" i="1"/>
  <c r="D168" i="1" l="1"/>
  <c r="L374" i="1"/>
  <c r="H375" i="1"/>
  <c r="E168" i="1" l="1"/>
  <c r="C168" i="1" s="1"/>
  <c r="F168" i="1" s="1"/>
  <c r="L375" i="1"/>
  <c r="J201" i="1"/>
  <c r="K201" i="1" s="1"/>
  <c r="H376" i="1"/>
  <c r="D169" i="1" l="1"/>
  <c r="L376" i="1"/>
  <c r="H377" i="1"/>
  <c r="E169" i="1" l="1"/>
  <c r="C169" i="1" s="1"/>
  <c r="F169" i="1" s="1"/>
  <c r="L377" i="1"/>
  <c r="J202" i="1"/>
  <c r="K202" i="1" s="1"/>
  <c r="H378" i="1"/>
  <c r="D170" i="1" l="1"/>
  <c r="L378" i="1"/>
  <c r="H379" i="1"/>
  <c r="E170" i="1" l="1"/>
  <c r="L379" i="1"/>
  <c r="J203" i="1"/>
  <c r="K203" i="1" s="1"/>
  <c r="H380" i="1"/>
  <c r="C170" i="1" l="1"/>
  <c r="F170" i="1" s="1"/>
  <c r="L380" i="1"/>
  <c r="H381" i="1"/>
  <c r="D171" i="1" l="1"/>
  <c r="L381" i="1"/>
  <c r="J204" i="1"/>
  <c r="K204" i="1" s="1"/>
  <c r="H382" i="1"/>
  <c r="E171" i="1" l="1"/>
  <c r="L382" i="1"/>
  <c r="H383" i="1"/>
  <c r="C171" i="1" l="1"/>
  <c r="F171" i="1" s="1"/>
  <c r="L383" i="1"/>
  <c r="J205" i="1"/>
  <c r="K205" i="1" s="1"/>
  <c r="H384" i="1"/>
  <c r="D172" i="1" l="1"/>
  <c r="L384" i="1"/>
  <c r="H385" i="1"/>
  <c r="E172" i="1" l="1"/>
  <c r="L385" i="1"/>
  <c r="J206" i="1"/>
  <c r="K206" i="1" s="1"/>
  <c r="H386" i="1"/>
  <c r="C172" i="1" l="1"/>
  <c r="F172" i="1" s="1"/>
  <c r="L386" i="1"/>
  <c r="H387" i="1"/>
  <c r="D173" i="1" l="1"/>
  <c r="L387" i="1"/>
  <c r="J207" i="1"/>
  <c r="K207" i="1" s="1"/>
  <c r="H388" i="1"/>
  <c r="E173" i="1" l="1"/>
  <c r="L388" i="1"/>
  <c r="H389" i="1"/>
  <c r="C173" i="1" l="1"/>
  <c r="F173" i="1" s="1"/>
  <c r="L389" i="1"/>
  <c r="J208" i="1"/>
  <c r="K208" i="1" s="1"/>
  <c r="H390" i="1"/>
  <c r="D174" i="1" l="1"/>
  <c r="L390" i="1"/>
  <c r="H391" i="1"/>
  <c r="E174" i="1" l="1"/>
  <c r="L391" i="1"/>
  <c r="J209" i="1"/>
  <c r="K209" i="1" s="1"/>
  <c r="H392" i="1"/>
  <c r="C174" i="1" l="1"/>
  <c r="F174" i="1" s="1"/>
  <c r="L392" i="1"/>
  <c r="H393" i="1"/>
  <c r="D175" i="1" l="1"/>
  <c r="L393" i="1"/>
  <c r="J210" i="1"/>
  <c r="K210" i="1" s="1"/>
  <c r="H394" i="1"/>
  <c r="E175" i="1" l="1"/>
  <c r="L394" i="1"/>
  <c r="H395" i="1"/>
  <c r="C175" i="1" l="1"/>
  <c r="F175" i="1" s="1"/>
  <c r="L395" i="1"/>
  <c r="J211" i="1"/>
  <c r="K211" i="1" s="1"/>
  <c r="H396" i="1"/>
  <c r="D176" i="1" l="1"/>
  <c r="L396" i="1"/>
  <c r="H397" i="1"/>
  <c r="E176" i="1" l="1"/>
  <c r="L397" i="1"/>
  <c r="J212" i="1"/>
  <c r="K212" i="1" s="1"/>
  <c r="H398" i="1"/>
  <c r="C176" i="1" l="1"/>
  <c r="F176" i="1" s="1"/>
  <c r="L398" i="1"/>
  <c r="H399" i="1"/>
  <c r="D177" i="1" l="1"/>
  <c r="L399" i="1"/>
  <c r="J213" i="1"/>
  <c r="K213" i="1" s="1"/>
  <c r="H400" i="1"/>
  <c r="E177" i="1" l="1"/>
  <c r="C177" i="1" s="1"/>
  <c r="F177" i="1" s="1"/>
  <c r="L400" i="1"/>
  <c r="H401" i="1"/>
  <c r="D178" i="1" l="1"/>
  <c r="L401" i="1"/>
  <c r="J214" i="1"/>
  <c r="K214" i="1" s="1"/>
  <c r="H402" i="1"/>
  <c r="E178" i="1" l="1"/>
  <c r="L402" i="1"/>
  <c r="H403" i="1"/>
  <c r="C178" i="1" l="1"/>
  <c r="F178" i="1" s="1"/>
  <c r="L403" i="1"/>
  <c r="J215" i="1"/>
  <c r="K215" i="1" s="1"/>
  <c r="H404" i="1"/>
  <c r="D179" i="1" l="1"/>
  <c r="L404" i="1"/>
  <c r="H405" i="1"/>
  <c r="E179" i="1" l="1"/>
  <c r="L405" i="1"/>
  <c r="J216" i="1"/>
  <c r="K216" i="1" s="1"/>
  <c r="H406" i="1"/>
  <c r="C179" i="1" l="1"/>
  <c r="F179" i="1" s="1"/>
  <c r="L406" i="1"/>
  <c r="H407" i="1"/>
  <c r="D180" i="1" l="1"/>
  <c r="L407" i="1"/>
  <c r="J217" i="1"/>
  <c r="K217" i="1" s="1"/>
  <c r="H408" i="1"/>
  <c r="E180" i="1" l="1"/>
  <c r="L408" i="1"/>
  <c r="H409" i="1"/>
  <c r="C180" i="1" l="1"/>
  <c r="F180" i="1" s="1"/>
  <c r="L409" i="1"/>
  <c r="J218" i="1"/>
  <c r="K218" i="1" s="1"/>
  <c r="H410" i="1"/>
  <c r="D181" i="1" l="1"/>
  <c r="L410" i="1"/>
  <c r="H411" i="1"/>
  <c r="E181" i="1" l="1"/>
  <c r="L411" i="1"/>
  <c r="J219" i="1"/>
  <c r="K219" i="1" s="1"/>
  <c r="H412" i="1"/>
  <c r="C181" i="1" l="1"/>
  <c r="F181" i="1" s="1"/>
  <c r="L412" i="1"/>
  <c r="H413" i="1"/>
  <c r="D182" i="1" l="1"/>
  <c r="L413" i="1"/>
  <c r="J220" i="1"/>
  <c r="K220" i="1" s="1"/>
  <c r="H414" i="1"/>
  <c r="E182" i="1" l="1"/>
  <c r="L414" i="1"/>
  <c r="H415" i="1"/>
  <c r="C182" i="1" l="1"/>
  <c r="F182" i="1" s="1"/>
  <c r="L415" i="1"/>
  <c r="J221" i="1"/>
  <c r="K221" i="1" s="1"/>
  <c r="H416" i="1"/>
  <c r="D183" i="1" l="1"/>
  <c r="L416" i="1"/>
  <c r="H417" i="1"/>
  <c r="E183" i="1" l="1"/>
  <c r="L417" i="1"/>
  <c r="J222" i="1"/>
  <c r="K222" i="1" s="1"/>
  <c r="H418" i="1"/>
  <c r="C183" i="1" l="1"/>
  <c r="F183" i="1" s="1"/>
  <c r="L418" i="1"/>
  <c r="H419" i="1"/>
  <c r="D184" i="1" l="1"/>
  <c r="L419" i="1"/>
  <c r="J223" i="1"/>
  <c r="K223" i="1" s="1"/>
  <c r="H420" i="1"/>
  <c r="E184" i="1" l="1"/>
  <c r="L420" i="1"/>
  <c r="H421" i="1"/>
  <c r="C184" i="1" l="1"/>
  <c r="F184" i="1" s="1"/>
  <c r="L421" i="1"/>
  <c r="J224" i="1"/>
  <c r="K224" i="1" s="1"/>
  <c r="H422" i="1"/>
  <c r="D185" i="1" l="1"/>
  <c r="L422" i="1"/>
  <c r="H423" i="1"/>
  <c r="E185" i="1" l="1"/>
  <c r="L423" i="1"/>
  <c r="J225" i="1"/>
  <c r="K225" i="1" s="1"/>
  <c r="H424" i="1"/>
  <c r="C185" i="1" l="1"/>
  <c r="F185" i="1" s="1"/>
  <c r="L424" i="1"/>
  <c r="H425" i="1"/>
  <c r="D186" i="1" l="1"/>
  <c r="L425" i="1"/>
  <c r="J226" i="1"/>
  <c r="K226" i="1" s="1"/>
  <c r="H426" i="1"/>
  <c r="E186" i="1" l="1"/>
  <c r="L426" i="1"/>
  <c r="H427" i="1"/>
  <c r="C186" i="1" l="1"/>
  <c r="F186" i="1" s="1"/>
  <c r="L427" i="1"/>
  <c r="J227" i="1"/>
  <c r="K227" i="1" s="1"/>
  <c r="H428" i="1"/>
  <c r="D187" i="1" l="1"/>
  <c r="L428" i="1"/>
  <c r="H429" i="1"/>
  <c r="E187" i="1" l="1"/>
  <c r="L429" i="1"/>
  <c r="J228" i="1"/>
  <c r="K228" i="1" s="1"/>
  <c r="H430" i="1"/>
  <c r="C187" i="1" l="1"/>
  <c r="F187" i="1" s="1"/>
  <c r="L430" i="1"/>
  <c r="H431" i="1"/>
  <c r="D188" i="1" l="1"/>
  <c r="L431" i="1"/>
  <c r="J229" i="1"/>
  <c r="K229" i="1" s="1"/>
  <c r="H432" i="1"/>
  <c r="E188" i="1" l="1"/>
  <c r="L432" i="1"/>
  <c r="H433" i="1"/>
  <c r="C188" i="1" l="1"/>
  <c r="F188" i="1" s="1"/>
  <c r="L433" i="1"/>
  <c r="J230" i="1"/>
  <c r="K230" i="1" s="1"/>
  <c r="D189" i="1" l="1"/>
  <c r="E189" i="1" l="1"/>
  <c r="C189" i="1" s="1"/>
  <c r="F189" i="1" s="1"/>
  <c r="J231" i="1"/>
  <c r="K231" i="1" s="1"/>
  <c r="D190" i="1" l="1"/>
  <c r="E190" i="1" l="1"/>
  <c r="C190" i="1" s="1"/>
  <c r="F190" i="1" s="1"/>
  <c r="J232" i="1"/>
  <c r="K232" i="1" s="1"/>
  <c r="D191" i="1" l="1"/>
  <c r="E191" i="1" l="1"/>
  <c r="C191" i="1" s="1"/>
  <c r="F191" i="1" s="1"/>
  <c r="J233" i="1"/>
  <c r="K233" i="1" s="1"/>
  <c r="D192" i="1" l="1"/>
  <c r="E192" i="1" l="1"/>
  <c r="C192" i="1" s="1"/>
  <c r="F192" i="1" s="1"/>
  <c r="J234" i="1"/>
  <c r="K234" i="1" s="1"/>
  <c r="D193" i="1" l="1"/>
  <c r="J235" i="1"/>
  <c r="K235" i="1" s="1"/>
  <c r="E193" i="1" l="1"/>
  <c r="C193" i="1" s="1"/>
  <c r="F193" i="1" s="1"/>
  <c r="D194" i="1" l="1"/>
  <c r="J236" i="1"/>
  <c r="K236" i="1" s="1"/>
  <c r="E194" i="1" l="1"/>
  <c r="C194" i="1" l="1"/>
  <c r="F194" i="1" s="1"/>
  <c r="J237" i="1"/>
  <c r="K237" i="1" s="1"/>
  <c r="D195" i="1" l="1"/>
  <c r="E195" i="1" l="1"/>
  <c r="C195" i="1" s="1"/>
  <c r="F195" i="1" s="1"/>
  <c r="J238" i="1"/>
  <c r="K238" i="1" s="1"/>
  <c r="D196" i="1" l="1"/>
  <c r="E196" i="1" l="1"/>
  <c r="C196" i="1" s="1"/>
  <c r="F196" i="1" s="1"/>
  <c r="J239" i="1"/>
  <c r="K239" i="1" s="1"/>
  <c r="D197" i="1" l="1"/>
  <c r="J240" i="1"/>
  <c r="K240" i="1" s="1"/>
  <c r="E197" i="1" l="1"/>
  <c r="C197" i="1" s="1"/>
  <c r="F197" i="1" s="1"/>
  <c r="J241" i="1"/>
  <c r="K241" i="1" s="1"/>
  <c r="D198" i="1" l="1"/>
  <c r="J242" i="1"/>
  <c r="K242" i="1" s="1"/>
  <c r="E198" i="1" l="1"/>
  <c r="C198" i="1" s="1"/>
  <c r="F198" i="1" s="1"/>
  <c r="J243" i="1"/>
  <c r="K243" i="1" s="1"/>
  <c r="D199" i="1" l="1"/>
  <c r="J244" i="1"/>
  <c r="K244" i="1" s="1"/>
  <c r="E199" i="1" l="1"/>
  <c r="C199" i="1" s="1"/>
  <c r="F199" i="1" s="1"/>
  <c r="J245" i="1"/>
  <c r="K245" i="1" s="1"/>
  <c r="J246" i="1" l="1"/>
  <c r="K246" i="1" s="1"/>
  <c r="D200" i="1" l="1"/>
  <c r="J247" i="1"/>
  <c r="K247" i="1" s="1"/>
  <c r="E200" i="1" l="1"/>
  <c r="C200" i="1" s="1"/>
  <c r="F200" i="1" s="1"/>
  <c r="D201" i="1" l="1"/>
  <c r="J248" i="1"/>
  <c r="K248" i="1" s="1"/>
  <c r="E201" i="1" l="1"/>
  <c r="C201" i="1" s="1"/>
  <c r="F201" i="1" s="1"/>
  <c r="J249" i="1" l="1"/>
  <c r="K249" i="1" s="1"/>
  <c r="D202" i="1" l="1"/>
  <c r="J250" i="1"/>
  <c r="K250" i="1" s="1"/>
  <c r="E202" i="1" l="1"/>
  <c r="C202" i="1" s="1"/>
  <c r="F202" i="1" s="1"/>
  <c r="J251" i="1" l="1"/>
  <c r="K251" i="1" s="1"/>
  <c r="D203" i="1" l="1"/>
  <c r="E203" i="1" l="1"/>
  <c r="C203" i="1" s="1"/>
  <c r="F203" i="1" s="1"/>
  <c r="J252" i="1"/>
  <c r="K252" i="1" s="1"/>
  <c r="J253" i="1" l="1"/>
  <c r="K253" i="1" s="1"/>
  <c r="D204" i="1" l="1"/>
  <c r="J254" i="1"/>
  <c r="K254" i="1" s="1"/>
  <c r="E204" i="1" l="1"/>
  <c r="C204" i="1" s="1"/>
  <c r="F204" i="1" s="1"/>
  <c r="J255" i="1"/>
  <c r="K255" i="1" s="1"/>
  <c r="D205" i="1" l="1"/>
  <c r="E205" i="1" l="1"/>
  <c r="C205" i="1" s="1"/>
  <c r="F205" i="1" s="1"/>
  <c r="J256" i="1"/>
  <c r="K256" i="1" s="1"/>
  <c r="D206" i="1" l="1"/>
  <c r="J257" i="1"/>
  <c r="K257" i="1" s="1"/>
  <c r="E206" i="1" l="1"/>
  <c r="C206" i="1" s="1"/>
  <c r="F206" i="1" s="1"/>
  <c r="D207" i="1" l="1"/>
  <c r="J258" i="1"/>
  <c r="K258" i="1" s="1"/>
  <c r="E207" i="1" l="1"/>
  <c r="C207" i="1" s="1"/>
  <c r="F207" i="1" s="1"/>
  <c r="D208" i="1" l="1"/>
  <c r="J259" i="1"/>
  <c r="K259" i="1" s="1"/>
  <c r="E208" i="1" l="1"/>
  <c r="C208" i="1" s="1"/>
  <c r="F208" i="1" s="1"/>
  <c r="J260" i="1"/>
  <c r="K260" i="1" s="1"/>
  <c r="D209" i="1" l="1"/>
  <c r="E209" i="1" l="1"/>
  <c r="C209" i="1" s="1"/>
  <c r="F209" i="1" s="1"/>
  <c r="J261" i="1"/>
  <c r="K261" i="1" s="1"/>
  <c r="J262" i="1" l="1"/>
  <c r="K262" i="1" s="1"/>
  <c r="D210" i="1" l="1"/>
  <c r="E210" i="1" l="1"/>
  <c r="C210" i="1" s="1"/>
  <c r="F210" i="1" s="1"/>
  <c r="J263" i="1"/>
  <c r="K263" i="1" s="1"/>
  <c r="D211" i="1" l="1"/>
  <c r="E211" i="1" l="1"/>
  <c r="C211" i="1" s="1"/>
  <c r="F211" i="1" s="1"/>
  <c r="J264" i="1"/>
  <c r="K264" i="1" s="1"/>
  <c r="D212" i="1" l="1"/>
  <c r="J265" i="1"/>
  <c r="K265" i="1" s="1"/>
  <c r="E212" i="1" l="1"/>
  <c r="C212" i="1" s="1"/>
  <c r="F212" i="1" s="1"/>
  <c r="D213" i="1" l="1"/>
  <c r="J266" i="1"/>
  <c r="E213" i="1" l="1"/>
  <c r="C213" i="1" s="1"/>
  <c r="F213" i="1" s="1"/>
  <c r="K266" i="1"/>
  <c r="D214" i="1" l="1"/>
  <c r="J267" i="1"/>
  <c r="E214" i="1" l="1"/>
  <c r="C214" i="1" s="1"/>
  <c r="F214" i="1" s="1"/>
  <c r="K267" i="1"/>
  <c r="D215" i="1" l="1"/>
  <c r="J268" i="1"/>
  <c r="E215" i="1" l="1"/>
  <c r="C215" i="1" s="1"/>
  <c r="F215" i="1" s="1"/>
  <c r="K268" i="1"/>
  <c r="D216" i="1" l="1"/>
  <c r="J269" i="1"/>
  <c r="E216" i="1" l="1"/>
  <c r="C216" i="1" s="1"/>
  <c r="F216" i="1" s="1"/>
  <c r="K269" i="1"/>
  <c r="D217" i="1" l="1"/>
  <c r="J270" i="1"/>
  <c r="E217" i="1" l="1"/>
  <c r="C217" i="1" s="1"/>
  <c r="F217" i="1" s="1"/>
  <c r="K270" i="1"/>
  <c r="D218" i="1" l="1"/>
  <c r="J271" i="1"/>
  <c r="K271" i="1" s="1"/>
  <c r="E218" i="1" l="1"/>
  <c r="C218" i="1" s="1"/>
  <c r="F218" i="1" s="1"/>
  <c r="D219" i="1" l="1"/>
  <c r="J272" i="1"/>
  <c r="K272" i="1" s="1"/>
  <c r="E219" i="1" l="1"/>
  <c r="C219" i="1" s="1"/>
  <c r="F219" i="1" s="1"/>
  <c r="J273" i="1"/>
  <c r="K273" i="1" s="1"/>
  <c r="D220" i="1" l="1"/>
  <c r="J274" i="1"/>
  <c r="K274" i="1" s="1"/>
  <c r="E220" i="1" l="1"/>
  <c r="C220" i="1" s="1"/>
  <c r="F220" i="1" s="1"/>
  <c r="J275" i="1"/>
  <c r="K275" i="1" s="1"/>
  <c r="D221" i="1" l="1"/>
  <c r="J276" i="1"/>
  <c r="K276" i="1" s="1"/>
  <c r="E221" i="1" l="1"/>
  <c r="C221" i="1" s="1"/>
  <c r="F221" i="1" s="1"/>
  <c r="J277" i="1"/>
  <c r="K277" i="1" s="1"/>
  <c r="D222" i="1" l="1"/>
  <c r="E222" i="1" l="1"/>
  <c r="C222" i="1" s="1"/>
  <c r="F222" i="1" s="1"/>
  <c r="J278" i="1"/>
  <c r="K278" i="1" s="1"/>
  <c r="D223" i="1" l="1"/>
  <c r="E223" i="1" l="1"/>
  <c r="C223" i="1" s="1"/>
  <c r="F223" i="1" s="1"/>
  <c r="J279" i="1"/>
  <c r="K279" i="1" s="1"/>
  <c r="D224" i="1" l="1"/>
  <c r="J280" i="1"/>
  <c r="K280" i="1" s="1"/>
  <c r="E224" i="1" l="1"/>
  <c r="C224" i="1" s="1"/>
  <c r="F224" i="1" s="1"/>
  <c r="D225" i="1" l="1"/>
  <c r="J281" i="1"/>
  <c r="K281" i="1" s="1"/>
  <c r="E225" i="1" l="1"/>
  <c r="C225" i="1" s="1"/>
  <c r="F225" i="1" s="1"/>
  <c r="D226" i="1" l="1"/>
  <c r="J282" i="1"/>
  <c r="K282" i="1" s="1"/>
  <c r="E226" i="1" l="1"/>
  <c r="C226" i="1" s="1"/>
  <c r="F226" i="1" s="1"/>
  <c r="J283" i="1"/>
  <c r="K283" i="1" s="1"/>
  <c r="D227" i="1" l="1"/>
  <c r="E227" i="1" l="1"/>
  <c r="C227" i="1" s="1"/>
  <c r="F227" i="1" s="1"/>
  <c r="J284" i="1"/>
  <c r="K284" i="1" s="1"/>
  <c r="D228" i="1" l="1"/>
  <c r="J285" i="1"/>
  <c r="K285" i="1" s="1"/>
  <c r="E228" i="1" l="1"/>
  <c r="C228" i="1" s="1"/>
  <c r="F228" i="1" s="1"/>
  <c r="D229" i="1" l="1"/>
  <c r="J286" i="1"/>
  <c r="K286" i="1" s="1"/>
  <c r="E229" i="1" l="1"/>
  <c r="C229" i="1" s="1"/>
  <c r="F229" i="1" s="1"/>
  <c r="D230" i="1" l="1"/>
  <c r="J287" i="1"/>
  <c r="K287" i="1" s="1"/>
  <c r="E230" i="1" l="1"/>
  <c r="C230" i="1" s="1"/>
  <c r="F230" i="1" s="1"/>
  <c r="J288" i="1"/>
  <c r="K288" i="1" s="1"/>
  <c r="D231" i="1" l="1"/>
  <c r="E231" i="1" l="1"/>
  <c r="C231" i="1" s="1"/>
  <c r="F231" i="1" s="1"/>
  <c r="J289" i="1"/>
  <c r="K289" i="1" s="1"/>
  <c r="D232" i="1" l="1"/>
  <c r="E232" i="1" l="1"/>
  <c r="C232" i="1" s="1"/>
  <c r="F232" i="1" s="1"/>
  <c r="J290" i="1"/>
  <c r="K290" i="1" s="1"/>
  <c r="D233" i="1" l="1"/>
  <c r="J291" i="1"/>
  <c r="K291" i="1" s="1"/>
  <c r="E233" i="1" l="1"/>
  <c r="C233" i="1" s="1"/>
  <c r="F233" i="1" s="1"/>
  <c r="J292" i="1"/>
  <c r="K292" i="1" s="1"/>
  <c r="D234" i="1" l="1"/>
  <c r="E234" i="1" l="1"/>
  <c r="C234" i="1" s="1"/>
  <c r="F234" i="1" s="1"/>
  <c r="J293" i="1"/>
  <c r="K293" i="1" s="1"/>
  <c r="D235" i="1" l="1"/>
  <c r="J294" i="1"/>
  <c r="K294" i="1" s="1"/>
  <c r="E235" i="1" l="1"/>
  <c r="C235" i="1" s="1"/>
  <c r="F235" i="1" s="1"/>
  <c r="J295" i="1"/>
  <c r="K295" i="1" s="1"/>
  <c r="D236" i="1" l="1"/>
  <c r="J296" i="1"/>
  <c r="K296" i="1" s="1"/>
  <c r="E236" i="1" l="1"/>
  <c r="C236" i="1" l="1"/>
  <c r="F236" i="1" s="1"/>
  <c r="J297" i="1"/>
  <c r="K297" i="1" s="1"/>
  <c r="D237" i="1" l="1"/>
  <c r="J298" i="1"/>
  <c r="K298" i="1" s="1"/>
  <c r="E237" i="1" l="1"/>
  <c r="C237" i="1" s="1"/>
  <c r="F237" i="1" s="1"/>
  <c r="J299" i="1"/>
  <c r="K299" i="1" s="1"/>
  <c r="D238" i="1" l="1"/>
  <c r="J300" i="1"/>
  <c r="K300" i="1" s="1"/>
  <c r="E238" i="1" l="1"/>
  <c r="C238" i="1" s="1"/>
  <c r="F238" i="1" s="1"/>
  <c r="D239" i="1" l="1"/>
  <c r="J301" i="1"/>
  <c r="K301" i="1" s="1"/>
  <c r="E239" i="1" l="1"/>
  <c r="C239" i="1" l="1"/>
  <c r="F239" i="1" s="1"/>
  <c r="J302" i="1"/>
  <c r="K302" i="1" s="1"/>
  <c r="D240" i="1" l="1"/>
  <c r="J303" i="1"/>
  <c r="K303" i="1" s="1"/>
  <c r="E240" i="1" l="1"/>
  <c r="C240" i="1" s="1"/>
  <c r="F240" i="1" s="1"/>
  <c r="J304" i="1"/>
  <c r="K304" i="1" s="1"/>
  <c r="D241" i="1" l="1"/>
  <c r="J305" i="1"/>
  <c r="K305" i="1" s="1"/>
  <c r="E241" i="1" l="1"/>
  <c r="C241" i="1" s="1"/>
  <c r="F241" i="1" s="1"/>
  <c r="D242" i="1" l="1"/>
  <c r="J306" i="1"/>
  <c r="K306" i="1" s="1"/>
  <c r="E242" i="1" l="1"/>
  <c r="C242" i="1" s="1"/>
  <c r="F242" i="1" s="1"/>
  <c r="J307" i="1"/>
  <c r="K307" i="1" s="1"/>
  <c r="D243" i="1" l="1"/>
  <c r="E243" i="1" l="1"/>
  <c r="C243" i="1" s="1"/>
  <c r="F243" i="1" s="1"/>
  <c r="J308" i="1"/>
  <c r="K308" i="1" s="1"/>
  <c r="D244" i="1" l="1"/>
  <c r="J309" i="1"/>
  <c r="K309" i="1" s="1"/>
  <c r="E244" i="1" l="1"/>
  <c r="C244" i="1" s="1"/>
  <c r="F244" i="1" s="1"/>
  <c r="J310" i="1"/>
  <c r="K310" i="1" s="1"/>
  <c r="D245" i="1" l="1"/>
  <c r="E245" i="1" l="1"/>
  <c r="C245" i="1" s="1"/>
  <c r="F245" i="1" s="1"/>
  <c r="J311" i="1"/>
  <c r="K311" i="1" s="1"/>
  <c r="D246" i="1" l="1"/>
  <c r="E246" i="1" l="1"/>
  <c r="C246" i="1" s="1"/>
  <c r="F246" i="1" s="1"/>
  <c r="J312" i="1"/>
  <c r="K312" i="1" s="1"/>
  <c r="D247" i="1" l="1"/>
  <c r="J313" i="1"/>
  <c r="K313" i="1" s="1"/>
  <c r="E247" i="1" l="1"/>
  <c r="C247" i="1" s="1"/>
  <c r="F247" i="1" s="1"/>
  <c r="D248" i="1" l="1"/>
  <c r="J314" i="1"/>
  <c r="K314" i="1" s="1"/>
  <c r="E248" i="1" l="1"/>
  <c r="C248" i="1" s="1"/>
  <c r="F248" i="1" s="1"/>
  <c r="D249" i="1" l="1"/>
  <c r="J315" i="1"/>
  <c r="K315" i="1" s="1"/>
  <c r="E249" i="1" l="1"/>
  <c r="C249" i="1" s="1"/>
  <c r="F249" i="1" s="1"/>
  <c r="J316" i="1"/>
  <c r="K316" i="1" s="1"/>
  <c r="D250" i="1" l="1"/>
  <c r="J317" i="1"/>
  <c r="K317" i="1" s="1"/>
  <c r="E250" i="1" l="1"/>
  <c r="C250" i="1" s="1"/>
  <c r="F250" i="1" s="1"/>
  <c r="D251" i="1" l="1"/>
  <c r="J318" i="1"/>
  <c r="K318" i="1" s="1"/>
  <c r="E251" i="1" l="1"/>
  <c r="C251" i="1" s="1"/>
  <c r="F251" i="1" s="1"/>
  <c r="J319" i="1" l="1"/>
  <c r="K319" i="1" s="1"/>
  <c r="D252" i="1" l="1"/>
  <c r="J320" i="1"/>
  <c r="K320" i="1" s="1"/>
  <c r="E252" i="1" l="1"/>
  <c r="C252" i="1" s="1"/>
  <c r="F252" i="1" s="1"/>
  <c r="D253" i="1" l="1"/>
  <c r="J321" i="1"/>
  <c r="K321" i="1" s="1"/>
  <c r="E253" i="1" l="1"/>
  <c r="C253" i="1" s="1"/>
  <c r="F253" i="1" s="1"/>
  <c r="D254" i="1" l="1"/>
  <c r="J322" i="1"/>
  <c r="K322" i="1" s="1"/>
  <c r="E254" i="1" l="1"/>
  <c r="C254" i="1" s="1"/>
  <c r="F254" i="1" s="1"/>
  <c r="J323" i="1"/>
  <c r="K323" i="1" s="1"/>
  <c r="D255" i="1" l="1"/>
  <c r="E255" i="1" l="1"/>
  <c r="C255" i="1" s="1"/>
  <c r="F255" i="1" s="1"/>
  <c r="J324" i="1"/>
  <c r="K324" i="1" s="1"/>
  <c r="D256" i="1" l="1"/>
  <c r="E256" i="1" l="1"/>
  <c r="C256" i="1" s="1"/>
  <c r="F256" i="1" s="1"/>
  <c r="J325" i="1"/>
  <c r="K325" i="1" s="1"/>
  <c r="D257" i="1" l="1"/>
  <c r="E257" i="1" l="1"/>
  <c r="C257" i="1" s="1"/>
  <c r="F257" i="1" s="1"/>
  <c r="J326" i="1"/>
  <c r="K326" i="1" s="1"/>
  <c r="D258" i="1" l="1"/>
  <c r="E258" i="1" l="1"/>
  <c r="C258" i="1" s="1"/>
  <c r="F258" i="1" s="1"/>
  <c r="J327" i="1"/>
  <c r="K327" i="1" s="1"/>
  <c r="D259" i="1" l="1"/>
  <c r="J328" i="1"/>
  <c r="K328" i="1" s="1"/>
  <c r="E259" i="1" l="1"/>
  <c r="C259" i="1" s="1"/>
  <c r="F259" i="1" s="1"/>
  <c r="J329" i="1"/>
  <c r="K329" i="1" s="1"/>
  <c r="D260" i="1" l="1"/>
  <c r="E260" i="1" l="1"/>
  <c r="C260" i="1" s="1"/>
  <c r="F260" i="1" s="1"/>
  <c r="J330" i="1"/>
  <c r="K330" i="1" s="1"/>
  <c r="D261" i="1" l="1"/>
  <c r="E261" i="1" l="1"/>
  <c r="C261" i="1" s="1"/>
  <c r="F261" i="1" s="1"/>
  <c r="J331" i="1"/>
  <c r="K331" i="1" s="1"/>
  <c r="D262" i="1" l="1"/>
  <c r="J332" i="1"/>
  <c r="K332" i="1" s="1"/>
  <c r="E262" i="1" l="1"/>
  <c r="C262" i="1" s="1"/>
  <c r="F262" i="1" s="1"/>
  <c r="J333" i="1"/>
  <c r="K333" i="1" s="1"/>
  <c r="D263" i="1" l="1"/>
  <c r="E263" i="1" l="1"/>
  <c r="C263" i="1" s="1"/>
  <c r="F263" i="1" s="1"/>
  <c r="J334" i="1"/>
  <c r="K334" i="1" s="1"/>
  <c r="D264" i="1" l="1"/>
  <c r="E264" i="1" l="1"/>
  <c r="C264" i="1" s="1"/>
  <c r="F264" i="1" s="1"/>
  <c r="J335" i="1"/>
  <c r="K335" i="1" s="1"/>
  <c r="D265" i="1" l="1"/>
  <c r="J336" i="1"/>
  <c r="K336" i="1" s="1"/>
  <c r="E265" i="1" l="1"/>
  <c r="C265" i="1" s="1"/>
  <c r="F265" i="1" s="1"/>
  <c r="D266" i="1" l="1"/>
  <c r="J337" i="1"/>
  <c r="K337" i="1" s="1"/>
  <c r="E266" i="1" l="1"/>
  <c r="C266" i="1" l="1"/>
  <c r="F266" i="1" s="1"/>
  <c r="J338" i="1"/>
  <c r="K338" i="1" s="1"/>
  <c r="D267" i="1" l="1"/>
  <c r="J339" i="1"/>
  <c r="K339" i="1" s="1"/>
  <c r="E267" i="1" l="1"/>
  <c r="C267" i="1" s="1"/>
  <c r="F267" i="1" s="1"/>
  <c r="D268" i="1" l="1"/>
  <c r="J340" i="1"/>
  <c r="K340" i="1" s="1"/>
  <c r="E268" i="1" l="1"/>
  <c r="C268" i="1" l="1"/>
  <c r="F268" i="1" s="1"/>
  <c r="J341" i="1"/>
  <c r="K341" i="1" s="1"/>
  <c r="D269" i="1" l="1"/>
  <c r="J342" i="1"/>
  <c r="K342" i="1" s="1"/>
  <c r="E269" i="1" l="1"/>
  <c r="C269" i="1" s="1"/>
  <c r="F269" i="1" s="1"/>
  <c r="D270" i="1" l="1"/>
  <c r="J343" i="1"/>
  <c r="K343" i="1" s="1"/>
  <c r="E270" i="1" l="1"/>
  <c r="C270" i="1" s="1"/>
  <c r="F270" i="1" s="1"/>
  <c r="J344" i="1" l="1"/>
  <c r="K344" i="1" s="1"/>
  <c r="D271" i="1" l="1"/>
  <c r="E271" i="1" l="1"/>
  <c r="C271" i="1" s="1"/>
  <c r="F271" i="1" s="1"/>
  <c r="J345" i="1"/>
  <c r="K345" i="1" s="1"/>
  <c r="D272" i="1" l="1"/>
  <c r="J346" i="1"/>
  <c r="K346" i="1" s="1"/>
  <c r="E272" i="1" l="1"/>
  <c r="C272" i="1" s="1"/>
  <c r="F272" i="1" s="1"/>
  <c r="D273" i="1" l="1"/>
  <c r="J347" i="1"/>
  <c r="K347" i="1" s="1"/>
  <c r="E273" i="1" l="1"/>
  <c r="C273" i="1" s="1"/>
  <c r="F273" i="1" s="1"/>
  <c r="J348" i="1" l="1"/>
  <c r="K348" i="1" s="1"/>
  <c r="D274" i="1" l="1"/>
  <c r="J349" i="1"/>
  <c r="K349" i="1" s="1"/>
  <c r="E274" i="1" l="1"/>
  <c r="C274" i="1" s="1"/>
  <c r="F274" i="1" s="1"/>
  <c r="D275" i="1" l="1"/>
  <c r="J350" i="1"/>
  <c r="K350" i="1" s="1"/>
  <c r="E275" i="1" l="1"/>
  <c r="C275" i="1" l="1"/>
  <c r="F275" i="1" s="1"/>
  <c r="J351" i="1"/>
  <c r="K351" i="1" s="1"/>
  <c r="D276" i="1" l="1"/>
  <c r="J352" i="1"/>
  <c r="K352" i="1" s="1"/>
  <c r="E276" i="1" l="1"/>
  <c r="C276" i="1" s="1"/>
  <c r="F276" i="1" s="1"/>
  <c r="J353" i="1"/>
  <c r="K353" i="1" s="1"/>
  <c r="D277" i="1" l="1"/>
  <c r="E277" i="1" l="1"/>
  <c r="C277" i="1" s="1"/>
  <c r="F277" i="1" s="1"/>
  <c r="J354" i="1"/>
  <c r="K354" i="1" s="1"/>
  <c r="D278" i="1" l="1"/>
  <c r="E278" i="1" l="1"/>
  <c r="C278" i="1" s="1"/>
  <c r="F278" i="1" s="1"/>
  <c r="J355" i="1"/>
  <c r="K355" i="1" s="1"/>
  <c r="D279" i="1" l="1"/>
  <c r="J356" i="1"/>
  <c r="K356" i="1" s="1"/>
  <c r="E279" i="1" l="1"/>
  <c r="C279" i="1" s="1"/>
  <c r="F279" i="1" s="1"/>
  <c r="J357" i="1"/>
  <c r="K357" i="1" s="1"/>
  <c r="D280" i="1" l="1"/>
  <c r="J358" i="1"/>
  <c r="K358" i="1" s="1"/>
  <c r="E280" i="1" l="1"/>
  <c r="C280" i="1" s="1"/>
  <c r="F280" i="1" s="1"/>
  <c r="D281" i="1" l="1"/>
  <c r="J359" i="1"/>
  <c r="K359" i="1" s="1"/>
  <c r="E281" i="1" l="1"/>
  <c r="C281" i="1" s="1"/>
  <c r="F281" i="1" s="1"/>
  <c r="D282" i="1" l="1"/>
  <c r="J360" i="1"/>
  <c r="K360" i="1" s="1"/>
  <c r="E282" i="1" l="1"/>
  <c r="C282" i="1" s="1"/>
  <c r="F282" i="1" s="1"/>
  <c r="J361" i="1"/>
  <c r="K361" i="1" s="1"/>
  <c r="D283" i="1" l="1"/>
  <c r="E283" i="1" l="1"/>
  <c r="C283" i="1" s="1"/>
  <c r="F283" i="1" s="1"/>
  <c r="J362" i="1"/>
  <c r="K362" i="1" s="1"/>
  <c r="D284" i="1" l="1"/>
  <c r="E284" i="1" l="1"/>
  <c r="C284" i="1" s="1"/>
  <c r="F284" i="1" s="1"/>
  <c r="J363" i="1"/>
  <c r="K363" i="1" s="1"/>
  <c r="D285" i="1" l="1"/>
  <c r="E285" i="1" l="1"/>
  <c r="C285" i="1" s="1"/>
  <c r="F285" i="1" s="1"/>
  <c r="J364" i="1"/>
  <c r="K364" i="1" s="1"/>
  <c r="D286" i="1" l="1"/>
  <c r="E286" i="1" l="1"/>
  <c r="C286" i="1" s="1"/>
  <c r="F286" i="1" s="1"/>
  <c r="J365" i="1"/>
  <c r="K365" i="1" s="1"/>
  <c r="D287" i="1" l="1"/>
  <c r="E287" i="1" l="1"/>
  <c r="C287" i="1" s="1"/>
  <c r="F287" i="1" s="1"/>
  <c r="J366" i="1"/>
  <c r="K366" i="1" s="1"/>
  <c r="D288" i="1" l="1"/>
  <c r="E288" i="1" l="1"/>
  <c r="C288" i="1" s="1"/>
  <c r="F288" i="1" s="1"/>
  <c r="J367" i="1"/>
  <c r="K367" i="1" s="1"/>
  <c r="D289" i="1" l="1"/>
  <c r="E289" i="1" l="1"/>
  <c r="C289" i="1" s="1"/>
  <c r="F289" i="1" s="1"/>
  <c r="J368" i="1"/>
  <c r="K368" i="1" s="1"/>
  <c r="D290" i="1" l="1"/>
  <c r="E290" i="1" l="1"/>
  <c r="C290" i="1" s="1"/>
  <c r="F290" i="1" s="1"/>
  <c r="J369" i="1"/>
  <c r="K369" i="1" s="1"/>
  <c r="D291" i="1" l="1"/>
  <c r="J370" i="1"/>
  <c r="K370" i="1" s="1"/>
  <c r="E291" i="1" l="1"/>
  <c r="C291" i="1" s="1"/>
  <c r="F291" i="1" s="1"/>
  <c r="J371" i="1"/>
  <c r="K371" i="1" s="1"/>
  <c r="D292" i="1" l="1"/>
  <c r="J372" i="1"/>
  <c r="K372" i="1" s="1"/>
  <c r="E292" i="1" l="1"/>
  <c r="C292" i="1" s="1"/>
  <c r="F292" i="1" s="1"/>
  <c r="J373" i="1"/>
  <c r="K373" i="1" s="1"/>
  <c r="D293" i="1" l="1"/>
  <c r="J374" i="1"/>
  <c r="K374" i="1" s="1"/>
  <c r="E293" i="1" l="1"/>
  <c r="C293" i="1" s="1"/>
  <c r="F293" i="1" s="1"/>
  <c r="D294" i="1" l="1"/>
  <c r="J375" i="1"/>
  <c r="K375" i="1" s="1"/>
  <c r="E294" i="1" l="1"/>
  <c r="C294" i="1" s="1"/>
  <c r="F294" i="1" s="1"/>
  <c r="J376" i="1" l="1"/>
  <c r="K376" i="1" s="1"/>
  <c r="D295" i="1" l="1"/>
  <c r="J377" i="1"/>
  <c r="K377" i="1" s="1"/>
  <c r="E295" i="1" l="1"/>
  <c r="C295" i="1" s="1"/>
  <c r="F295" i="1" s="1"/>
  <c r="J378" i="1" l="1"/>
  <c r="K378" i="1" s="1"/>
  <c r="D296" i="1" l="1"/>
  <c r="J379" i="1"/>
  <c r="K379" i="1" s="1"/>
  <c r="E296" i="1" l="1"/>
  <c r="C296" i="1" s="1"/>
  <c r="F296" i="1" s="1"/>
  <c r="J380" i="1"/>
  <c r="K380" i="1" s="1"/>
  <c r="D297" i="1" l="1"/>
  <c r="E297" i="1" l="1"/>
  <c r="C297" i="1" s="1"/>
  <c r="F297" i="1" s="1"/>
  <c r="J381" i="1"/>
  <c r="K381" i="1" s="1"/>
  <c r="D298" i="1" l="1"/>
  <c r="E298" i="1" l="1"/>
  <c r="C298" i="1" s="1"/>
  <c r="F298" i="1" s="1"/>
  <c r="J382" i="1"/>
  <c r="K382" i="1" s="1"/>
  <c r="D299" i="1" l="1"/>
  <c r="E299" i="1" l="1"/>
  <c r="C299" i="1" s="1"/>
  <c r="F299" i="1" s="1"/>
  <c r="J383" i="1"/>
  <c r="K383" i="1" s="1"/>
  <c r="D300" i="1" l="1"/>
  <c r="J384" i="1"/>
  <c r="K384" i="1" s="1"/>
  <c r="E300" i="1" l="1"/>
  <c r="C300" i="1" s="1"/>
  <c r="F300" i="1" s="1"/>
  <c r="D301" i="1" l="1"/>
  <c r="J385" i="1"/>
  <c r="K385" i="1" s="1"/>
  <c r="E301" i="1" l="1"/>
  <c r="C301" i="1" s="1"/>
  <c r="F301" i="1" s="1"/>
  <c r="D302" i="1" l="1"/>
  <c r="J386" i="1"/>
  <c r="K386" i="1" s="1"/>
  <c r="E302" i="1" l="1"/>
  <c r="C302" i="1" s="1"/>
  <c r="F302" i="1" s="1"/>
  <c r="D303" i="1" l="1"/>
  <c r="J387" i="1"/>
  <c r="K387" i="1" s="1"/>
  <c r="E303" i="1" l="1"/>
  <c r="C303" i="1" s="1"/>
  <c r="F303" i="1" s="1"/>
  <c r="D304" i="1" l="1"/>
  <c r="J388" i="1"/>
  <c r="K388" i="1" s="1"/>
  <c r="E304" i="1" l="1"/>
  <c r="C304" i="1" s="1"/>
  <c r="F304" i="1" s="1"/>
  <c r="J389" i="1"/>
  <c r="K389" i="1" s="1"/>
  <c r="D305" i="1" l="1"/>
  <c r="J390" i="1"/>
  <c r="K390" i="1" s="1"/>
  <c r="E305" i="1" l="1"/>
  <c r="C305" i="1" s="1"/>
  <c r="F305" i="1" s="1"/>
  <c r="J391" i="1"/>
  <c r="K391" i="1" s="1"/>
  <c r="D306" i="1" l="1"/>
  <c r="E306" i="1" l="1"/>
  <c r="C306" i="1" s="1"/>
  <c r="F306" i="1" s="1"/>
  <c r="J392" i="1"/>
  <c r="K392" i="1" s="1"/>
  <c r="D307" i="1" l="1"/>
  <c r="E307" i="1" l="1"/>
  <c r="C307" i="1" s="1"/>
  <c r="F307" i="1" s="1"/>
  <c r="J393" i="1"/>
  <c r="K393" i="1" s="1"/>
  <c r="D308" i="1" l="1"/>
  <c r="E308" i="1" l="1"/>
  <c r="C308" i="1" s="1"/>
  <c r="F308" i="1" s="1"/>
  <c r="J394" i="1"/>
  <c r="K394" i="1" s="1"/>
  <c r="D309" i="1" l="1"/>
  <c r="J395" i="1"/>
  <c r="K395" i="1" s="1"/>
  <c r="E309" i="1" l="1"/>
  <c r="C309" i="1" s="1"/>
  <c r="F309" i="1" s="1"/>
  <c r="J396" i="1"/>
  <c r="K396" i="1" s="1"/>
  <c r="D310" i="1" l="1"/>
  <c r="J397" i="1"/>
  <c r="K397" i="1" s="1"/>
  <c r="E310" i="1" l="1"/>
  <c r="C310" i="1" s="1"/>
  <c r="F310" i="1" s="1"/>
  <c r="D311" i="1" l="1"/>
  <c r="J398" i="1"/>
  <c r="K398" i="1" s="1"/>
  <c r="E311" i="1" l="1"/>
  <c r="C311" i="1" s="1"/>
  <c r="F311" i="1" s="1"/>
  <c r="D312" i="1" l="1"/>
  <c r="J399" i="1"/>
  <c r="K399" i="1" s="1"/>
  <c r="E312" i="1" l="1"/>
  <c r="C312" i="1" s="1"/>
  <c r="F312" i="1" s="1"/>
  <c r="D313" i="1" l="1"/>
  <c r="J400" i="1"/>
  <c r="K400" i="1" s="1"/>
  <c r="E313" i="1" l="1"/>
  <c r="C313" i="1" s="1"/>
  <c r="F313" i="1" s="1"/>
  <c r="D314" i="1" l="1"/>
  <c r="J401" i="1"/>
  <c r="K401" i="1" s="1"/>
  <c r="E314" i="1" l="1"/>
  <c r="C314" i="1" s="1"/>
  <c r="F314" i="1" s="1"/>
  <c r="J402" i="1" l="1"/>
  <c r="K402" i="1" s="1"/>
  <c r="D315" i="1" l="1"/>
  <c r="E315" i="1" l="1"/>
  <c r="C315" i="1" s="1"/>
  <c r="F315" i="1" s="1"/>
  <c r="J403" i="1"/>
  <c r="K403" i="1" s="1"/>
  <c r="D316" i="1" l="1"/>
  <c r="E316" i="1" l="1"/>
  <c r="C316" i="1" s="1"/>
  <c r="F316" i="1" s="1"/>
  <c r="J404" i="1"/>
  <c r="K404" i="1" s="1"/>
  <c r="D317" i="1" l="1"/>
  <c r="E317" i="1" l="1"/>
  <c r="C317" i="1" s="1"/>
  <c r="F317" i="1" s="1"/>
  <c r="J405" i="1"/>
  <c r="K405" i="1" s="1"/>
  <c r="D318" i="1" l="1"/>
  <c r="E318" i="1" l="1"/>
  <c r="C318" i="1" s="1"/>
  <c r="F318" i="1" s="1"/>
  <c r="J406" i="1"/>
  <c r="K406" i="1" s="1"/>
  <c r="D319" i="1" l="1"/>
  <c r="J407" i="1"/>
  <c r="K407" i="1" s="1"/>
  <c r="E319" i="1" l="1"/>
  <c r="C319" i="1" s="1"/>
  <c r="F319" i="1" s="1"/>
  <c r="D320" i="1" l="1"/>
  <c r="J408" i="1"/>
  <c r="K408" i="1" s="1"/>
  <c r="E320" i="1" l="1"/>
  <c r="C320" i="1" s="1"/>
  <c r="F320" i="1" s="1"/>
  <c r="D321" i="1" l="1"/>
  <c r="J409" i="1"/>
  <c r="K409" i="1" s="1"/>
  <c r="E321" i="1" l="1"/>
  <c r="C321" i="1" s="1"/>
  <c r="F321" i="1" s="1"/>
  <c r="J410" i="1"/>
  <c r="K410" i="1" s="1"/>
  <c r="D322" i="1" l="1"/>
  <c r="J411" i="1"/>
  <c r="K411" i="1" s="1"/>
  <c r="E322" i="1" l="1"/>
  <c r="C322" i="1" s="1"/>
  <c r="F322" i="1" s="1"/>
  <c r="J412" i="1"/>
  <c r="K412" i="1" s="1"/>
  <c r="D323" i="1" l="1"/>
  <c r="E323" i="1" l="1"/>
  <c r="C323" i="1" s="1"/>
  <c r="F323" i="1" s="1"/>
  <c r="J413" i="1"/>
  <c r="K413" i="1" s="1"/>
  <c r="D324" i="1" l="1"/>
  <c r="E324" i="1" l="1"/>
  <c r="C324" i="1" s="1"/>
  <c r="F324" i="1" s="1"/>
  <c r="J414" i="1"/>
  <c r="K414" i="1" s="1"/>
  <c r="D325" i="1" l="1"/>
  <c r="J415" i="1"/>
  <c r="K415" i="1" s="1"/>
  <c r="E325" i="1" l="1"/>
  <c r="C325" i="1" s="1"/>
  <c r="F325" i="1" s="1"/>
  <c r="D326" i="1" l="1"/>
  <c r="J416" i="1"/>
  <c r="K416" i="1" s="1"/>
  <c r="E326" i="1" l="1"/>
  <c r="C326" i="1" s="1"/>
  <c r="F326" i="1" s="1"/>
  <c r="D327" i="1" l="1"/>
  <c r="J417" i="1"/>
  <c r="K417" i="1" s="1"/>
  <c r="E327" i="1" l="1"/>
  <c r="C327" i="1" s="1"/>
  <c r="F327" i="1" s="1"/>
  <c r="J418" i="1"/>
  <c r="K418" i="1" s="1"/>
  <c r="D328" i="1" l="1"/>
  <c r="J419" i="1"/>
  <c r="K419" i="1" s="1"/>
  <c r="E328" i="1" l="1"/>
  <c r="C328" i="1" s="1"/>
  <c r="F328" i="1" s="1"/>
  <c r="D329" i="1" l="1"/>
  <c r="J420" i="1"/>
  <c r="K420" i="1" s="1"/>
  <c r="E329" i="1" l="1"/>
  <c r="C329" i="1" s="1"/>
  <c r="F329" i="1" s="1"/>
  <c r="D330" i="1" l="1"/>
  <c r="J421" i="1"/>
  <c r="K421" i="1" s="1"/>
  <c r="E330" i="1" l="1"/>
  <c r="C330" i="1" s="1"/>
  <c r="F330" i="1" s="1"/>
  <c r="D331" i="1" l="1"/>
  <c r="J422" i="1"/>
  <c r="K422" i="1" s="1"/>
  <c r="E331" i="1" l="1"/>
  <c r="C331" i="1" s="1"/>
  <c r="F331" i="1" s="1"/>
  <c r="J423" i="1"/>
  <c r="K423" i="1" s="1"/>
  <c r="D332" i="1" l="1"/>
  <c r="E332" i="1" l="1"/>
  <c r="C332" i="1" s="1"/>
  <c r="F332" i="1" s="1"/>
  <c r="J424" i="1"/>
  <c r="K424" i="1" s="1"/>
  <c r="D333" i="1" l="1"/>
  <c r="E333" i="1" l="1"/>
  <c r="C333" i="1" s="1"/>
  <c r="F333" i="1" s="1"/>
  <c r="J425" i="1"/>
  <c r="K425" i="1" s="1"/>
  <c r="D334" i="1" l="1"/>
  <c r="E334" i="1" l="1"/>
  <c r="C334" i="1" s="1"/>
  <c r="F334" i="1" s="1"/>
  <c r="J426" i="1"/>
  <c r="K426" i="1" s="1"/>
  <c r="D335" i="1" l="1"/>
  <c r="E335" i="1" l="1"/>
  <c r="J427" i="1"/>
  <c r="K427" i="1" s="1"/>
  <c r="C335" i="1" l="1"/>
  <c r="F335" i="1" l="1"/>
  <c r="E336" i="1"/>
  <c r="J428" i="1"/>
  <c r="K428" i="1" s="1"/>
  <c r="D336" i="1" l="1"/>
  <c r="C336" i="1" s="1"/>
  <c r="F336" i="1" s="1"/>
  <c r="D337" i="1" l="1"/>
  <c r="E337" i="1"/>
  <c r="C337" i="1" s="1"/>
  <c r="F337" i="1" s="1"/>
  <c r="J429" i="1"/>
  <c r="K429" i="1" s="1"/>
  <c r="D338" i="1" l="1"/>
  <c r="E338" i="1" l="1"/>
  <c r="C338" i="1" s="1"/>
  <c r="F338" i="1" s="1"/>
  <c r="J430" i="1"/>
  <c r="K430" i="1" s="1"/>
  <c r="D339" i="1" l="1"/>
  <c r="E339" i="1" l="1"/>
  <c r="C339" i="1" s="1"/>
  <c r="F339" i="1" s="1"/>
  <c r="J431" i="1"/>
  <c r="K431" i="1" s="1"/>
  <c r="D340" i="1" l="1"/>
  <c r="E340" i="1" l="1"/>
  <c r="C340" i="1" s="1"/>
  <c r="F340" i="1" s="1"/>
  <c r="J432" i="1"/>
  <c r="K432" i="1" s="1"/>
  <c r="D341" i="1" l="1"/>
  <c r="E341" i="1" l="1"/>
  <c r="C341" i="1" s="1"/>
  <c r="F341" i="1" s="1"/>
  <c r="J433" i="1"/>
  <c r="D342" i="1" l="1"/>
  <c r="K433" i="1"/>
  <c r="L8" i="1"/>
  <c r="E342" i="1" l="1"/>
  <c r="C342" i="1" s="1"/>
  <c r="F342" i="1" s="1"/>
  <c r="L7" i="1"/>
  <c r="L9" i="1"/>
  <c r="D343" i="1" l="1"/>
  <c r="E343" i="1" l="1"/>
  <c r="C343" i="1" s="1"/>
  <c r="F343" i="1" s="1"/>
  <c r="D344" i="1" l="1"/>
  <c r="E344" i="1" l="1"/>
  <c r="C344" i="1" s="1"/>
  <c r="F344" i="1" s="1"/>
  <c r="D345" i="1" l="1"/>
  <c r="E345" i="1" l="1"/>
  <c r="C345" i="1" s="1"/>
  <c r="F345" i="1" s="1"/>
  <c r="D346" i="1" l="1"/>
  <c r="E346" i="1" l="1"/>
  <c r="C346" i="1" s="1"/>
  <c r="F346" i="1" s="1"/>
  <c r="D347" i="1" l="1"/>
  <c r="E347" i="1" l="1"/>
  <c r="C347" i="1" s="1"/>
  <c r="F347" i="1" s="1"/>
  <c r="D348" i="1" l="1"/>
  <c r="E348" i="1" l="1"/>
  <c r="C348" i="1" l="1"/>
  <c r="F348" i="1" s="1"/>
  <c r="D349" i="1"/>
  <c r="E349" i="1" l="1"/>
  <c r="C349" i="1" s="1"/>
  <c r="F349" i="1" s="1"/>
  <c r="D350" i="1" l="1"/>
  <c r="E350" i="1" l="1"/>
  <c r="C350" i="1" s="1"/>
  <c r="F350" i="1" s="1"/>
  <c r="D351" i="1" l="1"/>
  <c r="E351" i="1" l="1"/>
  <c r="C351" i="1" s="1"/>
  <c r="F351" i="1" s="1"/>
  <c r="D352" i="1" l="1"/>
  <c r="E352" i="1" l="1"/>
  <c r="C352" i="1" s="1"/>
  <c r="F352" i="1" s="1"/>
  <c r="D353" i="1" l="1"/>
  <c r="E353" i="1" l="1"/>
  <c r="C353" i="1" s="1"/>
  <c r="F353" i="1" s="1"/>
  <c r="D354" i="1" l="1"/>
  <c r="E354" i="1" l="1"/>
  <c r="C354" i="1" s="1"/>
  <c r="F354" i="1" s="1"/>
  <c r="D355" i="1" l="1"/>
  <c r="E355" i="1" l="1"/>
  <c r="C355" i="1" s="1"/>
  <c r="F355" i="1" s="1"/>
  <c r="D356" i="1" l="1"/>
  <c r="E356" i="1" l="1"/>
  <c r="C356" i="1" s="1"/>
  <c r="F356" i="1" s="1"/>
  <c r="D357" i="1" l="1"/>
  <c r="E357" i="1" l="1"/>
  <c r="C357" i="1" s="1"/>
  <c r="F357" i="1" s="1"/>
  <c r="D358" i="1" l="1"/>
  <c r="E358" i="1" l="1"/>
  <c r="C358" i="1" s="1"/>
  <c r="F358" i="1" s="1"/>
  <c r="D359" i="1" l="1"/>
  <c r="E359" i="1" l="1"/>
  <c r="C359" i="1" s="1"/>
  <c r="F359" i="1" s="1"/>
  <c r="D360" i="1" l="1"/>
  <c r="E360" i="1" l="1"/>
  <c r="C360" i="1" s="1"/>
  <c r="F360" i="1" s="1"/>
  <c r="D361" i="1" l="1"/>
  <c r="E361" i="1" l="1"/>
  <c r="C361" i="1" s="1"/>
  <c r="F361" i="1" s="1"/>
  <c r="D362" i="1" l="1"/>
  <c r="E362" i="1" l="1"/>
  <c r="C362" i="1" s="1"/>
  <c r="F362" i="1" s="1"/>
  <c r="D363" i="1" l="1"/>
  <c r="E363" i="1" l="1"/>
  <c r="C363" i="1" s="1"/>
  <c r="F363" i="1" s="1"/>
  <c r="D364" i="1" l="1"/>
  <c r="E364" i="1" l="1"/>
  <c r="C364" i="1" s="1"/>
  <c r="F364" i="1" s="1"/>
  <c r="D365" i="1" l="1"/>
  <c r="E365" i="1" l="1"/>
  <c r="C365" i="1" s="1"/>
  <c r="F365" i="1" s="1"/>
  <c r="D366" i="1" l="1"/>
  <c r="E366" i="1" l="1"/>
  <c r="C366" i="1" s="1"/>
  <c r="F366" i="1" s="1"/>
  <c r="D367" i="1" l="1"/>
  <c r="E367" i="1" l="1"/>
  <c r="C367" i="1" s="1"/>
  <c r="F367" i="1" s="1"/>
  <c r="D368" i="1" l="1"/>
  <c r="E368" i="1" l="1"/>
  <c r="C368" i="1" s="1"/>
  <c r="F368" i="1" s="1"/>
  <c r="D369" i="1" l="1"/>
  <c r="E369" i="1" l="1"/>
  <c r="C369" i="1" s="1"/>
  <c r="F369" i="1" s="1"/>
  <c r="D370" i="1" l="1"/>
  <c r="E370" i="1" l="1"/>
  <c r="C370" i="1" s="1"/>
  <c r="F370" i="1" s="1"/>
  <c r="D371" i="1" l="1"/>
  <c r="E371" i="1" l="1"/>
  <c r="C371" i="1" s="1"/>
  <c r="F371" i="1" s="1"/>
  <c r="D372" i="1" l="1"/>
  <c r="E372" i="1" l="1"/>
  <c r="C372" i="1" s="1"/>
  <c r="F372" i="1" s="1"/>
  <c r="D373" i="1" l="1"/>
  <c r="E373" i="1" l="1"/>
  <c r="C373" i="1" s="1"/>
  <c r="F373" i="1" s="1"/>
  <c r="D374" i="1" l="1"/>
  <c r="E374" i="1" l="1"/>
  <c r="C374" i="1" s="1"/>
  <c r="F374" i="1" s="1"/>
  <c r="D375" i="1" l="1"/>
  <c r="E375" i="1" l="1"/>
  <c r="C375" i="1" s="1"/>
  <c r="F375" i="1" s="1"/>
  <c r="D376" i="1" l="1"/>
  <c r="E376" i="1" l="1"/>
  <c r="C376" i="1" s="1"/>
  <c r="F376" i="1" s="1"/>
  <c r="D377" i="1" l="1"/>
  <c r="E377" i="1" l="1"/>
  <c r="C377" i="1" s="1"/>
  <c r="F377" i="1" s="1"/>
  <c r="D378" i="1" l="1"/>
  <c r="E378" i="1" l="1"/>
  <c r="C378" i="1" l="1"/>
  <c r="F378" i="1" l="1"/>
  <c r="E379" i="1"/>
  <c r="D379" i="1" l="1"/>
  <c r="C379" i="1" s="1"/>
  <c r="F379" i="1" s="1"/>
  <c r="D380" i="1" l="1"/>
  <c r="E380" i="1"/>
  <c r="C380" i="1" s="1"/>
  <c r="F380" i="1" s="1"/>
  <c r="D381" i="1" l="1"/>
  <c r="E381" i="1"/>
  <c r="C381" i="1" l="1"/>
  <c r="F381" i="1" l="1"/>
  <c r="E382" i="1" s="1"/>
  <c r="D382" i="1" l="1"/>
  <c r="C382" i="1" s="1"/>
  <c r="F382" i="1" s="1"/>
  <c r="D383" i="1" l="1"/>
  <c r="E383" i="1"/>
  <c r="C383" i="1" s="1"/>
  <c r="F383" i="1" s="1"/>
  <c r="D384" i="1" l="1"/>
  <c r="E384" i="1"/>
  <c r="C384" i="1" s="1"/>
  <c r="F384" i="1" s="1"/>
  <c r="D385" i="1" l="1"/>
  <c r="E385" i="1" l="1"/>
  <c r="C385" i="1" l="1"/>
  <c r="F385" i="1" l="1"/>
  <c r="E386" i="1" s="1"/>
  <c r="D386" i="1" l="1"/>
  <c r="C386" i="1" s="1"/>
  <c r="F386" i="1" l="1"/>
  <c r="E387" i="1" l="1"/>
  <c r="D387" i="1"/>
  <c r="C387" i="1" l="1"/>
  <c r="F387" i="1" s="1"/>
  <c r="D388" i="1" l="1"/>
  <c r="E388" i="1"/>
  <c r="C388" i="1" s="1"/>
  <c r="F388" i="1" l="1"/>
  <c r="E389" i="1" l="1"/>
  <c r="D389" i="1"/>
  <c r="C389" i="1" l="1"/>
  <c r="F389" i="1" s="1"/>
  <c r="D390" i="1" l="1"/>
  <c r="E390" i="1"/>
  <c r="C390" i="1" s="1"/>
  <c r="F390" i="1" s="1"/>
  <c r="D391" i="1" l="1"/>
  <c r="E391" i="1"/>
  <c r="C391" i="1" s="1"/>
  <c r="F391" i="1" s="1"/>
  <c r="D392" i="1" l="1"/>
  <c r="E392" i="1"/>
  <c r="C392" i="1" s="1"/>
  <c r="F392" i="1" s="1"/>
  <c r="D393" i="1" l="1"/>
  <c r="E393" i="1"/>
  <c r="C393" i="1" l="1"/>
  <c r="F393" i="1" l="1"/>
  <c r="E394" i="1" s="1"/>
  <c r="D394" i="1" l="1"/>
  <c r="C394" i="1"/>
  <c r="F394" i="1" l="1"/>
  <c r="E395" i="1" l="1"/>
  <c r="D395" i="1"/>
  <c r="C395" i="1" l="1"/>
  <c r="F395" i="1" s="1"/>
  <c r="D396" i="1" l="1"/>
  <c r="E396" i="1"/>
  <c r="C396" i="1" s="1"/>
  <c r="F396" i="1" s="1"/>
  <c r="D397" i="1" l="1"/>
  <c r="E397" i="1"/>
  <c r="C397" i="1" s="1"/>
  <c r="F397" i="1" s="1"/>
  <c r="D398" i="1" l="1"/>
  <c r="E398" i="1"/>
  <c r="C398" i="1" s="1"/>
  <c r="F398" i="1" s="1"/>
  <c r="D399" i="1" l="1"/>
  <c r="E399" i="1" l="1"/>
  <c r="C399" i="1" s="1"/>
  <c r="F399" i="1" s="1"/>
  <c r="D400" i="1" l="1"/>
  <c r="E400" i="1" l="1"/>
  <c r="C400" i="1" s="1"/>
  <c r="F400" i="1" s="1"/>
  <c r="D401" i="1" l="1"/>
  <c r="E401" i="1" l="1"/>
  <c r="C401" i="1" s="1"/>
  <c r="F401" i="1" s="1"/>
  <c r="D402" i="1" l="1"/>
  <c r="E402" i="1" l="1"/>
  <c r="C402" i="1" s="1"/>
  <c r="F402" i="1" s="1"/>
  <c r="D403" i="1" l="1"/>
  <c r="E403" i="1" l="1"/>
  <c r="C403" i="1" s="1"/>
  <c r="F403" i="1" s="1"/>
  <c r="D404" i="1" l="1"/>
  <c r="E404" i="1" l="1"/>
  <c r="C404" i="1" s="1"/>
  <c r="F404" i="1" s="1"/>
  <c r="D405" i="1" l="1"/>
  <c r="E405" i="1" l="1"/>
  <c r="C405" i="1" l="1"/>
  <c r="F405" i="1" l="1"/>
  <c r="E406" i="1"/>
  <c r="D406" i="1" l="1"/>
  <c r="C406" i="1" s="1"/>
  <c r="F406" i="1" l="1"/>
  <c r="E407" i="1"/>
  <c r="D407" i="1" l="1"/>
  <c r="C407" i="1" s="1"/>
  <c r="F407" i="1" l="1"/>
  <c r="E408" i="1" l="1"/>
  <c r="D408" i="1"/>
  <c r="C408" i="1" l="1"/>
  <c r="F408" i="1" s="1"/>
  <c r="D409" i="1" l="1"/>
  <c r="E409" i="1"/>
  <c r="C409" i="1" l="1"/>
  <c r="F409" i="1"/>
  <c r="E410" i="1" l="1"/>
  <c r="D410" i="1"/>
  <c r="C410" i="1" l="1"/>
  <c r="F410" i="1" l="1"/>
  <c r="E411" i="1" l="1"/>
  <c r="D411" i="1"/>
  <c r="C411" i="1" l="1"/>
  <c r="F411" i="1" l="1"/>
  <c r="E412" i="1" l="1"/>
  <c r="D412" i="1"/>
  <c r="C412" i="1" l="1"/>
  <c r="F412" i="1" s="1"/>
  <c r="E413" i="1" l="1"/>
  <c r="D413" i="1"/>
  <c r="C413" i="1" l="1"/>
  <c r="F413" i="1" s="1"/>
  <c r="E414" i="1" l="1"/>
  <c r="D414" i="1"/>
  <c r="C414" i="1" l="1"/>
  <c r="F414" i="1" l="1"/>
  <c r="E415" i="1" l="1"/>
  <c r="D415" i="1"/>
  <c r="C415" i="1" l="1"/>
  <c r="F415" i="1" s="1"/>
  <c r="E416" i="1" l="1"/>
  <c r="D416" i="1"/>
  <c r="C416" i="1" l="1"/>
  <c r="F416" i="1" l="1"/>
  <c r="E417" i="1" l="1"/>
  <c r="D417" i="1"/>
  <c r="C417" i="1" l="1"/>
  <c r="F417" i="1" l="1"/>
  <c r="E418" i="1" l="1"/>
  <c r="D418" i="1"/>
  <c r="C418" i="1" l="1"/>
  <c r="F418" i="1" s="1"/>
  <c r="D419" i="1" s="1"/>
  <c r="E419" i="1"/>
  <c r="C419" i="1" l="1"/>
  <c r="F419" i="1"/>
  <c r="E420" i="1" l="1"/>
  <c r="D420" i="1"/>
  <c r="C420" i="1" l="1"/>
  <c r="F420" i="1" l="1"/>
  <c r="E421" i="1" l="1"/>
  <c r="D421" i="1"/>
  <c r="C421" i="1" l="1"/>
  <c r="F421" i="1" s="1"/>
  <c r="D422" i="1" l="1"/>
  <c r="E422" i="1"/>
  <c r="C422" i="1" s="1"/>
  <c r="F422" i="1" l="1"/>
  <c r="E423" i="1" l="1"/>
  <c r="D423" i="1"/>
  <c r="C423" i="1" l="1"/>
  <c r="F423" i="1" s="1"/>
  <c r="E424" i="1" l="1"/>
  <c r="D424" i="1"/>
  <c r="C424" i="1" l="1"/>
  <c r="F424" i="1" s="1"/>
  <c r="D425" i="1" l="1"/>
  <c r="E425" i="1"/>
  <c r="C425" i="1" s="1"/>
  <c r="F425" i="1" s="1"/>
  <c r="D426" i="1" l="1"/>
  <c r="E426" i="1"/>
  <c r="C426" i="1" s="1"/>
  <c r="F426" i="1" l="1"/>
  <c r="E427" i="1" l="1"/>
  <c r="D427" i="1"/>
  <c r="C427" i="1" l="1"/>
  <c r="F427" i="1" l="1"/>
  <c r="E428" i="1" l="1"/>
  <c r="D428" i="1"/>
  <c r="C428" i="1" l="1"/>
  <c r="F428" i="1" l="1"/>
  <c r="E429" i="1" l="1"/>
  <c r="D429" i="1"/>
  <c r="C429" i="1" l="1"/>
  <c r="F429" i="1" l="1"/>
  <c r="E430" i="1" l="1"/>
  <c r="D430" i="1"/>
  <c r="C430" i="1" l="1"/>
  <c r="F430" i="1" s="1"/>
  <c r="D431" i="1" l="1"/>
  <c r="E431" i="1"/>
  <c r="C431" i="1" l="1"/>
  <c r="F431" i="1" s="1"/>
  <c r="D432" i="1" l="1"/>
  <c r="E432" i="1"/>
  <c r="C432" i="1" l="1"/>
  <c r="F432" i="1" l="1"/>
  <c r="E433" i="1" l="1"/>
  <c r="D433" i="1"/>
  <c r="K8" i="1" s="1"/>
  <c r="C433" i="1" l="1"/>
  <c r="F433" i="1" s="1"/>
  <c r="K9" i="1"/>
</calcChain>
</file>

<file path=xl/sharedStrings.xml><?xml version="1.0" encoding="utf-8"?>
<sst xmlns="http://schemas.openxmlformats.org/spreadsheetml/2006/main" count="27" uniqueCount="22">
  <si>
    <t>Dados do Financiamento</t>
  </si>
  <si>
    <t>Comparativo</t>
  </si>
  <si>
    <t>PRICE</t>
  </si>
  <si>
    <t>SAC</t>
  </si>
  <si>
    <t>Sistema PRICE</t>
  </si>
  <si>
    <t>Sistema SAC</t>
  </si>
  <si>
    <t>Amortização</t>
  </si>
  <si>
    <t>Juros</t>
  </si>
  <si>
    <t>Mês</t>
  </si>
  <si>
    <t>Quanto eu devo?</t>
  </si>
  <si>
    <t>Parcela</t>
  </si>
  <si>
    <t>Valor de Entrada:</t>
  </si>
  <si>
    <t>Nº de Prestações:</t>
  </si>
  <si>
    <t>Juros de Juros mensal:</t>
  </si>
  <si>
    <t>Taxa de Juros anual (C.E.T):</t>
  </si>
  <si>
    <t>Valor - 1º Parcela:</t>
  </si>
  <si>
    <t>Valor - Última Parcela:</t>
  </si>
  <si>
    <t>Juros Pagos:</t>
  </si>
  <si>
    <t>Valor Total Pago:</t>
  </si>
  <si>
    <t>Valor Total:</t>
  </si>
  <si>
    <r>
      <t xml:space="preserve"> </t>
    </r>
    <r>
      <rPr>
        <b/>
        <sz val="36"/>
        <rFont val="ProximaNova-Regular"/>
      </rPr>
      <t>Tabela de Financiamento
PRICE e SAC</t>
    </r>
  </si>
  <si>
    <t>Revisão: JUN/2024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</si>
</sst>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[$R$ -416]#,##0.00"/>
  </numFmts>
  <fonts count="18">
    <font>
      <sz val="11"/>
      <color theme="1"/>
      <name val="Calibri"/>
      <scheme val="minor"/>
    </font>
    <font>
      <sz val="11"/>
      <name val="Calibri"/>
      <family val="2"/>
    </font>
    <font>
      <sz val="11"/>
      <color theme="1"/>
      <name val="Century Gothic"/>
      <family val="2"/>
    </font>
    <font>
      <sz val="11"/>
      <color theme="1"/>
      <name val="Calibri"/>
      <family val="2"/>
    </font>
    <font>
      <b/>
      <sz val="16"/>
      <color theme="0"/>
      <name val="Verdana"/>
      <family val="2"/>
    </font>
    <font>
      <sz val="11"/>
      <color theme="1"/>
      <name val="Verdana"/>
      <family val="2"/>
    </font>
    <font>
      <b/>
      <sz val="11"/>
      <color rgb="FF000000"/>
      <name val="Calibri"/>
      <family val="2"/>
    </font>
    <font>
      <sz val="10"/>
      <color theme="1"/>
      <name val="Verdana"/>
      <family val="2"/>
    </font>
    <font>
      <b/>
      <sz val="10"/>
      <color rgb="FFFF0000"/>
      <name val="Verdana"/>
      <family val="2"/>
    </font>
    <font>
      <b/>
      <sz val="36"/>
      <color theme="0"/>
      <name val="ProximaNova-Regular"/>
    </font>
    <font>
      <b/>
      <sz val="11"/>
      <name val="Verdana"/>
      <family val="2"/>
    </font>
    <font>
      <b/>
      <sz val="12"/>
      <name val="Calibri"/>
      <family val="2"/>
    </font>
    <font>
      <sz val="11"/>
      <name val="Calibri"/>
      <family val="2"/>
      <scheme val="minor"/>
    </font>
    <font>
      <sz val="11"/>
      <name val="Century Gothic"/>
      <family val="2"/>
    </font>
    <font>
      <b/>
      <sz val="12"/>
      <color theme="0"/>
      <name val="Verdana"/>
      <family val="2"/>
    </font>
    <font>
      <b/>
      <sz val="36"/>
      <name val="ProximaNova-Regular"/>
    </font>
    <font>
      <b/>
      <sz val="8"/>
      <color theme="1"/>
      <name val="Verdana"/>
      <family val="2"/>
    </font>
    <font>
      <b/>
      <sz val="9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A1E7"/>
        <bgColor rgb="FF00A1E7"/>
      </patternFill>
    </fill>
    <fill>
      <patternFill patternType="solid">
        <fgColor rgb="FFFFC000"/>
        <bgColor rgb="FFFFC000"/>
      </patternFill>
    </fill>
    <fill>
      <patternFill patternType="solid">
        <fgColor rgb="FFD8D8D8"/>
        <bgColor rgb="FFD8D8D8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/>
        <bgColor rgb="FFFFC000"/>
      </patternFill>
    </fill>
    <fill>
      <patternFill patternType="solid">
        <fgColor rgb="FF00B0F0"/>
        <bgColor indexed="64"/>
      </patternFill>
    </fill>
  </fills>
  <borders count="46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4285F4"/>
      </left>
      <right style="thin">
        <color rgb="FF4285F4"/>
      </right>
      <top/>
      <bottom style="thin">
        <color rgb="FF4285F4"/>
      </bottom>
      <diagonal/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indexed="64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0">
    <xf numFmtId="0" fontId="0" fillId="0" borderId="0" xfId="0" applyFont="1" applyAlignment="1"/>
    <xf numFmtId="0" fontId="0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1" xfId="0" applyFont="1" applyFill="1" applyBorder="1" applyAlignment="1">
      <alignment vertical="center"/>
    </xf>
    <xf numFmtId="0" fontId="12" fillId="0" borderId="0" xfId="0" applyFont="1" applyFill="1" applyAlignment="1">
      <alignment vertical="center"/>
    </xf>
    <xf numFmtId="0" fontId="13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6" fillId="4" borderId="11" xfId="0" applyFont="1" applyFill="1" applyBorder="1" applyAlignment="1">
      <alignment horizontal="left"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33" xfId="0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0" fontId="6" fillId="4" borderId="36" xfId="0" applyFont="1" applyFill="1" applyBorder="1" applyAlignment="1">
      <alignment horizontal="center" vertical="center"/>
    </xf>
    <xf numFmtId="0" fontId="6" fillId="4" borderId="35" xfId="0" applyFont="1" applyFill="1" applyBorder="1" applyAlignment="1">
      <alignment horizontal="center" vertical="center"/>
    </xf>
    <xf numFmtId="0" fontId="6" fillId="4" borderId="34" xfId="0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165" fontId="7" fillId="5" borderId="14" xfId="0" applyNumberFormat="1" applyFont="1" applyFill="1" applyBorder="1" applyAlignment="1">
      <alignment horizontal="center" vertical="center"/>
    </xf>
    <xf numFmtId="165" fontId="8" fillId="0" borderId="14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15" xfId="0" applyFont="1" applyBorder="1" applyAlignment="1">
      <alignment horizontal="center" vertical="center"/>
    </xf>
    <xf numFmtId="165" fontId="7" fillId="0" borderId="15" xfId="0" applyNumberFormat="1" applyFont="1" applyBorder="1" applyAlignment="1">
      <alignment horizontal="center" vertical="center"/>
    </xf>
    <xf numFmtId="0" fontId="7" fillId="6" borderId="15" xfId="0" applyFont="1" applyFill="1" applyBorder="1" applyAlignment="1">
      <alignment horizontal="center" vertical="center"/>
    </xf>
    <xf numFmtId="0" fontId="2" fillId="7" borderId="0" xfId="0" applyFont="1" applyFill="1" applyAlignment="1">
      <alignment vertical="center"/>
    </xf>
    <xf numFmtId="0" fontId="2" fillId="7" borderId="1" xfId="0" applyFont="1" applyFill="1" applyBorder="1" applyAlignment="1">
      <alignment vertical="center"/>
    </xf>
    <xf numFmtId="0" fontId="0" fillId="7" borderId="0" xfId="0" applyFont="1" applyFill="1" applyAlignment="1">
      <alignment vertical="center"/>
    </xf>
    <xf numFmtId="0" fontId="12" fillId="7" borderId="0" xfId="0" applyFont="1" applyFill="1" applyAlignment="1">
      <alignment vertical="center"/>
    </xf>
    <xf numFmtId="164" fontId="1" fillId="9" borderId="24" xfId="0" applyNumberFormat="1" applyFont="1" applyFill="1" applyBorder="1" applyAlignment="1">
      <alignment horizontal="left" vertical="center"/>
    </xf>
    <xf numFmtId="1" fontId="1" fillId="9" borderId="24" xfId="0" applyNumberFormat="1" applyFont="1" applyFill="1" applyBorder="1" applyAlignment="1">
      <alignment horizontal="center" vertical="center"/>
    </xf>
    <xf numFmtId="10" fontId="1" fillId="9" borderId="24" xfId="0" applyNumberFormat="1" applyFont="1" applyFill="1" applyBorder="1" applyAlignment="1">
      <alignment horizontal="center" vertical="center"/>
    </xf>
    <xf numFmtId="0" fontId="11" fillId="8" borderId="38" xfId="0" applyFont="1" applyFill="1" applyBorder="1" applyAlignment="1">
      <alignment vertical="center"/>
    </xf>
    <xf numFmtId="0" fontId="11" fillId="8" borderId="39" xfId="0" applyFont="1" applyFill="1" applyBorder="1" applyAlignment="1">
      <alignment vertical="center"/>
    </xf>
    <xf numFmtId="0" fontId="11" fillId="8" borderId="5" xfId="0" applyFont="1" applyFill="1" applyBorder="1" applyAlignment="1">
      <alignment vertical="center"/>
    </xf>
    <xf numFmtId="0" fontId="11" fillId="8" borderId="6" xfId="0" applyFont="1" applyFill="1" applyBorder="1" applyAlignment="1">
      <alignment vertical="center"/>
    </xf>
    <xf numFmtId="0" fontId="11" fillId="8" borderId="8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0" fontId="13" fillId="11" borderId="37" xfId="0" applyFont="1" applyFill="1" applyBorder="1" applyAlignment="1">
      <alignment vertical="center"/>
    </xf>
    <xf numFmtId="164" fontId="1" fillId="11" borderId="31" xfId="0" applyNumberFormat="1" applyFont="1" applyFill="1" applyBorder="1" applyAlignment="1">
      <alignment vertical="center"/>
    </xf>
    <xf numFmtId="164" fontId="1" fillId="11" borderId="7" xfId="0" applyNumberFormat="1" applyFont="1" applyFill="1" applyBorder="1" applyAlignment="1">
      <alignment vertical="center"/>
    </xf>
    <xf numFmtId="164" fontId="1" fillId="11" borderId="32" xfId="0" applyNumberFormat="1" applyFont="1" applyFill="1" applyBorder="1" applyAlignment="1">
      <alignment vertical="center"/>
    </xf>
    <xf numFmtId="164" fontId="1" fillId="11" borderId="10" xfId="0" applyNumberFormat="1" applyFont="1" applyFill="1" applyBorder="1" applyAlignment="1">
      <alignment vertical="center"/>
    </xf>
    <xf numFmtId="0" fontId="13" fillId="11" borderId="42" xfId="0" applyFont="1" applyFill="1" applyBorder="1" applyAlignment="1">
      <alignment vertical="center"/>
    </xf>
    <xf numFmtId="164" fontId="1" fillId="11" borderId="44" xfId="0" applyNumberFormat="1" applyFont="1" applyFill="1" applyBorder="1" applyAlignment="1">
      <alignment vertical="center"/>
    </xf>
    <xf numFmtId="164" fontId="1" fillId="11" borderId="45" xfId="0" applyNumberFormat="1" applyFont="1" applyFill="1" applyBorder="1" applyAlignment="1">
      <alignment vertical="center"/>
    </xf>
    <xf numFmtId="0" fontId="14" fillId="2" borderId="31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vertical="center"/>
    </xf>
    <xf numFmtId="10" fontId="1" fillId="7" borderId="27" xfId="0" applyNumberFormat="1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vertical="center"/>
    </xf>
    <xf numFmtId="0" fontId="17" fillId="0" borderId="0" xfId="0" applyFont="1" applyAlignment="1">
      <alignment vertical="center"/>
    </xf>
    <xf numFmtId="0" fontId="10" fillId="10" borderId="40" xfId="0" applyFont="1" applyFill="1" applyBorder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10" fillId="10" borderId="21" xfId="0" applyFont="1" applyFill="1" applyBorder="1" applyAlignment="1">
      <alignment horizontal="center" vertical="center"/>
    </xf>
    <xf numFmtId="0" fontId="10" fillId="10" borderId="43" xfId="0" applyFont="1" applyFill="1" applyBorder="1" applyAlignment="1">
      <alignment horizontal="center" vertical="center"/>
    </xf>
    <xf numFmtId="0" fontId="9" fillId="13" borderId="1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11" fillId="8" borderId="22" xfId="0" applyFont="1" applyFill="1" applyBorder="1" applyAlignment="1">
      <alignment horizontal="center" vertical="center"/>
    </xf>
    <xf numFmtId="0" fontId="11" fillId="8" borderId="23" xfId="0" applyFont="1" applyFill="1" applyBorder="1" applyAlignment="1">
      <alignment horizontal="center" vertical="center"/>
    </xf>
    <xf numFmtId="0" fontId="11" fillId="8" borderId="25" xfId="0" applyFont="1" applyFill="1" applyBorder="1" applyAlignment="1">
      <alignment horizontal="center" vertical="center"/>
    </xf>
    <xf numFmtId="0" fontId="11" fillId="8" borderId="26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10" fillId="10" borderId="28" xfId="0" applyFont="1" applyFill="1" applyBorder="1" applyAlignment="1">
      <alignment horizontal="center" vertical="center"/>
    </xf>
    <xf numFmtId="0" fontId="10" fillId="10" borderId="29" xfId="0" applyFont="1" applyFill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10</xdr:row>
      <xdr:rowOff>19050</xdr:rowOff>
    </xdr:from>
    <xdr:ext cx="238125" cy="276225"/>
    <xdr:sp macro="" textlink="">
      <xdr:nvSpPr>
        <xdr:cNvPr id="3" name="Shape 3" descr="&quot;&quot;" title="Money Icon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231700" y="3646650"/>
          <a:ext cx="228600" cy="266700"/>
        </a:xfrm>
        <a:custGeom>
          <a:avLst/>
          <a:gdLst/>
          <a:ahLst/>
          <a:cxnLst/>
          <a:rect l="l" t="t" r="r" b="b"/>
          <a:pathLst>
            <a:path w="214" h="280" extrusionOk="0">
              <a:moveTo>
                <a:pt x="100" y="111"/>
              </a:moveTo>
              <a:lnTo>
                <a:pt x="98" y="111"/>
              </a:lnTo>
              <a:lnTo>
                <a:pt x="96" y="112"/>
              </a:lnTo>
              <a:lnTo>
                <a:pt x="96" y="114"/>
              </a:lnTo>
              <a:lnTo>
                <a:pt x="95" y="116"/>
              </a:lnTo>
              <a:lnTo>
                <a:pt x="95" y="128"/>
              </a:lnTo>
              <a:lnTo>
                <a:pt x="84" y="131"/>
              </a:lnTo>
              <a:lnTo>
                <a:pt x="76" y="137"/>
              </a:lnTo>
              <a:lnTo>
                <a:pt x="73" y="144"/>
              </a:lnTo>
              <a:lnTo>
                <a:pt x="70" y="152"/>
              </a:lnTo>
              <a:lnTo>
                <a:pt x="70" y="157"/>
              </a:lnTo>
              <a:lnTo>
                <a:pt x="74" y="167"/>
              </a:lnTo>
              <a:lnTo>
                <a:pt x="79" y="173"/>
              </a:lnTo>
              <a:lnTo>
                <a:pt x="86" y="177"/>
              </a:lnTo>
              <a:lnTo>
                <a:pt x="113" y="188"/>
              </a:lnTo>
              <a:lnTo>
                <a:pt x="117" y="189"/>
              </a:lnTo>
              <a:lnTo>
                <a:pt x="120" y="191"/>
              </a:lnTo>
              <a:lnTo>
                <a:pt x="121" y="193"/>
              </a:lnTo>
              <a:lnTo>
                <a:pt x="122" y="195"/>
              </a:lnTo>
              <a:lnTo>
                <a:pt x="122" y="199"/>
              </a:lnTo>
              <a:lnTo>
                <a:pt x="121" y="201"/>
              </a:lnTo>
              <a:lnTo>
                <a:pt x="120" y="203"/>
              </a:lnTo>
              <a:lnTo>
                <a:pt x="117" y="205"/>
              </a:lnTo>
              <a:lnTo>
                <a:pt x="114" y="205"/>
              </a:lnTo>
              <a:lnTo>
                <a:pt x="111" y="206"/>
              </a:lnTo>
              <a:lnTo>
                <a:pt x="106" y="206"/>
              </a:lnTo>
              <a:lnTo>
                <a:pt x="102" y="206"/>
              </a:lnTo>
              <a:lnTo>
                <a:pt x="99" y="205"/>
              </a:lnTo>
              <a:lnTo>
                <a:pt x="96" y="205"/>
              </a:lnTo>
              <a:lnTo>
                <a:pt x="94" y="203"/>
              </a:lnTo>
              <a:lnTo>
                <a:pt x="92" y="201"/>
              </a:lnTo>
              <a:lnTo>
                <a:pt x="92" y="199"/>
              </a:lnTo>
              <a:lnTo>
                <a:pt x="92" y="195"/>
              </a:lnTo>
              <a:lnTo>
                <a:pt x="90" y="193"/>
              </a:lnTo>
              <a:lnTo>
                <a:pt x="90" y="192"/>
              </a:lnTo>
              <a:lnTo>
                <a:pt x="89" y="191"/>
              </a:lnTo>
              <a:lnTo>
                <a:pt x="87" y="191"/>
              </a:lnTo>
              <a:lnTo>
                <a:pt x="73" y="191"/>
              </a:lnTo>
              <a:lnTo>
                <a:pt x="70" y="191"/>
              </a:lnTo>
              <a:lnTo>
                <a:pt x="69" y="192"/>
              </a:lnTo>
              <a:lnTo>
                <a:pt x="68" y="193"/>
              </a:lnTo>
              <a:lnTo>
                <a:pt x="68" y="195"/>
              </a:lnTo>
              <a:lnTo>
                <a:pt x="68" y="200"/>
              </a:lnTo>
              <a:lnTo>
                <a:pt x="70" y="207"/>
              </a:lnTo>
              <a:lnTo>
                <a:pt x="75" y="214"/>
              </a:lnTo>
              <a:lnTo>
                <a:pt x="83" y="220"/>
              </a:lnTo>
              <a:lnTo>
                <a:pt x="95" y="223"/>
              </a:lnTo>
              <a:lnTo>
                <a:pt x="95" y="234"/>
              </a:lnTo>
              <a:lnTo>
                <a:pt x="96" y="237"/>
              </a:lnTo>
              <a:lnTo>
                <a:pt x="96" y="239"/>
              </a:lnTo>
              <a:lnTo>
                <a:pt x="98" y="239"/>
              </a:lnTo>
              <a:lnTo>
                <a:pt x="100" y="240"/>
              </a:lnTo>
              <a:lnTo>
                <a:pt x="116" y="240"/>
              </a:lnTo>
              <a:lnTo>
                <a:pt x="118" y="239"/>
              </a:lnTo>
              <a:lnTo>
                <a:pt x="119" y="239"/>
              </a:lnTo>
              <a:lnTo>
                <a:pt x="120" y="237"/>
              </a:lnTo>
              <a:lnTo>
                <a:pt x="120" y="234"/>
              </a:lnTo>
              <a:lnTo>
                <a:pt x="120" y="223"/>
              </a:lnTo>
              <a:lnTo>
                <a:pt x="132" y="219"/>
              </a:lnTo>
              <a:lnTo>
                <a:pt x="139" y="213"/>
              </a:lnTo>
              <a:lnTo>
                <a:pt x="143" y="207"/>
              </a:lnTo>
              <a:lnTo>
                <a:pt x="144" y="200"/>
              </a:lnTo>
              <a:lnTo>
                <a:pt x="144" y="190"/>
              </a:lnTo>
              <a:lnTo>
                <a:pt x="142" y="182"/>
              </a:lnTo>
              <a:lnTo>
                <a:pt x="136" y="175"/>
              </a:lnTo>
              <a:lnTo>
                <a:pt x="126" y="170"/>
              </a:lnTo>
              <a:lnTo>
                <a:pt x="99" y="161"/>
              </a:lnTo>
              <a:lnTo>
                <a:pt x="97" y="160"/>
              </a:lnTo>
              <a:lnTo>
                <a:pt x="96" y="157"/>
              </a:lnTo>
              <a:lnTo>
                <a:pt x="94" y="156"/>
              </a:lnTo>
              <a:lnTo>
                <a:pt x="94" y="154"/>
              </a:lnTo>
              <a:lnTo>
                <a:pt x="94" y="152"/>
              </a:lnTo>
              <a:lnTo>
                <a:pt x="94" y="149"/>
              </a:lnTo>
              <a:lnTo>
                <a:pt x="95" y="147"/>
              </a:lnTo>
              <a:lnTo>
                <a:pt x="97" y="146"/>
              </a:lnTo>
              <a:lnTo>
                <a:pt x="100" y="145"/>
              </a:lnTo>
              <a:lnTo>
                <a:pt x="103" y="144"/>
              </a:lnTo>
              <a:lnTo>
                <a:pt x="107" y="144"/>
              </a:lnTo>
              <a:lnTo>
                <a:pt x="111" y="144"/>
              </a:lnTo>
              <a:lnTo>
                <a:pt x="114" y="145"/>
              </a:lnTo>
              <a:lnTo>
                <a:pt x="117" y="146"/>
              </a:lnTo>
              <a:lnTo>
                <a:pt x="119" y="147"/>
              </a:lnTo>
              <a:lnTo>
                <a:pt x="120" y="149"/>
              </a:lnTo>
              <a:lnTo>
                <a:pt x="121" y="152"/>
              </a:lnTo>
              <a:lnTo>
                <a:pt x="121" y="155"/>
              </a:lnTo>
              <a:lnTo>
                <a:pt x="121" y="157"/>
              </a:lnTo>
              <a:lnTo>
                <a:pt x="122" y="158"/>
              </a:lnTo>
              <a:lnTo>
                <a:pt x="123" y="160"/>
              </a:lnTo>
              <a:lnTo>
                <a:pt x="125" y="160"/>
              </a:lnTo>
              <a:lnTo>
                <a:pt x="139" y="160"/>
              </a:lnTo>
              <a:lnTo>
                <a:pt x="141" y="160"/>
              </a:lnTo>
              <a:lnTo>
                <a:pt x="142" y="158"/>
              </a:lnTo>
              <a:lnTo>
                <a:pt x="143" y="157"/>
              </a:lnTo>
              <a:lnTo>
                <a:pt x="143" y="155"/>
              </a:lnTo>
              <a:lnTo>
                <a:pt x="143" y="152"/>
              </a:lnTo>
              <a:lnTo>
                <a:pt x="142" y="145"/>
              </a:lnTo>
              <a:lnTo>
                <a:pt x="138" y="137"/>
              </a:lnTo>
              <a:lnTo>
                <a:pt x="131" y="132"/>
              </a:lnTo>
              <a:lnTo>
                <a:pt x="120" y="128"/>
              </a:lnTo>
              <a:lnTo>
                <a:pt x="120" y="116"/>
              </a:lnTo>
              <a:lnTo>
                <a:pt x="120" y="114"/>
              </a:lnTo>
              <a:lnTo>
                <a:pt x="119" y="112"/>
              </a:lnTo>
              <a:lnTo>
                <a:pt x="118" y="111"/>
              </a:lnTo>
              <a:lnTo>
                <a:pt x="116" y="111"/>
              </a:lnTo>
              <a:lnTo>
                <a:pt x="100" y="111"/>
              </a:lnTo>
              <a:close/>
              <a:moveTo>
                <a:pt x="62" y="0"/>
              </a:moveTo>
              <a:lnTo>
                <a:pt x="153" y="0"/>
              </a:lnTo>
              <a:lnTo>
                <a:pt x="157" y="0"/>
              </a:lnTo>
              <a:lnTo>
                <a:pt x="160" y="1"/>
              </a:lnTo>
              <a:lnTo>
                <a:pt x="162" y="3"/>
              </a:lnTo>
              <a:lnTo>
                <a:pt x="163" y="5"/>
              </a:lnTo>
              <a:lnTo>
                <a:pt x="163" y="8"/>
              </a:lnTo>
              <a:lnTo>
                <a:pt x="161" y="11"/>
              </a:lnTo>
              <a:lnTo>
                <a:pt x="159" y="14"/>
              </a:lnTo>
              <a:lnTo>
                <a:pt x="132" y="58"/>
              </a:lnTo>
              <a:lnTo>
                <a:pt x="154" y="67"/>
              </a:lnTo>
              <a:lnTo>
                <a:pt x="174" y="79"/>
              </a:lnTo>
              <a:lnTo>
                <a:pt x="191" y="95"/>
              </a:lnTo>
              <a:lnTo>
                <a:pt x="202" y="115"/>
              </a:lnTo>
              <a:lnTo>
                <a:pt x="211" y="137"/>
              </a:lnTo>
              <a:lnTo>
                <a:pt x="214" y="163"/>
              </a:lnTo>
              <a:lnTo>
                <a:pt x="214" y="163"/>
              </a:lnTo>
              <a:lnTo>
                <a:pt x="214" y="164"/>
              </a:lnTo>
              <a:lnTo>
                <a:pt x="214" y="253"/>
              </a:lnTo>
              <a:lnTo>
                <a:pt x="213" y="258"/>
              </a:lnTo>
              <a:lnTo>
                <a:pt x="212" y="263"/>
              </a:lnTo>
              <a:lnTo>
                <a:pt x="210" y="267"/>
              </a:lnTo>
              <a:lnTo>
                <a:pt x="199" y="277"/>
              </a:lnTo>
              <a:lnTo>
                <a:pt x="195" y="279"/>
              </a:lnTo>
              <a:lnTo>
                <a:pt x="191" y="280"/>
              </a:lnTo>
              <a:lnTo>
                <a:pt x="187" y="280"/>
              </a:lnTo>
              <a:lnTo>
                <a:pt x="26" y="280"/>
              </a:lnTo>
              <a:lnTo>
                <a:pt x="22" y="280"/>
              </a:lnTo>
              <a:lnTo>
                <a:pt x="18" y="279"/>
              </a:lnTo>
              <a:lnTo>
                <a:pt x="13" y="277"/>
              </a:lnTo>
              <a:lnTo>
                <a:pt x="4" y="267"/>
              </a:lnTo>
              <a:lnTo>
                <a:pt x="2" y="263"/>
              </a:lnTo>
              <a:lnTo>
                <a:pt x="0" y="258"/>
              </a:lnTo>
              <a:lnTo>
                <a:pt x="0" y="253"/>
              </a:lnTo>
              <a:lnTo>
                <a:pt x="0" y="164"/>
              </a:lnTo>
              <a:lnTo>
                <a:pt x="0" y="163"/>
              </a:lnTo>
              <a:lnTo>
                <a:pt x="0" y="163"/>
              </a:lnTo>
              <a:lnTo>
                <a:pt x="2" y="137"/>
              </a:lnTo>
              <a:lnTo>
                <a:pt x="10" y="115"/>
              </a:lnTo>
              <a:lnTo>
                <a:pt x="24" y="95"/>
              </a:lnTo>
              <a:lnTo>
                <a:pt x="41" y="78"/>
              </a:lnTo>
              <a:lnTo>
                <a:pt x="61" y="66"/>
              </a:lnTo>
              <a:lnTo>
                <a:pt x="83" y="58"/>
              </a:lnTo>
              <a:lnTo>
                <a:pt x="57" y="14"/>
              </a:lnTo>
              <a:lnTo>
                <a:pt x="54" y="11"/>
              </a:lnTo>
              <a:lnTo>
                <a:pt x="52" y="8"/>
              </a:lnTo>
              <a:lnTo>
                <a:pt x="52" y="5"/>
              </a:lnTo>
              <a:lnTo>
                <a:pt x="54" y="3"/>
              </a:lnTo>
              <a:lnTo>
                <a:pt x="56" y="1"/>
              </a:lnTo>
              <a:lnTo>
                <a:pt x="59" y="0"/>
              </a:lnTo>
              <a:lnTo>
                <a:pt x="62" y="0"/>
              </a:lnTo>
              <a:close/>
            </a:path>
          </a:pathLst>
        </a:custGeom>
        <a:solidFill>
          <a:schemeClr val="lt1"/>
        </a:solidFill>
        <a:ln>
          <a:noFill/>
        </a:ln>
      </xdr:spPr>
    </xdr:sp>
    <xdr:clientData fLocksWithSheet="0"/>
  </xdr:oneCellAnchor>
  <xdr:oneCellAnchor>
    <xdr:from>
      <xdr:col>7</xdr:col>
      <xdr:colOff>57150</xdr:colOff>
      <xdr:row>10</xdr:row>
      <xdr:rowOff>19050</xdr:rowOff>
    </xdr:from>
    <xdr:ext cx="238125" cy="276225"/>
    <xdr:sp macro="" textlink="">
      <xdr:nvSpPr>
        <xdr:cNvPr id="2" name="Shape 3" descr="&quot;&quot;" title="Money Ico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231700" y="3646650"/>
          <a:ext cx="228600" cy="266700"/>
        </a:xfrm>
        <a:custGeom>
          <a:avLst/>
          <a:gdLst/>
          <a:ahLst/>
          <a:cxnLst/>
          <a:rect l="l" t="t" r="r" b="b"/>
          <a:pathLst>
            <a:path w="214" h="280" extrusionOk="0">
              <a:moveTo>
                <a:pt x="100" y="111"/>
              </a:moveTo>
              <a:lnTo>
                <a:pt x="98" y="111"/>
              </a:lnTo>
              <a:lnTo>
                <a:pt x="96" y="112"/>
              </a:lnTo>
              <a:lnTo>
                <a:pt x="96" y="114"/>
              </a:lnTo>
              <a:lnTo>
                <a:pt x="95" y="116"/>
              </a:lnTo>
              <a:lnTo>
                <a:pt x="95" y="128"/>
              </a:lnTo>
              <a:lnTo>
                <a:pt x="84" y="131"/>
              </a:lnTo>
              <a:lnTo>
                <a:pt x="76" y="137"/>
              </a:lnTo>
              <a:lnTo>
                <a:pt x="73" y="144"/>
              </a:lnTo>
              <a:lnTo>
                <a:pt x="70" y="152"/>
              </a:lnTo>
              <a:lnTo>
                <a:pt x="70" y="157"/>
              </a:lnTo>
              <a:lnTo>
                <a:pt x="74" y="167"/>
              </a:lnTo>
              <a:lnTo>
                <a:pt x="79" y="173"/>
              </a:lnTo>
              <a:lnTo>
                <a:pt x="86" y="177"/>
              </a:lnTo>
              <a:lnTo>
                <a:pt x="113" y="188"/>
              </a:lnTo>
              <a:lnTo>
                <a:pt x="117" y="189"/>
              </a:lnTo>
              <a:lnTo>
                <a:pt x="120" y="191"/>
              </a:lnTo>
              <a:lnTo>
                <a:pt x="121" y="193"/>
              </a:lnTo>
              <a:lnTo>
                <a:pt x="122" y="195"/>
              </a:lnTo>
              <a:lnTo>
                <a:pt x="122" y="199"/>
              </a:lnTo>
              <a:lnTo>
                <a:pt x="121" y="201"/>
              </a:lnTo>
              <a:lnTo>
                <a:pt x="120" y="203"/>
              </a:lnTo>
              <a:lnTo>
                <a:pt x="117" y="205"/>
              </a:lnTo>
              <a:lnTo>
                <a:pt x="114" y="205"/>
              </a:lnTo>
              <a:lnTo>
                <a:pt x="111" y="206"/>
              </a:lnTo>
              <a:lnTo>
                <a:pt x="106" y="206"/>
              </a:lnTo>
              <a:lnTo>
                <a:pt x="102" y="206"/>
              </a:lnTo>
              <a:lnTo>
                <a:pt x="99" y="205"/>
              </a:lnTo>
              <a:lnTo>
                <a:pt x="96" y="205"/>
              </a:lnTo>
              <a:lnTo>
                <a:pt x="94" y="203"/>
              </a:lnTo>
              <a:lnTo>
                <a:pt x="92" y="201"/>
              </a:lnTo>
              <a:lnTo>
                <a:pt x="92" y="199"/>
              </a:lnTo>
              <a:lnTo>
                <a:pt x="92" y="195"/>
              </a:lnTo>
              <a:lnTo>
                <a:pt x="90" y="193"/>
              </a:lnTo>
              <a:lnTo>
                <a:pt x="90" y="192"/>
              </a:lnTo>
              <a:lnTo>
                <a:pt x="89" y="191"/>
              </a:lnTo>
              <a:lnTo>
                <a:pt x="87" y="191"/>
              </a:lnTo>
              <a:lnTo>
                <a:pt x="73" y="191"/>
              </a:lnTo>
              <a:lnTo>
                <a:pt x="70" y="191"/>
              </a:lnTo>
              <a:lnTo>
                <a:pt x="69" y="192"/>
              </a:lnTo>
              <a:lnTo>
                <a:pt x="68" y="193"/>
              </a:lnTo>
              <a:lnTo>
                <a:pt x="68" y="195"/>
              </a:lnTo>
              <a:lnTo>
                <a:pt x="68" y="200"/>
              </a:lnTo>
              <a:lnTo>
                <a:pt x="70" y="207"/>
              </a:lnTo>
              <a:lnTo>
                <a:pt x="75" y="214"/>
              </a:lnTo>
              <a:lnTo>
                <a:pt x="83" y="220"/>
              </a:lnTo>
              <a:lnTo>
                <a:pt x="95" y="223"/>
              </a:lnTo>
              <a:lnTo>
                <a:pt x="95" y="234"/>
              </a:lnTo>
              <a:lnTo>
                <a:pt x="96" y="237"/>
              </a:lnTo>
              <a:lnTo>
                <a:pt x="96" y="239"/>
              </a:lnTo>
              <a:lnTo>
                <a:pt x="98" y="239"/>
              </a:lnTo>
              <a:lnTo>
                <a:pt x="100" y="240"/>
              </a:lnTo>
              <a:lnTo>
                <a:pt x="116" y="240"/>
              </a:lnTo>
              <a:lnTo>
                <a:pt x="118" y="239"/>
              </a:lnTo>
              <a:lnTo>
                <a:pt x="119" y="239"/>
              </a:lnTo>
              <a:lnTo>
                <a:pt x="120" y="237"/>
              </a:lnTo>
              <a:lnTo>
                <a:pt x="120" y="234"/>
              </a:lnTo>
              <a:lnTo>
                <a:pt x="120" y="223"/>
              </a:lnTo>
              <a:lnTo>
                <a:pt x="132" y="219"/>
              </a:lnTo>
              <a:lnTo>
                <a:pt x="139" y="213"/>
              </a:lnTo>
              <a:lnTo>
                <a:pt x="143" y="207"/>
              </a:lnTo>
              <a:lnTo>
                <a:pt x="144" y="200"/>
              </a:lnTo>
              <a:lnTo>
                <a:pt x="144" y="190"/>
              </a:lnTo>
              <a:lnTo>
                <a:pt x="142" y="182"/>
              </a:lnTo>
              <a:lnTo>
                <a:pt x="136" y="175"/>
              </a:lnTo>
              <a:lnTo>
                <a:pt x="126" y="170"/>
              </a:lnTo>
              <a:lnTo>
                <a:pt x="99" y="161"/>
              </a:lnTo>
              <a:lnTo>
                <a:pt x="97" y="160"/>
              </a:lnTo>
              <a:lnTo>
                <a:pt x="96" y="157"/>
              </a:lnTo>
              <a:lnTo>
                <a:pt x="94" y="156"/>
              </a:lnTo>
              <a:lnTo>
                <a:pt x="94" y="154"/>
              </a:lnTo>
              <a:lnTo>
                <a:pt x="94" y="152"/>
              </a:lnTo>
              <a:lnTo>
                <a:pt x="94" y="149"/>
              </a:lnTo>
              <a:lnTo>
                <a:pt x="95" y="147"/>
              </a:lnTo>
              <a:lnTo>
                <a:pt x="97" y="146"/>
              </a:lnTo>
              <a:lnTo>
                <a:pt x="100" y="145"/>
              </a:lnTo>
              <a:lnTo>
                <a:pt x="103" y="144"/>
              </a:lnTo>
              <a:lnTo>
                <a:pt x="107" y="144"/>
              </a:lnTo>
              <a:lnTo>
                <a:pt x="111" y="144"/>
              </a:lnTo>
              <a:lnTo>
                <a:pt x="114" y="145"/>
              </a:lnTo>
              <a:lnTo>
                <a:pt x="117" y="146"/>
              </a:lnTo>
              <a:lnTo>
                <a:pt x="119" y="147"/>
              </a:lnTo>
              <a:lnTo>
                <a:pt x="120" y="149"/>
              </a:lnTo>
              <a:lnTo>
                <a:pt x="121" y="152"/>
              </a:lnTo>
              <a:lnTo>
                <a:pt x="121" y="155"/>
              </a:lnTo>
              <a:lnTo>
                <a:pt x="121" y="157"/>
              </a:lnTo>
              <a:lnTo>
                <a:pt x="122" y="158"/>
              </a:lnTo>
              <a:lnTo>
                <a:pt x="123" y="160"/>
              </a:lnTo>
              <a:lnTo>
                <a:pt x="125" y="160"/>
              </a:lnTo>
              <a:lnTo>
                <a:pt x="139" y="160"/>
              </a:lnTo>
              <a:lnTo>
                <a:pt x="141" y="160"/>
              </a:lnTo>
              <a:lnTo>
                <a:pt x="142" y="158"/>
              </a:lnTo>
              <a:lnTo>
                <a:pt x="143" y="157"/>
              </a:lnTo>
              <a:lnTo>
                <a:pt x="143" y="155"/>
              </a:lnTo>
              <a:lnTo>
                <a:pt x="143" y="152"/>
              </a:lnTo>
              <a:lnTo>
                <a:pt x="142" y="145"/>
              </a:lnTo>
              <a:lnTo>
                <a:pt x="138" y="137"/>
              </a:lnTo>
              <a:lnTo>
                <a:pt x="131" y="132"/>
              </a:lnTo>
              <a:lnTo>
                <a:pt x="120" y="128"/>
              </a:lnTo>
              <a:lnTo>
                <a:pt x="120" y="116"/>
              </a:lnTo>
              <a:lnTo>
                <a:pt x="120" y="114"/>
              </a:lnTo>
              <a:lnTo>
                <a:pt x="119" y="112"/>
              </a:lnTo>
              <a:lnTo>
                <a:pt x="118" y="111"/>
              </a:lnTo>
              <a:lnTo>
                <a:pt x="116" y="111"/>
              </a:lnTo>
              <a:lnTo>
                <a:pt x="100" y="111"/>
              </a:lnTo>
              <a:close/>
              <a:moveTo>
                <a:pt x="62" y="0"/>
              </a:moveTo>
              <a:lnTo>
                <a:pt x="153" y="0"/>
              </a:lnTo>
              <a:lnTo>
                <a:pt x="157" y="0"/>
              </a:lnTo>
              <a:lnTo>
                <a:pt x="160" y="1"/>
              </a:lnTo>
              <a:lnTo>
                <a:pt x="162" y="3"/>
              </a:lnTo>
              <a:lnTo>
                <a:pt x="163" y="5"/>
              </a:lnTo>
              <a:lnTo>
                <a:pt x="163" y="8"/>
              </a:lnTo>
              <a:lnTo>
                <a:pt x="161" y="11"/>
              </a:lnTo>
              <a:lnTo>
                <a:pt x="159" y="14"/>
              </a:lnTo>
              <a:lnTo>
                <a:pt x="132" y="58"/>
              </a:lnTo>
              <a:lnTo>
                <a:pt x="154" y="67"/>
              </a:lnTo>
              <a:lnTo>
                <a:pt x="174" y="79"/>
              </a:lnTo>
              <a:lnTo>
                <a:pt x="191" y="95"/>
              </a:lnTo>
              <a:lnTo>
                <a:pt x="202" y="115"/>
              </a:lnTo>
              <a:lnTo>
                <a:pt x="211" y="137"/>
              </a:lnTo>
              <a:lnTo>
                <a:pt x="214" y="163"/>
              </a:lnTo>
              <a:lnTo>
                <a:pt x="214" y="163"/>
              </a:lnTo>
              <a:lnTo>
                <a:pt x="214" y="164"/>
              </a:lnTo>
              <a:lnTo>
                <a:pt x="214" y="253"/>
              </a:lnTo>
              <a:lnTo>
                <a:pt x="213" y="258"/>
              </a:lnTo>
              <a:lnTo>
                <a:pt x="212" y="263"/>
              </a:lnTo>
              <a:lnTo>
                <a:pt x="210" y="267"/>
              </a:lnTo>
              <a:lnTo>
                <a:pt x="199" y="277"/>
              </a:lnTo>
              <a:lnTo>
                <a:pt x="195" y="279"/>
              </a:lnTo>
              <a:lnTo>
                <a:pt x="191" y="280"/>
              </a:lnTo>
              <a:lnTo>
                <a:pt x="187" y="280"/>
              </a:lnTo>
              <a:lnTo>
                <a:pt x="26" y="280"/>
              </a:lnTo>
              <a:lnTo>
                <a:pt x="22" y="280"/>
              </a:lnTo>
              <a:lnTo>
                <a:pt x="18" y="279"/>
              </a:lnTo>
              <a:lnTo>
                <a:pt x="13" y="277"/>
              </a:lnTo>
              <a:lnTo>
                <a:pt x="4" y="267"/>
              </a:lnTo>
              <a:lnTo>
                <a:pt x="2" y="263"/>
              </a:lnTo>
              <a:lnTo>
                <a:pt x="0" y="258"/>
              </a:lnTo>
              <a:lnTo>
                <a:pt x="0" y="253"/>
              </a:lnTo>
              <a:lnTo>
                <a:pt x="0" y="164"/>
              </a:lnTo>
              <a:lnTo>
                <a:pt x="0" y="163"/>
              </a:lnTo>
              <a:lnTo>
                <a:pt x="0" y="163"/>
              </a:lnTo>
              <a:lnTo>
                <a:pt x="2" y="137"/>
              </a:lnTo>
              <a:lnTo>
                <a:pt x="10" y="115"/>
              </a:lnTo>
              <a:lnTo>
                <a:pt x="24" y="95"/>
              </a:lnTo>
              <a:lnTo>
                <a:pt x="41" y="78"/>
              </a:lnTo>
              <a:lnTo>
                <a:pt x="61" y="66"/>
              </a:lnTo>
              <a:lnTo>
                <a:pt x="83" y="58"/>
              </a:lnTo>
              <a:lnTo>
                <a:pt x="57" y="14"/>
              </a:lnTo>
              <a:lnTo>
                <a:pt x="54" y="11"/>
              </a:lnTo>
              <a:lnTo>
                <a:pt x="52" y="8"/>
              </a:lnTo>
              <a:lnTo>
                <a:pt x="52" y="5"/>
              </a:lnTo>
              <a:lnTo>
                <a:pt x="54" y="3"/>
              </a:lnTo>
              <a:lnTo>
                <a:pt x="56" y="1"/>
              </a:lnTo>
              <a:lnTo>
                <a:pt x="59" y="0"/>
              </a:lnTo>
              <a:lnTo>
                <a:pt x="62" y="0"/>
              </a:lnTo>
              <a:close/>
            </a:path>
          </a:pathLst>
        </a:custGeom>
        <a:solidFill>
          <a:schemeClr val="lt1"/>
        </a:solidFill>
        <a:ln>
          <a:noFill/>
        </a:ln>
      </xdr:spPr>
    </xdr:sp>
    <xdr:clientData fLocksWithSheet="0"/>
  </xdr:oneCellAnchor>
  <xdr:oneCellAnchor>
    <xdr:from>
      <xdr:col>1</xdr:col>
      <xdr:colOff>102870</xdr:colOff>
      <xdr:row>1</xdr:row>
      <xdr:rowOff>76200</xdr:rowOff>
    </xdr:from>
    <xdr:ext cx="1011555" cy="857250"/>
    <xdr:pic>
      <xdr:nvPicPr>
        <xdr:cNvPr id="4" name="image1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0495" y="76200"/>
          <a:ext cx="1011555" cy="857250"/>
        </a:xfrm>
        <a:prstGeom prst="rect">
          <a:avLst/>
        </a:prstGeom>
        <a:noFill/>
      </xdr:spPr>
    </xdr:pic>
    <xdr:clientData fLocksWithSheet="0"/>
  </xdr:oneCellAnchor>
  <xdr:twoCellAnchor>
    <xdr:from>
      <xdr:col>5</xdr:col>
      <xdr:colOff>666750</xdr:colOff>
      <xdr:row>2</xdr:row>
      <xdr:rowOff>76199</xdr:rowOff>
    </xdr:from>
    <xdr:to>
      <xdr:col>7</xdr:col>
      <xdr:colOff>20955</xdr:colOff>
      <xdr:row>6</xdr:row>
      <xdr:rowOff>0</xdr:rowOff>
    </xdr:to>
    <xdr:sp macro="" textlink="">
      <xdr:nvSpPr>
        <xdr:cNvPr id="5" name="Texto Explicativo: Linha Dobrada 4">
          <a:extLst>
            <a:ext uri="{FF2B5EF4-FFF2-40B4-BE49-F238E27FC236}">
              <a16:creationId xmlns:a16="http://schemas.microsoft.com/office/drawing/2014/main" id="{632C5048-4E56-4D12-A940-2ABFAD2A4692}"/>
            </a:ext>
          </a:extLst>
        </xdr:cNvPr>
        <xdr:cNvSpPr/>
      </xdr:nvSpPr>
      <xdr:spPr>
        <a:xfrm>
          <a:off x="4124325" y="1162049"/>
          <a:ext cx="973455" cy="790576"/>
        </a:xfrm>
        <a:prstGeom prst="borderCallout2">
          <a:avLst>
            <a:gd name="adj1" fmla="val 18750"/>
            <a:gd name="adj2" fmla="val 427"/>
            <a:gd name="adj3" fmla="val 18750"/>
            <a:gd name="adj4" fmla="val -16667"/>
            <a:gd name="adj5" fmla="val 71504"/>
            <a:gd name="adj6" fmla="val -66615"/>
          </a:avLst>
        </a:prstGeom>
        <a:ln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pt-BR" sz="1100" b="1">
              <a:solidFill>
                <a:sysClr val="windowText" lastClr="000000"/>
              </a:solidFill>
            </a:rPr>
            <a:t>Preencha somente os campos em amarelo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A1E7"/>
    <pageSetUpPr fitToPage="1"/>
  </sheetPr>
  <dimension ref="B1:AB496"/>
  <sheetViews>
    <sheetView showGridLines="0" tabSelected="1" zoomScaleNormal="100" workbookViewId="0">
      <pane ySplit="11" topLeftCell="A12" activePane="bottomLeft" state="frozen"/>
      <selection pane="bottomLeft" activeCell="B2" sqref="B2:L2"/>
    </sheetView>
  </sheetViews>
  <sheetFormatPr defaultColWidth="14.44140625" defaultRowHeight="15" customHeight="1"/>
  <cols>
    <col min="1" max="1" width="0.6640625" style="1" customWidth="1"/>
    <col min="2" max="2" width="4.6640625" style="1" bestFit="1" customWidth="1"/>
    <col min="3" max="3" width="16.5546875" style="1" bestFit="1" customWidth="1"/>
    <col min="4" max="4" width="12.88671875" style="1" bestFit="1" customWidth="1"/>
    <col min="5" max="5" width="16.5546875" style="1" bestFit="1" customWidth="1"/>
    <col min="6" max="6" width="18.6640625" style="1" bestFit="1" customWidth="1"/>
    <col min="7" max="7" width="5" style="1" customWidth="1"/>
    <col min="8" max="8" width="4.6640625" style="1" bestFit="1" customWidth="1"/>
    <col min="9" max="9" width="17.5546875" style="1" customWidth="1"/>
    <col min="10" max="10" width="14" style="1" bestFit="1" customWidth="1"/>
    <col min="11" max="11" width="15.5546875" style="1" bestFit="1" customWidth="1"/>
    <col min="12" max="12" width="18.6640625" style="1" bestFit="1" customWidth="1"/>
    <col min="13" max="13" width="14.44140625" style="1"/>
    <col min="14" max="14" width="18.88671875" style="1" customWidth="1"/>
    <col min="15" max="16" width="13.109375" style="1" customWidth="1"/>
    <col min="17" max="28" width="8.6640625" style="1" customWidth="1"/>
    <col min="29" max="16384" width="14.44140625" style="1"/>
  </cols>
  <sheetData>
    <row r="1" spans="2:28" ht="15" customHeight="1">
      <c r="B1" s="51" t="s">
        <v>21</v>
      </c>
    </row>
    <row r="2" spans="2:28" ht="85.8" customHeight="1">
      <c r="B2" s="56" t="s">
        <v>20</v>
      </c>
      <c r="C2" s="56"/>
      <c r="D2" s="56"/>
      <c r="E2" s="56"/>
      <c r="F2" s="56"/>
      <c r="G2" s="56"/>
      <c r="H2" s="56"/>
      <c r="I2" s="56"/>
      <c r="J2" s="56"/>
      <c r="K2" s="56"/>
      <c r="L2" s="56"/>
      <c r="N2" s="50"/>
      <c r="V2" s="2"/>
      <c r="W2" s="2"/>
      <c r="X2" s="2"/>
      <c r="Y2" s="2"/>
      <c r="Z2" s="2"/>
      <c r="AA2" s="2"/>
      <c r="AB2" s="2"/>
    </row>
    <row r="3" spans="2:28" s="3" customFormat="1" ht="16.5" customHeight="1" thickBot="1"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2:28" s="3" customFormat="1" ht="18.75" customHeight="1">
      <c r="B4" s="26"/>
      <c r="C4" s="67" t="s">
        <v>0</v>
      </c>
      <c r="D4" s="68"/>
      <c r="E4" s="69"/>
      <c r="F4" s="27"/>
      <c r="G4" s="28"/>
      <c r="H4" s="28"/>
      <c r="I4" s="52" t="s">
        <v>1</v>
      </c>
      <c r="J4" s="53"/>
      <c r="K4" s="54"/>
      <c r="L4" s="55"/>
      <c r="M4" s="5"/>
      <c r="N4" s="5"/>
      <c r="V4" s="4"/>
      <c r="W4" s="4"/>
      <c r="X4" s="4"/>
      <c r="Y4" s="4"/>
      <c r="Z4" s="4"/>
      <c r="AA4" s="4"/>
      <c r="AB4" s="4"/>
    </row>
    <row r="5" spans="2:28" s="3" customFormat="1" ht="16.5" customHeight="1">
      <c r="B5" s="26"/>
      <c r="C5" s="60" t="s">
        <v>19</v>
      </c>
      <c r="D5" s="61"/>
      <c r="E5" s="29">
        <v>1000000</v>
      </c>
      <c r="F5" s="27"/>
      <c r="G5" s="28"/>
      <c r="H5" s="28"/>
      <c r="I5" s="38"/>
      <c r="J5" s="43"/>
      <c r="K5" s="46" t="s">
        <v>2</v>
      </c>
      <c r="L5" s="47" t="s">
        <v>3</v>
      </c>
      <c r="M5" s="48"/>
      <c r="N5" s="48"/>
      <c r="O5" s="48"/>
      <c r="P5" s="48"/>
      <c r="S5" s="4"/>
      <c r="T5" s="4"/>
      <c r="U5" s="4"/>
      <c r="V5" s="4"/>
      <c r="W5" s="4"/>
      <c r="X5" s="4"/>
      <c r="Y5" s="4"/>
    </row>
    <row r="6" spans="2:28" s="3" customFormat="1" ht="16.5" customHeight="1">
      <c r="B6" s="26"/>
      <c r="C6" s="60" t="s">
        <v>11</v>
      </c>
      <c r="D6" s="61"/>
      <c r="E6" s="29">
        <v>0</v>
      </c>
      <c r="F6" s="27"/>
      <c r="G6" s="28"/>
      <c r="H6" s="28"/>
      <c r="I6" s="32" t="s">
        <v>15</v>
      </c>
      <c r="J6" s="33"/>
      <c r="K6" s="44">
        <f>IF(E14&lt;&gt;0,E14,"")</f>
        <v>9816.4455054347891</v>
      </c>
      <c r="L6" s="45">
        <f>IF(K14&lt;&gt;0,K14,"")</f>
        <v>12266.570712360823</v>
      </c>
      <c r="M6" s="6"/>
      <c r="S6" s="4"/>
      <c r="T6" s="4"/>
      <c r="U6" s="4"/>
      <c r="V6" s="4"/>
      <c r="W6" s="4"/>
      <c r="X6" s="4"/>
      <c r="Y6" s="4"/>
    </row>
    <row r="7" spans="2:28" s="3" customFormat="1" ht="16.5" customHeight="1">
      <c r="B7" s="26"/>
      <c r="C7" s="60" t="s">
        <v>12</v>
      </c>
      <c r="D7" s="61"/>
      <c r="E7" s="30">
        <v>360</v>
      </c>
      <c r="F7" s="27"/>
      <c r="G7" s="28"/>
      <c r="H7" s="28"/>
      <c r="I7" s="34" t="s">
        <v>16</v>
      </c>
      <c r="J7" s="35"/>
      <c r="K7" s="39">
        <f>K6</f>
        <v>9816.4455054347891</v>
      </c>
      <c r="L7" s="40">
        <f>_xlfn.AGGREGATE(15,6,K14:K433/(K14:K433&gt;0),1)</f>
        <v>6.2541660005920985E-11</v>
      </c>
      <c r="M7" s="6"/>
      <c r="S7" s="4"/>
      <c r="T7" s="4"/>
      <c r="U7" s="4"/>
      <c r="V7" s="4"/>
      <c r="W7" s="4"/>
      <c r="X7" s="4"/>
      <c r="Y7" s="4"/>
    </row>
    <row r="8" spans="2:28" s="3" customFormat="1" ht="16.5" customHeight="1">
      <c r="B8" s="26"/>
      <c r="C8" s="60" t="s">
        <v>14</v>
      </c>
      <c r="D8" s="61"/>
      <c r="E8" s="31">
        <v>0.12</v>
      </c>
      <c r="F8" s="27"/>
      <c r="G8" s="28"/>
      <c r="H8" s="28"/>
      <c r="I8" s="34" t="s">
        <v>17</v>
      </c>
      <c r="J8" s="35"/>
      <c r="K8" s="39">
        <f>SUM(D14:D433)</f>
        <v>2533920.3819565256</v>
      </c>
      <c r="L8" s="40">
        <f>SUM(J14:J433)</f>
        <v>1712727.1246922549</v>
      </c>
      <c r="M8" s="7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2:28" s="3" customFormat="1" ht="16.5" customHeight="1" thickBot="1">
      <c r="B9" s="26"/>
      <c r="C9" s="62" t="s">
        <v>13</v>
      </c>
      <c r="D9" s="63"/>
      <c r="E9" s="49">
        <f>(1+E8)^(1/12)-1</f>
        <v>9.4887929345830457E-3</v>
      </c>
      <c r="F9" s="27"/>
      <c r="G9" s="28"/>
      <c r="H9" s="28"/>
      <c r="I9" s="36" t="s">
        <v>18</v>
      </c>
      <c r="J9" s="37"/>
      <c r="K9" s="41">
        <f>SUM(E14:E433)</f>
        <v>3533920.3819565112</v>
      </c>
      <c r="L9" s="42">
        <f>SUM(K14:K433)</f>
        <v>2712727.1246922533</v>
      </c>
      <c r="M9" s="7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spans="2:28" s="3" customFormat="1" ht="16.5" customHeight="1" thickBot="1"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2:28" ht="24.75" customHeight="1" thickBot="1">
      <c r="B11" s="64" t="s">
        <v>4</v>
      </c>
      <c r="C11" s="65"/>
      <c r="D11" s="65"/>
      <c r="E11" s="65"/>
      <c r="F11" s="66"/>
      <c r="G11" s="8"/>
      <c r="H11" s="57" t="s">
        <v>5</v>
      </c>
      <c r="I11" s="58"/>
      <c r="J11" s="58"/>
      <c r="K11" s="58"/>
      <c r="L11" s="59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2:28" ht="16.5" customHeight="1" thickBot="1">
      <c r="B12" s="9" t="s">
        <v>8</v>
      </c>
      <c r="C12" s="10" t="s">
        <v>6</v>
      </c>
      <c r="D12" s="11" t="s">
        <v>7</v>
      </c>
      <c r="E12" s="10" t="s">
        <v>10</v>
      </c>
      <c r="F12" s="12" t="s">
        <v>9</v>
      </c>
      <c r="G12" s="2"/>
      <c r="H12" s="13" t="s">
        <v>8</v>
      </c>
      <c r="I12" s="14" t="s">
        <v>6</v>
      </c>
      <c r="J12" s="15" t="s">
        <v>7</v>
      </c>
      <c r="K12" s="16" t="s">
        <v>10</v>
      </c>
      <c r="L12" s="17" t="s">
        <v>9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2:28" ht="16.5" customHeight="1">
      <c r="B13" s="18">
        <v>0</v>
      </c>
      <c r="C13" s="19">
        <v>0</v>
      </c>
      <c r="D13" s="19">
        <v>0</v>
      </c>
      <c r="E13" s="19">
        <v>0</v>
      </c>
      <c r="F13" s="20">
        <f>valor-entrada</f>
        <v>1000000</v>
      </c>
      <c r="G13" s="21"/>
      <c r="H13" s="18">
        <v>0</v>
      </c>
      <c r="I13" s="19">
        <v>0</v>
      </c>
      <c r="J13" s="19">
        <v>0</v>
      </c>
      <c r="K13" s="19">
        <v>0</v>
      </c>
      <c r="L13" s="20">
        <f>valor-entrada</f>
        <v>1000000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2:28" ht="16.5" customHeight="1">
      <c r="B14" s="22">
        <v>1</v>
      </c>
      <c r="C14" s="23">
        <f>IFERROR(E14-D14,0)</f>
        <v>327.6525708517438</v>
      </c>
      <c r="D14" s="23">
        <f>IFERROR(+F13*$E$9,0)</f>
        <v>9488.7929345830453</v>
      </c>
      <c r="E14" s="23">
        <f>IFERROR(-PMT($E$9,$E$7-B13,F13),0)</f>
        <v>9816.4455054347891</v>
      </c>
      <c r="F14" s="23">
        <f>IFERROR(F13-C14,0)</f>
        <v>999672.34742914827</v>
      </c>
      <c r="G14" s="21"/>
      <c r="H14" s="22">
        <v>1</v>
      </c>
      <c r="I14" s="23">
        <f>L13/$E$7</f>
        <v>2777.7777777777778</v>
      </c>
      <c r="J14" s="23">
        <f t="shared" ref="J14:J77" si="0">+L13*$E$9</f>
        <v>9488.7929345830453</v>
      </c>
      <c r="K14" s="23">
        <f t="shared" ref="K14:K77" si="1">I14+J14</f>
        <v>12266.570712360823</v>
      </c>
      <c r="L14" s="23">
        <f>IFERROR(L13-I14,0)</f>
        <v>997222.22222222225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2:28" ht="16.5" customHeight="1">
      <c r="B15" s="22">
        <f t="shared" ref="B15:B78" si="2">+B14+1</f>
        <v>2</v>
      </c>
      <c r="C15" s="23">
        <f t="shared" ref="C15:C78" si="3">IFERROR(E15-D15,0)</f>
        <v>330.76159825103969</v>
      </c>
      <c r="D15" s="23">
        <f t="shared" ref="D15:D78" si="4">IFERROR(+F14*$E$9,0)</f>
        <v>9485.6839071837494</v>
      </c>
      <c r="E15" s="23">
        <f t="shared" ref="E15:E78" si="5">IFERROR(-PMT($E$9,$E$7-B14,F14),0)</f>
        <v>9816.4455054347891</v>
      </c>
      <c r="F15" s="23">
        <f t="shared" ref="F15:F78" si="6">IFERROR(F14-C15,0)</f>
        <v>999341.58583089721</v>
      </c>
      <c r="G15" s="21"/>
      <c r="H15" s="22">
        <f t="shared" ref="H15:H78" si="7">+H14+1</f>
        <v>2</v>
      </c>
      <c r="I15" s="23">
        <f>IF(H15&gt;$E$7,0,I14)</f>
        <v>2777.7777777777778</v>
      </c>
      <c r="J15" s="23">
        <f t="shared" si="0"/>
        <v>9462.435176431427</v>
      </c>
      <c r="K15" s="23">
        <f t="shared" si="1"/>
        <v>12240.212954209204</v>
      </c>
      <c r="L15" s="23">
        <f t="shared" ref="L15:L25" si="8">IFERROR(L14-I15,0)-N15</f>
        <v>994444.4444444445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2:28" ht="16.5" customHeight="1">
      <c r="B16" s="22">
        <f t="shared" si="2"/>
        <v>3</v>
      </c>
      <c r="C16" s="23">
        <f t="shared" si="3"/>
        <v>333.90012656755607</v>
      </c>
      <c r="D16" s="23">
        <f t="shared" si="4"/>
        <v>9482.545378867233</v>
      </c>
      <c r="E16" s="23">
        <f t="shared" si="5"/>
        <v>9816.4455054347891</v>
      </c>
      <c r="F16" s="23">
        <f t="shared" si="6"/>
        <v>999007.68570432963</v>
      </c>
      <c r="G16" s="21"/>
      <c r="H16" s="22">
        <f t="shared" si="7"/>
        <v>3</v>
      </c>
      <c r="I16" s="23">
        <f t="shared" ref="I16:I79" si="9">IF(H16&gt;$E$7,0,I15)</f>
        <v>2777.7777777777778</v>
      </c>
      <c r="J16" s="23">
        <f t="shared" si="0"/>
        <v>9436.0774182798068</v>
      </c>
      <c r="K16" s="23">
        <f t="shared" si="1"/>
        <v>12213.855196057584</v>
      </c>
      <c r="L16" s="23">
        <f t="shared" si="8"/>
        <v>991666.66666666674</v>
      </c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2:28" ht="16.5" customHeight="1">
      <c r="B17" s="22">
        <f t="shared" si="2"/>
        <v>4</v>
      </c>
      <c r="C17" s="23">
        <f t="shared" si="3"/>
        <v>337.06843572938669</v>
      </c>
      <c r="D17" s="23">
        <f t="shared" si="4"/>
        <v>9479.3770697054024</v>
      </c>
      <c r="E17" s="23">
        <f t="shared" si="5"/>
        <v>9816.4455054347891</v>
      </c>
      <c r="F17" s="23">
        <f t="shared" si="6"/>
        <v>998670.61726860027</v>
      </c>
      <c r="G17" s="21"/>
      <c r="H17" s="22">
        <f t="shared" si="7"/>
        <v>4</v>
      </c>
      <c r="I17" s="23">
        <f t="shared" si="9"/>
        <v>2777.7777777777778</v>
      </c>
      <c r="J17" s="23">
        <f t="shared" si="0"/>
        <v>9409.7196601281885</v>
      </c>
      <c r="K17" s="23">
        <f t="shared" si="1"/>
        <v>12187.497437905966</v>
      </c>
      <c r="L17" s="23">
        <f t="shared" si="8"/>
        <v>988888.88888888899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2:28" ht="16.5" customHeight="1">
      <c r="B18" s="22">
        <f t="shared" si="2"/>
        <v>5</v>
      </c>
      <c r="C18" s="23">
        <f t="shared" si="3"/>
        <v>340.26680832080638</v>
      </c>
      <c r="D18" s="23">
        <f t="shared" si="4"/>
        <v>9476.1786971139827</v>
      </c>
      <c r="E18" s="23">
        <f t="shared" si="5"/>
        <v>9816.4455054347891</v>
      </c>
      <c r="F18" s="23">
        <f t="shared" si="6"/>
        <v>998330.3504602795</v>
      </c>
      <c r="G18" s="21"/>
      <c r="H18" s="22">
        <f t="shared" si="7"/>
        <v>5</v>
      </c>
      <c r="I18" s="23">
        <f t="shared" si="9"/>
        <v>2777.7777777777778</v>
      </c>
      <c r="J18" s="23">
        <f t="shared" si="0"/>
        <v>9383.3619019765683</v>
      </c>
      <c r="K18" s="23">
        <f t="shared" si="1"/>
        <v>12161.139679754346</v>
      </c>
      <c r="L18" s="23">
        <f t="shared" si="8"/>
        <v>986111.11111111124</v>
      </c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2:28" ht="16.5" customHeight="1">
      <c r="B19" s="24">
        <f t="shared" si="2"/>
        <v>6</v>
      </c>
      <c r="C19" s="23">
        <f t="shared" si="3"/>
        <v>343.49552960747496</v>
      </c>
      <c r="D19" s="23">
        <f t="shared" si="4"/>
        <v>9472.9499758273159</v>
      </c>
      <c r="E19" s="23">
        <f t="shared" si="5"/>
        <v>9816.4455054347909</v>
      </c>
      <c r="F19" s="23">
        <f t="shared" si="6"/>
        <v>997986.85493067198</v>
      </c>
      <c r="G19" s="21"/>
      <c r="H19" s="22">
        <f t="shared" si="7"/>
        <v>6</v>
      </c>
      <c r="I19" s="23">
        <f t="shared" si="9"/>
        <v>2777.7777777777778</v>
      </c>
      <c r="J19" s="23">
        <f t="shared" si="0"/>
        <v>9357.00414382495</v>
      </c>
      <c r="K19" s="23">
        <f t="shared" si="1"/>
        <v>12134.781921602727</v>
      </c>
      <c r="L19" s="23">
        <f t="shared" si="8"/>
        <v>983333.33333333349</v>
      </c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2:28" ht="16.5" customHeight="1">
      <c r="B20" s="22">
        <f t="shared" si="2"/>
        <v>7</v>
      </c>
      <c r="C20" s="23">
        <f t="shared" si="3"/>
        <v>346.75488756187406</v>
      </c>
      <c r="D20" s="23">
        <f t="shared" si="4"/>
        <v>9469.690617872915</v>
      </c>
      <c r="E20" s="23">
        <f t="shared" si="5"/>
        <v>9816.4455054347891</v>
      </c>
      <c r="F20" s="23">
        <f t="shared" si="6"/>
        <v>997640.10004311008</v>
      </c>
      <c r="G20" s="21"/>
      <c r="H20" s="22">
        <f t="shared" si="7"/>
        <v>7</v>
      </c>
      <c r="I20" s="23">
        <f t="shared" si="9"/>
        <v>2777.7777777777778</v>
      </c>
      <c r="J20" s="23">
        <f t="shared" si="0"/>
        <v>9330.6463856733299</v>
      </c>
      <c r="K20" s="23">
        <f t="shared" si="1"/>
        <v>12108.424163451107</v>
      </c>
      <c r="L20" s="23">
        <f t="shared" si="8"/>
        <v>980555.55555555574</v>
      </c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2:28" ht="16.5" customHeight="1">
      <c r="B21" s="22">
        <f t="shared" si="2"/>
        <v>8</v>
      </c>
      <c r="C21" s="23">
        <f t="shared" si="3"/>
        <v>350.04517288900388</v>
      </c>
      <c r="D21" s="23">
        <f t="shared" si="4"/>
        <v>9466.4003325457852</v>
      </c>
      <c r="E21" s="23">
        <f t="shared" si="5"/>
        <v>9816.4455054347891</v>
      </c>
      <c r="F21" s="23">
        <f t="shared" si="6"/>
        <v>997290.05487022107</v>
      </c>
      <c r="G21" s="21"/>
      <c r="H21" s="22">
        <f t="shared" si="7"/>
        <v>8</v>
      </c>
      <c r="I21" s="23">
        <f t="shared" si="9"/>
        <v>2777.7777777777778</v>
      </c>
      <c r="J21" s="23">
        <f t="shared" si="0"/>
        <v>9304.2886275217097</v>
      </c>
      <c r="K21" s="23">
        <f t="shared" si="1"/>
        <v>12082.066405299487</v>
      </c>
      <c r="L21" s="23">
        <f t="shared" si="8"/>
        <v>977777.77777777798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2:28" ht="16.5" customHeight="1">
      <c r="B22" s="22">
        <f t="shared" si="2"/>
        <v>9</v>
      </c>
      <c r="C22" s="23">
        <f t="shared" si="3"/>
        <v>353.3666790522966</v>
      </c>
      <c r="D22" s="23">
        <f t="shared" si="4"/>
        <v>9463.0788263824925</v>
      </c>
      <c r="E22" s="23">
        <f t="shared" si="5"/>
        <v>9816.4455054347891</v>
      </c>
      <c r="F22" s="23">
        <f t="shared" si="6"/>
        <v>996936.68819116883</v>
      </c>
      <c r="G22" s="21"/>
      <c r="H22" s="22">
        <f t="shared" si="7"/>
        <v>9</v>
      </c>
      <c r="I22" s="23">
        <f t="shared" si="9"/>
        <v>2777.7777777777778</v>
      </c>
      <c r="J22" s="23">
        <f t="shared" si="0"/>
        <v>9277.9308693700914</v>
      </c>
      <c r="K22" s="23">
        <f t="shared" si="1"/>
        <v>12055.708647147869</v>
      </c>
      <c r="L22" s="23">
        <f t="shared" si="8"/>
        <v>975000.00000000023</v>
      </c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2:28" ht="16.5" customHeight="1">
      <c r="B23" s="22">
        <f t="shared" si="2"/>
        <v>10</v>
      </c>
      <c r="C23" s="23">
        <f t="shared" si="3"/>
        <v>356.71970229980616</v>
      </c>
      <c r="D23" s="23">
        <f t="shared" si="4"/>
        <v>9459.7258031349829</v>
      </c>
      <c r="E23" s="23">
        <f t="shared" si="5"/>
        <v>9816.4455054347891</v>
      </c>
      <c r="F23" s="23">
        <f t="shared" si="6"/>
        <v>996579.96848886902</v>
      </c>
      <c r="G23" s="21"/>
      <c r="H23" s="22">
        <f t="shared" si="7"/>
        <v>10</v>
      </c>
      <c r="I23" s="23">
        <f t="shared" si="9"/>
        <v>2777.7777777777778</v>
      </c>
      <c r="J23" s="23">
        <f t="shared" si="0"/>
        <v>9251.5731112184712</v>
      </c>
      <c r="K23" s="23">
        <f t="shared" si="1"/>
        <v>12029.350888996249</v>
      </c>
      <c r="L23" s="23">
        <f t="shared" si="8"/>
        <v>972222.22222222248</v>
      </c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2:28" ht="16.5" customHeight="1">
      <c r="B24" s="22">
        <f t="shared" si="2"/>
        <v>11</v>
      </c>
      <c r="C24" s="23">
        <f t="shared" si="3"/>
        <v>360.1045416906145</v>
      </c>
      <c r="D24" s="23">
        <f t="shared" si="4"/>
        <v>9456.3409637441746</v>
      </c>
      <c r="E24" s="23">
        <f t="shared" si="5"/>
        <v>9816.4455054347891</v>
      </c>
      <c r="F24" s="23">
        <f t="shared" si="6"/>
        <v>996219.86394717835</v>
      </c>
      <c r="G24" s="21"/>
      <c r="H24" s="22">
        <f t="shared" si="7"/>
        <v>11</v>
      </c>
      <c r="I24" s="23">
        <f t="shared" si="9"/>
        <v>2777.7777777777778</v>
      </c>
      <c r="J24" s="23">
        <f t="shared" si="0"/>
        <v>9225.2153530668529</v>
      </c>
      <c r="K24" s="23">
        <f t="shared" si="1"/>
        <v>12002.99313084463</v>
      </c>
      <c r="L24" s="23">
        <f t="shared" si="8"/>
        <v>969444.44444444473</v>
      </c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2:28" ht="16.5" customHeight="1">
      <c r="B25" s="22">
        <f t="shared" si="2"/>
        <v>12</v>
      </c>
      <c r="C25" s="23">
        <f t="shared" si="3"/>
        <v>363.52149912151981</v>
      </c>
      <c r="D25" s="23">
        <f t="shared" si="4"/>
        <v>9452.9240063132693</v>
      </c>
      <c r="E25" s="23">
        <f t="shared" si="5"/>
        <v>9816.4455054347891</v>
      </c>
      <c r="F25" s="23">
        <f t="shared" si="6"/>
        <v>995856.34244805679</v>
      </c>
      <c r="G25" s="21"/>
      <c r="H25" s="22">
        <f t="shared" si="7"/>
        <v>12</v>
      </c>
      <c r="I25" s="23">
        <f t="shared" si="9"/>
        <v>2777.7777777777778</v>
      </c>
      <c r="J25" s="23">
        <f t="shared" si="0"/>
        <v>9198.8575949152328</v>
      </c>
      <c r="K25" s="23">
        <f t="shared" si="1"/>
        <v>11976.63537269301</v>
      </c>
      <c r="L25" s="23">
        <f t="shared" si="8"/>
        <v>966666.66666666698</v>
      </c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2:28" ht="16.5" customHeight="1">
      <c r="B26" s="22">
        <f t="shared" si="2"/>
        <v>13</v>
      </c>
      <c r="C26" s="23">
        <f t="shared" si="3"/>
        <v>366.97087935395393</v>
      </c>
      <c r="D26" s="23">
        <f t="shared" si="4"/>
        <v>9449.4746260808352</v>
      </c>
      <c r="E26" s="23">
        <f t="shared" si="5"/>
        <v>9816.4455054347891</v>
      </c>
      <c r="F26" s="23">
        <f t="shared" si="6"/>
        <v>995489.37156870286</v>
      </c>
      <c r="G26" s="21"/>
      <c r="H26" s="22">
        <f t="shared" si="7"/>
        <v>13</v>
      </c>
      <c r="I26" s="23">
        <f t="shared" si="9"/>
        <v>2777.7777777777778</v>
      </c>
      <c r="J26" s="23">
        <f t="shared" si="0"/>
        <v>9172.4998367636144</v>
      </c>
      <c r="K26" s="23">
        <f t="shared" si="1"/>
        <v>11950.277614541392</v>
      </c>
      <c r="L26" s="23">
        <f t="shared" ref="L26:L89" si="10">IF(H26&gt;$E$7,0,IFERROR(L25-I26,0)-N26)</f>
        <v>963888.88888888923</v>
      </c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2:28" ht="16.5" customHeight="1">
      <c r="B27" s="22">
        <f t="shared" si="2"/>
        <v>14</v>
      </c>
      <c r="C27" s="23">
        <f t="shared" si="3"/>
        <v>370.45299004116532</v>
      </c>
      <c r="D27" s="23">
        <f t="shared" si="4"/>
        <v>9445.9925153936238</v>
      </c>
      <c r="E27" s="23">
        <f t="shared" si="5"/>
        <v>9816.4455054347891</v>
      </c>
      <c r="F27" s="23">
        <f t="shared" si="6"/>
        <v>995118.91857866175</v>
      </c>
      <c r="G27" s="21"/>
      <c r="H27" s="22">
        <f t="shared" si="7"/>
        <v>14</v>
      </c>
      <c r="I27" s="23">
        <f t="shared" si="9"/>
        <v>2777.7777777777778</v>
      </c>
      <c r="J27" s="23">
        <f t="shared" si="0"/>
        <v>9146.1420786119943</v>
      </c>
      <c r="K27" s="23">
        <f t="shared" si="1"/>
        <v>11923.919856389772</v>
      </c>
      <c r="L27" s="23">
        <f t="shared" si="10"/>
        <v>961111.11111111147</v>
      </c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2:28" ht="16.5" customHeight="1">
      <c r="B28" s="22">
        <f t="shared" si="2"/>
        <v>15</v>
      </c>
      <c r="C28" s="23">
        <f t="shared" si="3"/>
        <v>373.96814175566215</v>
      </c>
      <c r="D28" s="23">
        <f t="shared" si="4"/>
        <v>9442.4773636791269</v>
      </c>
      <c r="E28" s="23">
        <f t="shared" si="5"/>
        <v>9816.4455054347891</v>
      </c>
      <c r="F28" s="23">
        <f t="shared" si="6"/>
        <v>994744.95043690607</v>
      </c>
      <c r="G28" s="21"/>
      <c r="H28" s="22">
        <f t="shared" si="7"/>
        <v>15</v>
      </c>
      <c r="I28" s="23">
        <f t="shared" si="9"/>
        <v>2777.7777777777778</v>
      </c>
      <c r="J28" s="23">
        <f t="shared" si="0"/>
        <v>9119.784320460376</v>
      </c>
      <c r="K28" s="23">
        <f t="shared" si="1"/>
        <v>11897.562098238153</v>
      </c>
      <c r="L28" s="23">
        <f t="shared" si="10"/>
        <v>958333.33333333372</v>
      </c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2:28" ht="16.5" customHeight="1">
      <c r="B29" s="22">
        <f t="shared" si="2"/>
        <v>16</v>
      </c>
      <c r="C29" s="23">
        <f t="shared" si="3"/>
        <v>377.51664801691186</v>
      </c>
      <c r="D29" s="23">
        <f t="shared" si="4"/>
        <v>9438.9288574178772</v>
      </c>
      <c r="E29" s="23">
        <f t="shared" si="5"/>
        <v>9816.4455054347891</v>
      </c>
      <c r="F29" s="23">
        <f t="shared" si="6"/>
        <v>994367.4337888892</v>
      </c>
      <c r="G29" s="21"/>
      <c r="H29" s="22">
        <f t="shared" si="7"/>
        <v>16</v>
      </c>
      <c r="I29" s="23">
        <f t="shared" si="9"/>
        <v>2777.7777777777778</v>
      </c>
      <c r="J29" s="23">
        <f t="shared" si="0"/>
        <v>9093.4265623087558</v>
      </c>
      <c r="K29" s="23">
        <f t="shared" si="1"/>
        <v>11871.204340086533</v>
      </c>
      <c r="L29" s="23">
        <f t="shared" si="10"/>
        <v>955555.55555555597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2:28" ht="16.5" customHeight="1">
      <c r="B30" s="22">
        <f t="shared" si="2"/>
        <v>17</v>
      </c>
      <c r="C30" s="23">
        <f t="shared" si="3"/>
        <v>381.0988253193027</v>
      </c>
      <c r="D30" s="23">
        <f t="shared" si="4"/>
        <v>9435.3466801154864</v>
      </c>
      <c r="E30" s="23">
        <f t="shared" si="5"/>
        <v>9816.4455054347891</v>
      </c>
      <c r="F30" s="23">
        <f t="shared" si="6"/>
        <v>993986.33496356988</v>
      </c>
      <c r="G30" s="21"/>
      <c r="H30" s="22">
        <f t="shared" si="7"/>
        <v>17</v>
      </c>
      <c r="I30" s="23">
        <f t="shared" si="9"/>
        <v>2777.7777777777778</v>
      </c>
      <c r="J30" s="23">
        <f t="shared" si="0"/>
        <v>9067.0688041571357</v>
      </c>
      <c r="K30" s="23">
        <f t="shared" si="1"/>
        <v>11844.846581934913</v>
      </c>
      <c r="L30" s="23">
        <f t="shared" si="10"/>
        <v>952777.77777777822</v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2:28" ht="16.5" customHeight="1">
      <c r="B31" s="22">
        <f t="shared" si="2"/>
        <v>18</v>
      </c>
      <c r="C31" s="23">
        <f t="shared" si="3"/>
        <v>384.7149931603708</v>
      </c>
      <c r="D31" s="23">
        <f t="shared" si="4"/>
        <v>9431.7305122744183</v>
      </c>
      <c r="E31" s="23">
        <f t="shared" si="5"/>
        <v>9816.4455054347891</v>
      </c>
      <c r="F31" s="23">
        <f t="shared" si="6"/>
        <v>993601.61997040955</v>
      </c>
      <c r="G31" s="21"/>
      <c r="H31" s="22">
        <f t="shared" si="7"/>
        <v>18</v>
      </c>
      <c r="I31" s="23">
        <f t="shared" si="9"/>
        <v>2777.7777777777778</v>
      </c>
      <c r="J31" s="23">
        <f t="shared" si="0"/>
        <v>9040.7110460055173</v>
      </c>
      <c r="K31" s="23">
        <f t="shared" si="1"/>
        <v>11818.488823783295</v>
      </c>
      <c r="L31" s="23">
        <f t="shared" si="10"/>
        <v>950000.00000000047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2:28" ht="16.5" customHeight="1">
      <c r="B32" s="22">
        <f t="shared" si="2"/>
        <v>19</v>
      </c>
      <c r="C32" s="23">
        <f t="shared" si="3"/>
        <v>388.36547406929822</v>
      </c>
      <c r="D32" s="23">
        <f t="shared" si="4"/>
        <v>9428.0800313654909</v>
      </c>
      <c r="E32" s="23">
        <f t="shared" si="5"/>
        <v>9816.4455054347891</v>
      </c>
      <c r="F32" s="23">
        <f t="shared" si="6"/>
        <v>993213.25449634029</v>
      </c>
      <c r="G32" s="21"/>
      <c r="H32" s="22">
        <f t="shared" si="7"/>
        <v>19</v>
      </c>
      <c r="I32" s="23">
        <f t="shared" si="9"/>
        <v>2777.7777777777778</v>
      </c>
      <c r="J32" s="23">
        <f t="shared" si="0"/>
        <v>9014.3532878538972</v>
      </c>
      <c r="K32" s="23">
        <f t="shared" si="1"/>
        <v>11792.131065631675</v>
      </c>
      <c r="L32" s="23">
        <f t="shared" si="10"/>
        <v>947222.22222222271</v>
      </c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2:28" ht="16.5" customHeight="1">
      <c r="B33" s="22">
        <f t="shared" si="2"/>
        <v>20</v>
      </c>
      <c r="C33" s="23">
        <f t="shared" si="3"/>
        <v>392.05059363568398</v>
      </c>
      <c r="D33" s="23">
        <f t="shared" si="4"/>
        <v>9424.3949117991069</v>
      </c>
      <c r="E33" s="23">
        <f t="shared" si="5"/>
        <v>9816.4455054347909</v>
      </c>
      <c r="F33" s="23">
        <f t="shared" si="6"/>
        <v>992821.20390270464</v>
      </c>
      <c r="G33" s="21"/>
      <c r="H33" s="22">
        <f t="shared" si="7"/>
        <v>20</v>
      </c>
      <c r="I33" s="23">
        <f t="shared" si="9"/>
        <v>2777.7777777777778</v>
      </c>
      <c r="J33" s="23">
        <f t="shared" si="0"/>
        <v>8987.9955297022789</v>
      </c>
      <c r="K33" s="23">
        <f t="shared" si="1"/>
        <v>11765.773307480056</v>
      </c>
      <c r="L33" s="23">
        <f t="shared" si="10"/>
        <v>944444.44444444496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2:28" ht="16.5" customHeight="1">
      <c r="B34" s="22">
        <f t="shared" si="2"/>
        <v>21</v>
      </c>
      <c r="C34" s="23">
        <f t="shared" si="3"/>
        <v>395.77068053857329</v>
      </c>
      <c r="D34" s="23">
        <f t="shared" si="4"/>
        <v>9420.6748248962176</v>
      </c>
      <c r="E34" s="23">
        <f t="shared" si="5"/>
        <v>9816.4455054347909</v>
      </c>
      <c r="F34" s="23">
        <f t="shared" si="6"/>
        <v>992425.43322216603</v>
      </c>
      <c r="G34" s="21"/>
      <c r="H34" s="22">
        <f t="shared" si="7"/>
        <v>21</v>
      </c>
      <c r="I34" s="23">
        <f t="shared" si="9"/>
        <v>2777.7777777777778</v>
      </c>
      <c r="J34" s="23">
        <f t="shared" si="0"/>
        <v>8961.6377715506587</v>
      </c>
      <c r="K34" s="23">
        <f t="shared" si="1"/>
        <v>11739.415549328436</v>
      </c>
      <c r="L34" s="23">
        <f t="shared" si="10"/>
        <v>941666.66666666721</v>
      </c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2:28" ht="16.5" customHeight="1">
      <c r="B35" s="22">
        <f t="shared" si="2"/>
        <v>22</v>
      </c>
      <c r="C35" s="23">
        <f t="shared" si="3"/>
        <v>399.52606657578326</v>
      </c>
      <c r="D35" s="23">
        <f t="shared" si="4"/>
        <v>9416.9194388590076</v>
      </c>
      <c r="E35" s="23">
        <f t="shared" si="5"/>
        <v>9816.4455054347909</v>
      </c>
      <c r="F35" s="23">
        <f t="shared" si="6"/>
        <v>992025.90715559025</v>
      </c>
      <c r="G35" s="21"/>
      <c r="H35" s="22">
        <f t="shared" si="7"/>
        <v>22</v>
      </c>
      <c r="I35" s="23">
        <f t="shared" si="9"/>
        <v>2777.7777777777778</v>
      </c>
      <c r="J35" s="23">
        <f t="shared" si="0"/>
        <v>8935.2800133990404</v>
      </c>
      <c r="K35" s="23">
        <f t="shared" si="1"/>
        <v>11713.057791176818</v>
      </c>
      <c r="L35" s="23">
        <f t="shared" si="10"/>
        <v>938888.88888888946</v>
      </c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2:28" ht="16.5" customHeight="1">
      <c r="B36" s="22">
        <f t="shared" si="2"/>
        <v>23</v>
      </c>
      <c r="C36" s="23">
        <f t="shared" si="3"/>
        <v>403.31708669348882</v>
      </c>
      <c r="D36" s="23">
        <f t="shared" si="4"/>
        <v>9413.1284187413021</v>
      </c>
      <c r="E36" s="23">
        <f t="shared" si="5"/>
        <v>9816.4455054347909</v>
      </c>
      <c r="F36" s="23">
        <f t="shared" si="6"/>
        <v>991622.59006889677</v>
      </c>
      <c r="G36" s="21"/>
      <c r="H36" s="22">
        <f t="shared" si="7"/>
        <v>23</v>
      </c>
      <c r="I36" s="23">
        <f t="shared" si="9"/>
        <v>2777.7777777777778</v>
      </c>
      <c r="J36" s="23">
        <f t="shared" si="0"/>
        <v>8908.9222552474203</v>
      </c>
      <c r="K36" s="23">
        <f t="shared" si="1"/>
        <v>11686.700033025198</v>
      </c>
      <c r="L36" s="23">
        <f t="shared" si="10"/>
        <v>936111.11111111171</v>
      </c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2:28" ht="16.5" customHeight="1">
      <c r="B37" s="22">
        <f t="shared" si="2"/>
        <v>24</v>
      </c>
      <c r="C37" s="23">
        <f t="shared" si="3"/>
        <v>407.14407901610321</v>
      </c>
      <c r="D37" s="23">
        <f t="shared" si="4"/>
        <v>9409.3014264186877</v>
      </c>
      <c r="E37" s="23">
        <f t="shared" si="5"/>
        <v>9816.4455054347909</v>
      </c>
      <c r="F37" s="23">
        <f t="shared" si="6"/>
        <v>991215.44598988071</v>
      </c>
      <c r="G37" s="21"/>
      <c r="H37" s="22">
        <f t="shared" si="7"/>
        <v>24</v>
      </c>
      <c r="I37" s="23">
        <f t="shared" si="9"/>
        <v>2777.7777777777778</v>
      </c>
      <c r="J37" s="23">
        <f t="shared" si="0"/>
        <v>8882.5644970958019</v>
      </c>
      <c r="K37" s="23">
        <f t="shared" si="1"/>
        <v>11660.342274873579</v>
      </c>
      <c r="L37" s="23">
        <f t="shared" si="10"/>
        <v>933333.33333333395</v>
      </c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2:28" ht="16.5" customHeight="1">
      <c r="B38" s="22">
        <f t="shared" si="2"/>
        <v>25</v>
      </c>
      <c r="C38" s="23">
        <f t="shared" si="3"/>
        <v>411.00738487642775</v>
      </c>
      <c r="D38" s="23">
        <f t="shared" si="4"/>
        <v>9405.4381205583632</v>
      </c>
      <c r="E38" s="23">
        <f t="shared" si="5"/>
        <v>9816.4455054347909</v>
      </c>
      <c r="F38" s="23">
        <f t="shared" si="6"/>
        <v>990804.43860500434</v>
      </c>
      <c r="G38" s="21"/>
      <c r="H38" s="22">
        <f t="shared" si="7"/>
        <v>25</v>
      </c>
      <c r="I38" s="23">
        <f t="shared" si="9"/>
        <v>2777.7777777777778</v>
      </c>
      <c r="J38" s="23">
        <f t="shared" si="0"/>
        <v>8856.2067389441818</v>
      </c>
      <c r="K38" s="23">
        <f t="shared" si="1"/>
        <v>11633.984516721959</v>
      </c>
      <c r="L38" s="23">
        <f t="shared" si="10"/>
        <v>930555.5555555562</v>
      </c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2:28" ht="16.5" customHeight="1">
      <c r="B39" s="22">
        <f t="shared" si="2"/>
        <v>26</v>
      </c>
      <c r="C39" s="23">
        <f t="shared" si="3"/>
        <v>414.90734884610538</v>
      </c>
      <c r="D39" s="23">
        <f t="shared" si="4"/>
        <v>9401.5381565886855</v>
      </c>
      <c r="E39" s="23">
        <f t="shared" si="5"/>
        <v>9816.4455054347909</v>
      </c>
      <c r="F39" s="23">
        <f t="shared" si="6"/>
        <v>990389.53125615825</v>
      </c>
      <c r="G39" s="21"/>
      <c r="H39" s="22">
        <f t="shared" si="7"/>
        <v>26</v>
      </c>
      <c r="I39" s="23">
        <f t="shared" si="9"/>
        <v>2777.7777777777778</v>
      </c>
      <c r="J39" s="23">
        <f t="shared" si="0"/>
        <v>8829.8489807925635</v>
      </c>
      <c r="K39" s="23">
        <f t="shared" si="1"/>
        <v>11607.626758570341</v>
      </c>
      <c r="L39" s="23">
        <f t="shared" si="10"/>
        <v>927777.77777777845</v>
      </c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2:28" ht="16.5" customHeight="1">
      <c r="B40" s="22">
        <f t="shared" si="2"/>
        <v>27</v>
      </c>
      <c r="C40" s="23">
        <f t="shared" si="3"/>
        <v>418.84431876634153</v>
      </c>
      <c r="D40" s="23">
        <f t="shared" si="4"/>
        <v>9397.6011866684494</v>
      </c>
      <c r="E40" s="23">
        <f t="shared" si="5"/>
        <v>9816.4455054347909</v>
      </c>
      <c r="F40" s="23">
        <f t="shared" si="6"/>
        <v>989970.68693739187</v>
      </c>
      <c r="G40" s="21"/>
      <c r="H40" s="22">
        <f t="shared" si="7"/>
        <v>27</v>
      </c>
      <c r="I40" s="23">
        <f t="shared" si="9"/>
        <v>2777.7777777777778</v>
      </c>
      <c r="J40" s="23">
        <f t="shared" si="0"/>
        <v>8803.4912226409433</v>
      </c>
      <c r="K40" s="23">
        <f t="shared" si="1"/>
        <v>11581.269000418721</v>
      </c>
      <c r="L40" s="23">
        <f t="shared" si="10"/>
        <v>925000.0000000007</v>
      </c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2:28" ht="16.5" customHeight="1">
      <c r="B41" s="22">
        <f t="shared" si="2"/>
        <v>28</v>
      </c>
      <c r="C41" s="23">
        <f t="shared" si="3"/>
        <v>422.81864577894339</v>
      </c>
      <c r="D41" s="23">
        <f t="shared" si="4"/>
        <v>9393.6268596558475</v>
      </c>
      <c r="E41" s="23">
        <f t="shared" si="5"/>
        <v>9816.4455054347909</v>
      </c>
      <c r="F41" s="23">
        <f t="shared" si="6"/>
        <v>989547.86829161295</v>
      </c>
      <c r="G41" s="21"/>
      <c r="H41" s="22">
        <f t="shared" si="7"/>
        <v>28</v>
      </c>
      <c r="I41" s="23">
        <f t="shared" si="9"/>
        <v>2777.7777777777778</v>
      </c>
      <c r="J41" s="23">
        <f t="shared" si="0"/>
        <v>8777.1334644893232</v>
      </c>
      <c r="K41" s="23">
        <f t="shared" si="1"/>
        <v>11554.911242267101</v>
      </c>
      <c r="L41" s="23">
        <f t="shared" si="10"/>
        <v>922222.22222222295</v>
      </c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2:28" ht="16.5" customHeight="1">
      <c r="B42" s="22">
        <f t="shared" si="2"/>
        <v>29</v>
      </c>
      <c r="C42" s="23">
        <f t="shared" si="3"/>
        <v>426.83068435761925</v>
      </c>
      <c r="D42" s="23">
        <f t="shared" si="4"/>
        <v>9389.6148210771717</v>
      </c>
      <c r="E42" s="23">
        <f t="shared" si="5"/>
        <v>9816.4455054347909</v>
      </c>
      <c r="F42" s="23">
        <f t="shared" si="6"/>
        <v>989121.03760725528</v>
      </c>
      <c r="G42" s="21"/>
      <c r="H42" s="22">
        <f t="shared" si="7"/>
        <v>29</v>
      </c>
      <c r="I42" s="23">
        <f t="shared" si="9"/>
        <v>2777.7777777777778</v>
      </c>
      <c r="J42" s="23">
        <f t="shared" si="0"/>
        <v>8750.7757063377048</v>
      </c>
      <c r="K42" s="23">
        <f t="shared" si="1"/>
        <v>11528.553484115482</v>
      </c>
      <c r="L42" s="23">
        <f t="shared" si="10"/>
        <v>919444.44444444519</v>
      </c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2:28" ht="16.5" customHeight="1">
      <c r="B43" s="22">
        <f t="shared" si="2"/>
        <v>30</v>
      </c>
      <c r="C43" s="23">
        <f t="shared" si="3"/>
        <v>430.88079233961616</v>
      </c>
      <c r="D43" s="23">
        <f t="shared" si="4"/>
        <v>9385.5647130951747</v>
      </c>
      <c r="E43" s="23">
        <f t="shared" si="5"/>
        <v>9816.4455054347909</v>
      </c>
      <c r="F43" s="23">
        <f t="shared" si="6"/>
        <v>988690.15681491571</v>
      </c>
      <c r="G43" s="21"/>
      <c r="H43" s="22">
        <f t="shared" si="7"/>
        <v>30</v>
      </c>
      <c r="I43" s="23">
        <f t="shared" si="9"/>
        <v>2777.7777777777778</v>
      </c>
      <c r="J43" s="23">
        <f t="shared" si="0"/>
        <v>8724.4179481860847</v>
      </c>
      <c r="K43" s="23">
        <f t="shared" si="1"/>
        <v>11502.195725963862</v>
      </c>
      <c r="L43" s="23">
        <f t="shared" si="10"/>
        <v>916666.66666666744</v>
      </c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2:28" ht="16.5" customHeight="1">
      <c r="B44" s="22">
        <f t="shared" si="2"/>
        <v>31</v>
      </c>
      <c r="C44" s="23">
        <f t="shared" si="3"/>
        <v>434.96933095761597</v>
      </c>
      <c r="D44" s="23">
        <f t="shared" si="4"/>
        <v>9381.4761744771749</v>
      </c>
      <c r="E44" s="23">
        <f t="shared" si="5"/>
        <v>9816.4455054347909</v>
      </c>
      <c r="F44" s="23">
        <f t="shared" si="6"/>
        <v>988255.18748395809</v>
      </c>
      <c r="G44" s="21"/>
      <c r="H44" s="22">
        <f t="shared" si="7"/>
        <v>31</v>
      </c>
      <c r="I44" s="23">
        <f t="shared" si="9"/>
        <v>2777.7777777777778</v>
      </c>
      <c r="J44" s="23">
        <f t="shared" si="0"/>
        <v>8698.0601900344664</v>
      </c>
      <c r="K44" s="23">
        <f t="shared" si="1"/>
        <v>11475.837967812244</v>
      </c>
      <c r="L44" s="23">
        <f t="shared" si="10"/>
        <v>913888.88888888969</v>
      </c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2:28" ht="16.5" customHeight="1">
      <c r="B45" s="22">
        <f t="shared" si="2"/>
        <v>32</v>
      </c>
      <c r="C45" s="23">
        <f t="shared" si="3"/>
        <v>439.09666487196591</v>
      </c>
      <c r="D45" s="23">
        <f t="shared" si="4"/>
        <v>9377.348840562825</v>
      </c>
      <c r="E45" s="23">
        <f t="shared" si="5"/>
        <v>9816.4455054347909</v>
      </c>
      <c r="F45" s="23">
        <f t="shared" si="6"/>
        <v>987816.09081908606</v>
      </c>
      <c r="G45" s="21"/>
      <c r="H45" s="22">
        <f t="shared" si="7"/>
        <v>32</v>
      </c>
      <c r="I45" s="23">
        <f t="shared" si="9"/>
        <v>2777.7777777777778</v>
      </c>
      <c r="J45" s="23">
        <f t="shared" si="0"/>
        <v>8671.7024318828462</v>
      </c>
      <c r="K45" s="23">
        <f t="shared" si="1"/>
        <v>11449.480209660624</v>
      </c>
      <c r="L45" s="23">
        <f t="shared" si="10"/>
        <v>911111.11111111194</v>
      </c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2:28" ht="16.5" customHeight="1">
      <c r="B46" s="22">
        <f t="shared" si="2"/>
        <v>33</v>
      </c>
      <c r="C46" s="23">
        <f t="shared" si="3"/>
        <v>443.26316220320223</v>
      </c>
      <c r="D46" s="23">
        <f t="shared" si="4"/>
        <v>9373.1823432315887</v>
      </c>
      <c r="E46" s="23">
        <f t="shared" si="5"/>
        <v>9816.4455054347909</v>
      </c>
      <c r="F46" s="23">
        <f t="shared" si="6"/>
        <v>987372.82765688282</v>
      </c>
      <c r="G46" s="21"/>
      <c r="H46" s="22">
        <f t="shared" si="7"/>
        <v>33</v>
      </c>
      <c r="I46" s="23">
        <f t="shared" si="9"/>
        <v>2777.7777777777778</v>
      </c>
      <c r="J46" s="23">
        <f t="shared" si="0"/>
        <v>8645.3446737312279</v>
      </c>
      <c r="K46" s="23">
        <f t="shared" si="1"/>
        <v>11423.122451509005</v>
      </c>
      <c r="L46" s="23">
        <f t="shared" si="10"/>
        <v>908333.33333333419</v>
      </c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2:28" ht="16.5" customHeight="1">
      <c r="B47" s="22">
        <f t="shared" si="2"/>
        <v>34</v>
      </c>
      <c r="C47" s="23">
        <f t="shared" si="3"/>
        <v>447.4691945648774</v>
      </c>
      <c r="D47" s="23">
        <f t="shared" si="4"/>
        <v>9368.9763108699135</v>
      </c>
      <c r="E47" s="23">
        <f t="shared" si="5"/>
        <v>9816.4455054347909</v>
      </c>
      <c r="F47" s="23">
        <f t="shared" si="6"/>
        <v>986925.35846231796</v>
      </c>
      <c r="G47" s="21"/>
      <c r="H47" s="22">
        <f t="shared" si="7"/>
        <v>34</v>
      </c>
      <c r="I47" s="23">
        <f t="shared" si="9"/>
        <v>2777.7777777777778</v>
      </c>
      <c r="J47" s="23">
        <f t="shared" si="0"/>
        <v>8618.9869155796077</v>
      </c>
      <c r="K47" s="23">
        <f t="shared" si="1"/>
        <v>11396.764693357385</v>
      </c>
      <c r="L47" s="23">
        <f t="shared" si="10"/>
        <v>905555.55555555644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2:28" ht="16.5" customHeight="1">
      <c r="B48" s="22">
        <f t="shared" si="2"/>
        <v>35</v>
      </c>
      <c r="C48" s="23">
        <f t="shared" si="3"/>
        <v>451.71513709670762</v>
      </c>
      <c r="D48" s="23">
        <f t="shared" si="4"/>
        <v>9364.7303683380833</v>
      </c>
      <c r="E48" s="23">
        <f t="shared" si="5"/>
        <v>9816.4455054347909</v>
      </c>
      <c r="F48" s="23">
        <f t="shared" si="6"/>
        <v>986473.64332522126</v>
      </c>
      <c r="G48" s="21"/>
      <c r="H48" s="22">
        <f t="shared" si="7"/>
        <v>35</v>
      </c>
      <c r="I48" s="23">
        <f t="shared" si="9"/>
        <v>2777.7777777777778</v>
      </c>
      <c r="J48" s="23">
        <f t="shared" si="0"/>
        <v>8592.6291574279894</v>
      </c>
      <c r="K48" s="23">
        <f t="shared" si="1"/>
        <v>11370.406935205767</v>
      </c>
      <c r="L48" s="23">
        <f t="shared" si="10"/>
        <v>902777.77777777868</v>
      </c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2:28" ht="16.5" customHeight="1">
      <c r="B49" s="22">
        <f t="shared" si="2"/>
        <v>36</v>
      </c>
      <c r="C49" s="23">
        <f t="shared" si="3"/>
        <v>456.00136849803675</v>
      </c>
      <c r="D49" s="23">
        <f t="shared" si="4"/>
        <v>9360.4441369367541</v>
      </c>
      <c r="E49" s="23">
        <f t="shared" si="5"/>
        <v>9816.4455054347909</v>
      </c>
      <c r="F49" s="23">
        <f t="shared" si="6"/>
        <v>986017.64195672318</v>
      </c>
      <c r="G49" s="21"/>
      <c r="H49" s="22">
        <f t="shared" si="7"/>
        <v>36</v>
      </c>
      <c r="I49" s="23">
        <f t="shared" si="9"/>
        <v>2777.7777777777778</v>
      </c>
      <c r="J49" s="23">
        <f t="shared" si="0"/>
        <v>8566.2713992763693</v>
      </c>
      <c r="K49" s="23">
        <f t="shared" si="1"/>
        <v>11344.049177054147</v>
      </c>
      <c r="L49" s="23">
        <f t="shared" si="10"/>
        <v>900000.00000000093</v>
      </c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2:28" ht="16.5" customHeight="1">
      <c r="B50" s="22">
        <f t="shared" si="2"/>
        <v>37</v>
      </c>
      <c r="C50" s="23">
        <f t="shared" si="3"/>
        <v>460.32827106159857</v>
      </c>
      <c r="D50" s="23">
        <f t="shared" si="4"/>
        <v>9356.1172343731905</v>
      </c>
      <c r="E50" s="23">
        <f t="shared" si="5"/>
        <v>9816.4455054347891</v>
      </c>
      <c r="F50" s="23">
        <f t="shared" si="6"/>
        <v>985557.31368566153</v>
      </c>
      <c r="G50" s="21"/>
      <c r="H50" s="22">
        <f t="shared" si="7"/>
        <v>37</v>
      </c>
      <c r="I50" s="23">
        <f t="shared" si="9"/>
        <v>2777.7777777777778</v>
      </c>
      <c r="J50" s="23">
        <f t="shared" si="0"/>
        <v>8539.9136411247491</v>
      </c>
      <c r="K50" s="23">
        <f t="shared" si="1"/>
        <v>11317.691418902526</v>
      </c>
      <c r="L50" s="23">
        <f t="shared" si="10"/>
        <v>897222.22222222318</v>
      </c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2:28" ht="16.5" customHeight="1">
      <c r="B51" s="22">
        <f t="shared" si="2"/>
        <v>38</v>
      </c>
      <c r="C51" s="23">
        <f t="shared" si="3"/>
        <v>464.69623070763919</v>
      </c>
      <c r="D51" s="23">
        <f t="shared" si="4"/>
        <v>9351.7492747271517</v>
      </c>
      <c r="E51" s="23">
        <f t="shared" si="5"/>
        <v>9816.4455054347909</v>
      </c>
      <c r="F51" s="23">
        <f t="shared" si="6"/>
        <v>985092.61745495384</v>
      </c>
      <c r="G51" s="21"/>
      <c r="H51" s="22">
        <f t="shared" si="7"/>
        <v>38</v>
      </c>
      <c r="I51" s="23">
        <f t="shared" si="9"/>
        <v>2777.7777777777778</v>
      </c>
      <c r="J51" s="23">
        <f t="shared" si="0"/>
        <v>8513.5558829731308</v>
      </c>
      <c r="K51" s="23">
        <f t="shared" si="1"/>
        <v>11291.333660750908</v>
      </c>
      <c r="L51" s="23">
        <f t="shared" si="10"/>
        <v>894444.44444444543</v>
      </c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2:28" ht="16.5" customHeight="1">
      <c r="B52" s="22">
        <f t="shared" si="2"/>
        <v>39</v>
      </c>
      <c r="C52" s="23">
        <f t="shared" si="3"/>
        <v>469.10563701830324</v>
      </c>
      <c r="D52" s="23">
        <f t="shared" si="4"/>
        <v>9347.3398684164858</v>
      </c>
      <c r="E52" s="23">
        <f t="shared" si="5"/>
        <v>9816.4455054347891</v>
      </c>
      <c r="F52" s="23">
        <f t="shared" si="6"/>
        <v>984623.5118179355</v>
      </c>
      <c r="G52" s="21"/>
      <c r="H52" s="22">
        <f t="shared" si="7"/>
        <v>39</v>
      </c>
      <c r="I52" s="23">
        <f t="shared" si="9"/>
        <v>2777.7777777777778</v>
      </c>
      <c r="J52" s="23">
        <f t="shared" si="0"/>
        <v>8487.1981248215106</v>
      </c>
      <c r="K52" s="23">
        <f t="shared" si="1"/>
        <v>11264.975902599288</v>
      </c>
      <c r="L52" s="23">
        <f t="shared" si="10"/>
        <v>891666.66666666768</v>
      </c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2:28" ht="16.5" customHeight="1">
      <c r="B53" s="22">
        <f t="shared" si="2"/>
        <v>40</v>
      </c>
      <c r="C53" s="23">
        <f t="shared" si="3"/>
        <v>473.5568832724166</v>
      </c>
      <c r="D53" s="23">
        <f t="shared" si="4"/>
        <v>9342.8886221623725</v>
      </c>
      <c r="E53" s="23">
        <f t="shared" si="5"/>
        <v>9816.4455054347891</v>
      </c>
      <c r="F53" s="23">
        <f t="shared" si="6"/>
        <v>984149.95493466314</v>
      </c>
      <c r="G53" s="21"/>
      <c r="H53" s="22">
        <f t="shared" si="7"/>
        <v>40</v>
      </c>
      <c r="I53" s="23">
        <f t="shared" si="9"/>
        <v>2777.7777777777778</v>
      </c>
      <c r="J53" s="23">
        <f t="shared" si="0"/>
        <v>8460.8403666698923</v>
      </c>
      <c r="K53" s="23">
        <f t="shared" si="1"/>
        <v>11238.61814444767</v>
      </c>
      <c r="L53" s="23">
        <f t="shared" si="10"/>
        <v>888888.88888888992</v>
      </c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2:28" ht="16.5" customHeight="1">
      <c r="B54" s="22">
        <f t="shared" si="2"/>
        <v>41</v>
      </c>
      <c r="C54" s="23">
        <f t="shared" si="3"/>
        <v>478.05036648053465</v>
      </c>
      <c r="D54" s="23">
        <f t="shared" si="4"/>
        <v>9338.3951389542544</v>
      </c>
      <c r="E54" s="23">
        <f t="shared" si="5"/>
        <v>9816.4455054347891</v>
      </c>
      <c r="F54" s="23">
        <f t="shared" si="6"/>
        <v>983671.90456818265</v>
      </c>
      <c r="G54" s="21"/>
      <c r="H54" s="22">
        <f t="shared" si="7"/>
        <v>41</v>
      </c>
      <c r="I54" s="23">
        <f t="shared" si="9"/>
        <v>2777.7777777777778</v>
      </c>
      <c r="J54" s="23">
        <f t="shared" si="0"/>
        <v>8434.4826085182722</v>
      </c>
      <c r="K54" s="23">
        <f t="shared" si="1"/>
        <v>11212.26038629605</v>
      </c>
      <c r="L54" s="23">
        <f t="shared" si="10"/>
        <v>886111.11111111217</v>
      </c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2:28" ht="16.5" customHeight="1">
      <c r="B55" s="22">
        <f t="shared" si="2"/>
        <v>42</v>
      </c>
      <c r="C55" s="23">
        <f t="shared" si="3"/>
        <v>482.58648742037076</v>
      </c>
      <c r="D55" s="23">
        <f t="shared" si="4"/>
        <v>9333.8590180144201</v>
      </c>
      <c r="E55" s="23">
        <f t="shared" si="5"/>
        <v>9816.4455054347909</v>
      </c>
      <c r="F55" s="23">
        <f t="shared" si="6"/>
        <v>983189.31808076228</v>
      </c>
      <c r="G55" s="21"/>
      <c r="H55" s="22">
        <f t="shared" si="7"/>
        <v>42</v>
      </c>
      <c r="I55" s="23">
        <f t="shared" si="9"/>
        <v>2777.7777777777778</v>
      </c>
      <c r="J55" s="23">
        <f t="shared" si="0"/>
        <v>8408.1248503666538</v>
      </c>
      <c r="K55" s="23">
        <f t="shared" si="1"/>
        <v>11185.902628144431</v>
      </c>
      <c r="L55" s="23">
        <f t="shared" si="10"/>
        <v>883333.33333333442</v>
      </c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2:28" ht="16.5" customHeight="1">
      <c r="B56" s="22">
        <f t="shared" si="2"/>
        <v>43</v>
      </c>
      <c r="C56" s="23">
        <f t="shared" si="3"/>
        <v>487.1656506725285</v>
      </c>
      <c r="D56" s="23">
        <f t="shared" si="4"/>
        <v>9329.2798547622606</v>
      </c>
      <c r="E56" s="23">
        <f t="shared" si="5"/>
        <v>9816.4455054347891</v>
      </c>
      <c r="F56" s="23">
        <f t="shared" si="6"/>
        <v>982702.15243008977</v>
      </c>
      <c r="G56" s="21"/>
      <c r="H56" s="22">
        <f t="shared" si="7"/>
        <v>43</v>
      </c>
      <c r="I56" s="23">
        <f t="shared" si="9"/>
        <v>2777.7777777777778</v>
      </c>
      <c r="J56" s="23">
        <f t="shared" si="0"/>
        <v>8381.7670922150337</v>
      </c>
      <c r="K56" s="23">
        <f t="shared" si="1"/>
        <v>11159.544869992811</v>
      </c>
      <c r="L56" s="23">
        <f t="shared" si="10"/>
        <v>880555.55555555667</v>
      </c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2:28" ht="16.5" customHeight="1">
      <c r="B57" s="22">
        <f t="shared" si="2"/>
        <v>44</v>
      </c>
      <c r="C57" s="23">
        <f t="shared" si="3"/>
        <v>491.78826465660131</v>
      </c>
      <c r="D57" s="23">
        <f t="shared" si="4"/>
        <v>9324.6572407781878</v>
      </c>
      <c r="E57" s="23">
        <f t="shared" si="5"/>
        <v>9816.4455054347891</v>
      </c>
      <c r="F57" s="23">
        <f t="shared" si="6"/>
        <v>982210.36416543322</v>
      </c>
      <c r="G57" s="21"/>
      <c r="H57" s="22">
        <f t="shared" si="7"/>
        <v>44</v>
      </c>
      <c r="I57" s="23">
        <f t="shared" si="9"/>
        <v>2777.7777777777778</v>
      </c>
      <c r="J57" s="23">
        <f t="shared" si="0"/>
        <v>8355.4093340634154</v>
      </c>
      <c r="K57" s="23">
        <f t="shared" si="1"/>
        <v>11133.187111841193</v>
      </c>
      <c r="L57" s="23">
        <f t="shared" si="10"/>
        <v>877777.77777777892</v>
      </c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2:28" ht="16.5" customHeight="1">
      <c r="B58" s="22">
        <f t="shared" si="2"/>
        <v>45</v>
      </c>
      <c r="C58" s="23">
        <f t="shared" si="3"/>
        <v>496.45474166758868</v>
      </c>
      <c r="D58" s="23">
        <f t="shared" si="4"/>
        <v>9319.9907637672022</v>
      </c>
      <c r="E58" s="23">
        <f t="shared" si="5"/>
        <v>9816.4455054347909</v>
      </c>
      <c r="F58" s="23">
        <f t="shared" si="6"/>
        <v>981713.90942376561</v>
      </c>
      <c r="G58" s="21"/>
      <c r="H58" s="22">
        <f t="shared" si="7"/>
        <v>45</v>
      </c>
      <c r="I58" s="23">
        <f t="shared" si="9"/>
        <v>2777.7777777777778</v>
      </c>
      <c r="J58" s="23">
        <f t="shared" si="0"/>
        <v>8329.0515759117952</v>
      </c>
      <c r="K58" s="23">
        <f t="shared" si="1"/>
        <v>11106.829353689573</v>
      </c>
      <c r="L58" s="23">
        <f t="shared" si="10"/>
        <v>875000.00000000116</v>
      </c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2:28" ht="16.5" customHeight="1">
      <c r="B59" s="22">
        <f t="shared" si="2"/>
        <v>46</v>
      </c>
      <c r="C59" s="23">
        <f t="shared" si="3"/>
        <v>501.16549791266334</v>
      </c>
      <c r="D59" s="23">
        <f t="shared" si="4"/>
        <v>9315.2800075221276</v>
      </c>
      <c r="E59" s="23">
        <f t="shared" si="5"/>
        <v>9816.4455054347909</v>
      </c>
      <c r="F59" s="23">
        <f t="shared" si="6"/>
        <v>981212.74392585293</v>
      </c>
      <c r="G59" s="21"/>
      <c r="H59" s="22">
        <f t="shared" si="7"/>
        <v>46</v>
      </c>
      <c r="I59" s="23">
        <f t="shared" si="9"/>
        <v>2777.7777777777778</v>
      </c>
      <c r="J59" s="23">
        <f t="shared" si="0"/>
        <v>8302.6938177601769</v>
      </c>
      <c r="K59" s="23">
        <f t="shared" si="1"/>
        <v>11080.471595537954</v>
      </c>
      <c r="L59" s="23">
        <f t="shared" si="10"/>
        <v>872222.22222222341</v>
      </c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2:28" ht="16.5" customHeight="1">
      <c r="B60" s="22">
        <f t="shared" si="2"/>
        <v>47</v>
      </c>
      <c r="C60" s="23">
        <f t="shared" si="3"/>
        <v>505.92095354831508</v>
      </c>
      <c r="D60" s="23">
        <f t="shared" si="4"/>
        <v>9310.5245518864758</v>
      </c>
      <c r="E60" s="23">
        <f t="shared" si="5"/>
        <v>9816.4455054347909</v>
      </c>
      <c r="F60" s="23">
        <f t="shared" si="6"/>
        <v>980706.82297230465</v>
      </c>
      <c r="G60" s="21"/>
      <c r="H60" s="22">
        <f t="shared" si="7"/>
        <v>47</v>
      </c>
      <c r="I60" s="23">
        <f t="shared" si="9"/>
        <v>2777.7777777777778</v>
      </c>
      <c r="J60" s="23">
        <f t="shared" si="0"/>
        <v>8276.3360596085568</v>
      </c>
      <c r="K60" s="23">
        <f t="shared" si="1"/>
        <v>11054.113837386334</v>
      </c>
      <c r="L60" s="23">
        <f t="shared" si="10"/>
        <v>869444.44444444566</v>
      </c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2:28" ht="16.5" customHeight="1">
      <c r="B61" s="22">
        <f t="shared" si="2"/>
        <v>48</v>
      </c>
      <c r="C61" s="23">
        <f t="shared" si="3"/>
        <v>510.72153271780007</v>
      </c>
      <c r="D61" s="23">
        <f t="shared" si="4"/>
        <v>9305.7239727169908</v>
      </c>
      <c r="E61" s="23">
        <f t="shared" si="5"/>
        <v>9816.4455054347909</v>
      </c>
      <c r="F61" s="23">
        <f t="shared" si="6"/>
        <v>980196.10143958684</v>
      </c>
      <c r="G61" s="21"/>
      <c r="H61" s="22">
        <f t="shared" si="7"/>
        <v>48</v>
      </c>
      <c r="I61" s="23">
        <f t="shared" si="9"/>
        <v>2777.7777777777778</v>
      </c>
      <c r="J61" s="23">
        <f t="shared" si="0"/>
        <v>8249.9783014569366</v>
      </c>
      <c r="K61" s="23">
        <f t="shared" si="1"/>
        <v>11027.756079234714</v>
      </c>
      <c r="L61" s="23">
        <f t="shared" si="10"/>
        <v>866666.66666666791</v>
      </c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2:28" ht="16.5" customHeight="1">
      <c r="B62" s="22">
        <f t="shared" si="2"/>
        <v>49</v>
      </c>
      <c r="C62" s="23">
        <f t="shared" si="3"/>
        <v>515.56766358899222</v>
      </c>
      <c r="D62" s="23">
        <f t="shared" si="4"/>
        <v>9300.8778418457987</v>
      </c>
      <c r="E62" s="23">
        <f t="shared" si="5"/>
        <v>9816.4455054347909</v>
      </c>
      <c r="F62" s="23">
        <f t="shared" si="6"/>
        <v>979680.53377599781</v>
      </c>
      <c r="G62" s="21"/>
      <c r="H62" s="22">
        <f t="shared" si="7"/>
        <v>49</v>
      </c>
      <c r="I62" s="23">
        <f t="shared" si="9"/>
        <v>2777.7777777777778</v>
      </c>
      <c r="J62" s="23">
        <f t="shared" si="0"/>
        <v>8223.6205433053183</v>
      </c>
      <c r="K62" s="23">
        <f t="shared" si="1"/>
        <v>11001.398321083096</v>
      </c>
      <c r="L62" s="23">
        <f t="shared" si="10"/>
        <v>863888.88888889016</v>
      </c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2:28" ht="16.5" customHeight="1">
      <c r="B63" s="22">
        <f t="shared" si="2"/>
        <v>50</v>
      </c>
      <c r="C63" s="23">
        <f t="shared" si="3"/>
        <v>520.45977839255647</v>
      </c>
      <c r="D63" s="23">
        <f t="shared" si="4"/>
        <v>9295.9857270422344</v>
      </c>
      <c r="E63" s="23">
        <f t="shared" si="5"/>
        <v>9816.4455054347909</v>
      </c>
      <c r="F63" s="23">
        <f t="shared" si="6"/>
        <v>979160.07399760524</v>
      </c>
      <c r="G63" s="21"/>
      <c r="H63" s="22">
        <f t="shared" si="7"/>
        <v>50</v>
      </c>
      <c r="I63" s="23">
        <f t="shared" si="9"/>
        <v>2777.7777777777778</v>
      </c>
      <c r="J63" s="23">
        <f t="shared" si="0"/>
        <v>8197.2627851536981</v>
      </c>
      <c r="K63" s="23">
        <f t="shared" si="1"/>
        <v>10975.040562931476</v>
      </c>
      <c r="L63" s="23">
        <f t="shared" si="10"/>
        <v>861111.1111111124</v>
      </c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2:28" ht="16.5" customHeight="1">
      <c r="B64" s="22">
        <f t="shared" si="2"/>
        <v>51</v>
      </c>
      <c r="C64" s="23">
        <f t="shared" si="3"/>
        <v>525.39831346050232</v>
      </c>
      <c r="D64" s="23">
        <f t="shared" si="4"/>
        <v>9291.0471919742886</v>
      </c>
      <c r="E64" s="23">
        <f t="shared" si="5"/>
        <v>9816.4455054347909</v>
      </c>
      <c r="F64" s="23">
        <f t="shared" si="6"/>
        <v>978634.67568414472</v>
      </c>
      <c r="G64" s="21"/>
      <c r="H64" s="22">
        <f t="shared" si="7"/>
        <v>51</v>
      </c>
      <c r="I64" s="23">
        <f t="shared" si="9"/>
        <v>2777.7777777777778</v>
      </c>
      <c r="J64" s="23">
        <f t="shared" si="0"/>
        <v>8170.9050270020798</v>
      </c>
      <c r="K64" s="23">
        <f t="shared" si="1"/>
        <v>10948.682804779857</v>
      </c>
      <c r="L64" s="23">
        <f t="shared" si="10"/>
        <v>858333.33333333465</v>
      </c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2:28" ht="16.5" customHeight="1">
      <c r="B65" s="22">
        <f t="shared" si="2"/>
        <v>52</v>
      </c>
      <c r="C65" s="23">
        <f t="shared" si="3"/>
        <v>530.38370926510652</v>
      </c>
      <c r="D65" s="23">
        <f t="shared" si="4"/>
        <v>9286.0617961696826</v>
      </c>
      <c r="E65" s="23">
        <f t="shared" si="5"/>
        <v>9816.4455054347891</v>
      </c>
      <c r="F65" s="23">
        <f t="shared" si="6"/>
        <v>978104.29197487957</v>
      </c>
      <c r="G65" s="21"/>
      <c r="H65" s="22">
        <f t="shared" si="7"/>
        <v>52</v>
      </c>
      <c r="I65" s="23">
        <f t="shared" si="9"/>
        <v>2777.7777777777778</v>
      </c>
      <c r="J65" s="23">
        <f t="shared" si="0"/>
        <v>8144.5472688504597</v>
      </c>
      <c r="K65" s="23">
        <f t="shared" si="1"/>
        <v>10922.325046628237</v>
      </c>
      <c r="L65" s="23">
        <f t="shared" si="10"/>
        <v>855555.5555555569</v>
      </c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2:28" ht="16.5" customHeight="1">
      <c r="B66" s="22">
        <f t="shared" si="2"/>
        <v>53</v>
      </c>
      <c r="C66" s="23">
        <f t="shared" si="3"/>
        <v>535.41641045819961</v>
      </c>
      <c r="D66" s="23">
        <f t="shared" si="4"/>
        <v>9281.0290949765895</v>
      </c>
      <c r="E66" s="23">
        <f t="shared" si="5"/>
        <v>9816.4455054347891</v>
      </c>
      <c r="F66" s="23">
        <f t="shared" si="6"/>
        <v>977568.87556442141</v>
      </c>
      <c r="G66" s="21"/>
      <c r="H66" s="22">
        <f t="shared" si="7"/>
        <v>53</v>
      </c>
      <c r="I66" s="23">
        <f t="shared" si="9"/>
        <v>2777.7777777777778</v>
      </c>
      <c r="J66" s="23">
        <f t="shared" si="0"/>
        <v>8118.1895106988404</v>
      </c>
      <c r="K66" s="23">
        <f t="shared" si="1"/>
        <v>10895.967288476619</v>
      </c>
      <c r="L66" s="23">
        <f t="shared" si="10"/>
        <v>852777.77777777915</v>
      </c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2:28" ht="16.5" customHeight="1">
      <c r="B67" s="22">
        <f t="shared" si="2"/>
        <v>54</v>
      </c>
      <c r="C67" s="23">
        <f t="shared" si="3"/>
        <v>540.49686591081445</v>
      </c>
      <c r="D67" s="23">
        <f t="shared" si="4"/>
        <v>9275.9486395239746</v>
      </c>
      <c r="E67" s="23">
        <f t="shared" si="5"/>
        <v>9816.4455054347891</v>
      </c>
      <c r="F67" s="23">
        <f t="shared" si="6"/>
        <v>977028.37869851058</v>
      </c>
      <c r="G67" s="21"/>
      <c r="H67" s="22">
        <f t="shared" si="7"/>
        <v>54</v>
      </c>
      <c r="I67" s="23">
        <f t="shared" si="9"/>
        <v>2777.7777777777778</v>
      </c>
      <c r="J67" s="23">
        <f t="shared" si="0"/>
        <v>8091.8317525472212</v>
      </c>
      <c r="K67" s="23">
        <f t="shared" si="1"/>
        <v>10869.609530324999</v>
      </c>
      <c r="L67" s="23">
        <f t="shared" si="10"/>
        <v>850000.0000000014</v>
      </c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2:28" ht="16.5" customHeight="1">
      <c r="B68" s="22">
        <f t="shared" si="2"/>
        <v>55</v>
      </c>
      <c r="C68" s="23">
        <f t="shared" si="3"/>
        <v>545.62552875323308</v>
      </c>
      <c r="D68" s="23">
        <f t="shared" si="4"/>
        <v>9270.819976681556</v>
      </c>
      <c r="E68" s="23">
        <f t="shared" si="5"/>
        <v>9816.4455054347891</v>
      </c>
      <c r="F68" s="23">
        <f t="shared" si="6"/>
        <v>976482.75316975731</v>
      </c>
      <c r="G68" s="21"/>
      <c r="H68" s="22">
        <f t="shared" si="7"/>
        <v>55</v>
      </c>
      <c r="I68" s="23">
        <f t="shared" si="9"/>
        <v>2777.7777777777778</v>
      </c>
      <c r="J68" s="23">
        <f t="shared" si="0"/>
        <v>8065.4739943956019</v>
      </c>
      <c r="K68" s="23">
        <f t="shared" si="1"/>
        <v>10843.25177217338</v>
      </c>
      <c r="L68" s="23">
        <f t="shared" si="10"/>
        <v>847222.22222222365</v>
      </c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2:28" ht="16.5" customHeight="1">
      <c r="B69" s="22">
        <f t="shared" si="2"/>
        <v>56</v>
      </c>
      <c r="C69" s="23">
        <f t="shared" si="3"/>
        <v>550.80285641539376</v>
      </c>
      <c r="D69" s="23">
        <f t="shared" si="4"/>
        <v>9265.6426490193935</v>
      </c>
      <c r="E69" s="23">
        <f t="shared" si="5"/>
        <v>9816.4455054347873</v>
      </c>
      <c r="F69" s="23">
        <f t="shared" si="6"/>
        <v>975931.95031334192</v>
      </c>
      <c r="G69" s="21"/>
      <c r="H69" s="22">
        <f t="shared" si="7"/>
        <v>56</v>
      </c>
      <c r="I69" s="23">
        <f t="shared" si="9"/>
        <v>2777.7777777777778</v>
      </c>
      <c r="J69" s="23">
        <f t="shared" si="0"/>
        <v>8039.1162362439827</v>
      </c>
      <c r="K69" s="23">
        <f t="shared" si="1"/>
        <v>10816.89401402176</v>
      </c>
      <c r="L69" s="23">
        <f t="shared" si="10"/>
        <v>844444.44444444589</v>
      </c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2:28" ht="16.5" customHeight="1">
      <c r="B70" s="22">
        <f t="shared" si="2"/>
        <v>57</v>
      </c>
      <c r="C70" s="23">
        <f t="shared" si="3"/>
        <v>556.02931066769816</v>
      </c>
      <c r="D70" s="23">
        <f t="shared" si="4"/>
        <v>9260.4161947670909</v>
      </c>
      <c r="E70" s="23">
        <f t="shared" si="5"/>
        <v>9816.4455054347891</v>
      </c>
      <c r="F70" s="23">
        <f t="shared" si="6"/>
        <v>975375.92100267427</v>
      </c>
      <c r="G70" s="21"/>
      <c r="H70" s="22">
        <f t="shared" si="7"/>
        <v>57</v>
      </c>
      <c r="I70" s="23">
        <f t="shared" si="9"/>
        <v>2777.7777777777778</v>
      </c>
      <c r="J70" s="23">
        <f t="shared" si="0"/>
        <v>8012.7584780923635</v>
      </c>
      <c r="K70" s="23">
        <f t="shared" si="1"/>
        <v>10790.536255870142</v>
      </c>
      <c r="L70" s="23">
        <f t="shared" si="10"/>
        <v>841666.66666666814</v>
      </c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2:28" ht="16.5" customHeight="1">
      <c r="B71" s="22">
        <f t="shared" si="2"/>
        <v>58</v>
      </c>
      <c r="C71" s="23">
        <f t="shared" si="3"/>
        <v>561.30535766218236</v>
      </c>
      <c r="D71" s="23">
        <f t="shared" si="4"/>
        <v>9255.1401477726067</v>
      </c>
      <c r="E71" s="23">
        <f t="shared" si="5"/>
        <v>9816.4455054347891</v>
      </c>
      <c r="F71" s="23">
        <f t="shared" si="6"/>
        <v>974814.61564501212</v>
      </c>
      <c r="G71" s="21"/>
      <c r="H71" s="22">
        <f t="shared" si="7"/>
        <v>58</v>
      </c>
      <c r="I71" s="23">
        <f t="shared" si="9"/>
        <v>2777.7777777777778</v>
      </c>
      <c r="J71" s="23">
        <f t="shared" si="0"/>
        <v>7986.4007199407442</v>
      </c>
      <c r="K71" s="23">
        <f t="shared" si="1"/>
        <v>10764.178497718522</v>
      </c>
      <c r="L71" s="23">
        <f t="shared" si="10"/>
        <v>838888.88888889039</v>
      </c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2:28" ht="16.5" customHeight="1">
      <c r="B72" s="22">
        <f t="shared" si="2"/>
        <v>59</v>
      </c>
      <c r="C72" s="23">
        <f t="shared" si="3"/>
        <v>566.63146797410991</v>
      </c>
      <c r="D72" s="23">
        <f t="shared" si="4"/>
        <v>9249.8140374606792</v>
      </c>
      <c r="E72" s="23">
        <f t="shared" si="5"/>
        <v>9816.4455054347891</v>
      </c>
      <c r="F72" s="23">
        <f t="shared" si="6"/>
        <v>974247.98417703796</v>
      </c>
      <c r="G72" s="21"/>
      <c r="H72" s="22">
        <f t="shared" si="7"/>
        <v>59</v>
      </c>
      <c r="I72" s="23">
        <f t="shared" si="9"/>
        <v>2777.7777777777778</v>
      </c>
      <c r="J72" s="23">
        <f t="shared" si="0"/>
        <v>7960.042961789125</v>
      </c>
      <c r="K72" s="23">
        <f t="shared" si="1"/>
        <v>10737.820739566903</v>
      </c>
      <c r="L72" s="23">
        <f t="shared" si="10"/>
        <v>836111.11111111264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spans="2:28" ht="16.5" customHeight="1">
      <c r="B73" s="22">
        <f t="shared" si="2"/>
        <v>60</v>
      </c>
      <c r="C73" s="23">
        <f t="shared" si="3"/>
        <v>572.00811664393586</v>
      </c>
      <c r="D73" s="23">
        <f t="shared" si="4"/>
        <v>9244.4373887908532</v>
      </c>
      <c r="E73" s="23">
        <f t="shared" si="5"/>
        <v>9816.4455054347891</v>
      </c>
      <c r="F73" s="23">
        <f t="shared" si="6"/>
        <v>973675.97606039396</v>
      </c>
      <c r="G73" s="21"/>
      <c r="H73" s="22">
        <f t="shared" si="7"/>
        <v>60</v>
      </c>
      <c r="I73" s="23">
        <f t="shared" si="9"/>
        <v>2777.7777777777778</v>
      </c>
      <c r="J73" s="23">
        <f t="shared" si="0"/>
        <v>7933.6852036375058</v>
      </c>
      <c r="K73" s="23">
        <f t="shared" si="1"/>
        <v>10711.462981415283</v>
      </c>
      <c r="L73" s="23">
        <f t="shared" si="10"/>
        <v>833333.33333333489</v>
      </c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2:28" ht="16.5" customHeight="1">
      <c r="B74" s="22">
        <f t="shared" si="2"/>
        <v>61</v>
      </c>
      <c r="C74" s="23">
        <f t="shared" si="3"/>
        <v>577.43578321967107</v>
      </c>
      <c r="D74" s="23">
        <f t="shared" si="4"/>
        <v>9239.0097222151162</v>
      </c>
      <c r="E74" s="23">
        <f t="shared" si="5"/>
        <v>9816.4455054347873</v>
      </c>
      <c r="F74" s="23">
        <f t="shared" si="6"/>
        <v>973098.54027717432</v>
      </c>
      <c r="G74" s="21"/>
      <c r="H74" s="22">
        <f t="shared" si="7"/>
        <v>61</v>
      </c>
      <c r="I74" s="23">
        <f t="shared" si="9"/>
        <v>2777.7777777777778</v>
      </c>
      <c r="J74" s="23">
        <f t="shared" si="0"/>
        <v>7907.3274454858865</v>
      </c>
      <c r="K74" s="23">
        <f t="shared" si="1"/>
        <v>10685.105223263665</v>
      </c>
      <c r="L74" s="23">
        <f t="shared" si="10"/>
        <v>830555.55555555713</v>
      </c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2:28" ht="16.5" customHeight="1">
      <c r="B75" s="22">
        <f t="shared" si="2"/>
        <v>62</v>
      </c>
      <c r="C75" s="23">
        <f t="shared" si="3"/>
        <v>582.91495179966114</v>
      </c>
      <c r="D75" s="23">
        <f t="shared" si="4"/>
        <v>9233.5305536351279</v>
      </c>
      <c r="E75" s="23">
        <f t="shared" si="5"/>
        <v>9816.4455054347891</v>
      </c>
      <c r="F75" s="23">
        <f t="shared" si="6"/>
        <v>972515.62532537465</v>
      </c>
      <c r="G75" s="21"/>
      <c r="H75" s="22">
        <f t="shared" si="7"/>
        <v>62</v>
      </c>
      <c r="I75" s="23">
        <f t="shared" si="9"/>
        <v>2777.7777777777778</v>
      </c>
      <c r="J75" s="23">
        <f t="shared" si="0"/>
        <v>7880.9696873342673</v>
      </c>
      <c r="K75" s="23">
        <f t="shared" si="1"/>
        <v>10658.747465112045</v>
      </c>
      <c r="L75" s="23">
        <f t="shared" si="10"/>
        <v>827777.77777777938</v>
      </c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2:28" ht="16.5" customHeight="1">
      <c r="B76" s="22">
        <f t="shared" si="2"/>
        <v>63</v>
      </c>
      <c r="C76" s="23">
        <f t="shared" si="3"/>
        <v>588.44611107576202</v>
      </c>
      <c r="D76" s="23">
        <f t="shared" si="4"/>
        <v>9227.9993943590271</v>
      </c>
      <c r="E76" s="23">
        <f t="shared" si="5"/>
        <v>9816.4455054347891</v>
      </c>
      <c r="F76" s="23">
        <f t="shared" si="6"/>
        <v>971927.17921429884</v>
      </c>
      <c r="G76" s="21"/>
      <c r="H76" s="22">
        <f t="shared" si="7"/>
        <v>63</v>
      </c>
      <c r="I76" s="23">
        <f t="shared" si="9"/>
        <v>2777.7777777777778</v>
      </c>
      <c r="J76" s="23">
        <f t="shared" si="0"/>
        <v>7854.6119291826471</v>
      </c>
      <c r="K76" s="23">
        <f t="shared" si="1"/>
        <v>10632.389706960425</v>
      </c>
      <c r="L76" s="23">
        <f t="shared" si="10"/>
        <v>825000.00000000163</v>
      </c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2:28" ht="16.5" customHeight="1">
      <c r="B77" s="22">
        <f t="shared" si="2"/>
        <v>64</v>
      </c>
      <c r="C77" s="23">
        <f t="shared" si="3"/>
        <v>594.0297543769193</v>
      </c>
      <c r="D77" s="23">
        <f t="shared" si="4"/>
        <v>9222.415751057868</v>
      </c>
      <c r="E77" s="23">
        <f t="shared" si="5"/>
        <v>9816.4455054347873</v>
      </c>
      <c r="F77" s="23">
        <f t="shared" si="6"/>
        <v>971333.14945992187</v>
      </c>
      <c r="G77" s="21"/>
      <c r="H77" s="22">
        <f t="shared" si="7"/>
        <v>64</v>
      </c>
      <c r="I77" s="23">
        <f t="shared" si="9"/>
        <v>2777.7777777777778</v>
      </c>
      <c r="J77" s="23">
        <f t="shared" si="0"/>
        <v>7828.2541710310279</v>
      </c>
      <c r="K77" s="23">
        <f t="shared" si="1"/>
        <v>10606.031948808806</v>
      </c>
      <c r="L77" s="23">
        <f t="shared" si="10"/>
        <v>822222.22222222388</v>
      </c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2:28" ht="16.5" customHeight="1">
      <c r="B78" s="22">
        <f t="shared" si="2"/>
        <v>65</v>
      </c>
      <c r="C78" s="23">
        <f t="shared" si="3"/>
        <v>599.66637971318232</v>
      </c>
      <c r="D78" s="23">
        <f t="shared" si="4"/>
        <v>9216.7791257216049</v>
      </c>
      <c r="E78" s="23">
        <f t="shared" si="5"/>
        <v>9816.4455054347873</v>
      </c>
      <c r="F78" s="23">
        <f t="shared" si="6"/>
        <v>970733.48308020865</v>
      </c>
      <c r="G78" s="21"/>
      <c r="H78" s="22">
        <f t="shared" si="7"/>
        <v>65</v>
      </c>
      <c r="I78" s="23">
        <f t="shared" si="9"/>
        <v>2777.7777777777778</v>
      </c>
      <c r="J78" s="23">
        <f t="shared" ref="J78:J141" si="11">+L77*$E$9</f>
        <v>7801.8964128794087</v>
      </c>
      <c r="K78" s="23">
        <f t="shared" ref="K78:K141" si="12">I78+J78</f>
        <v>10579.674190657186</v>
      </c>
      <c r="L78" s="23">
        <f t="shared" si="10"/>
        <v>819444.44444444613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2:28" ht="16.5" customHeight="1">
      <c r="B79" s="22">
        <f t="shared" ref="B79:B142" si="13">+B78+1</f>
        <v>66</v>
      </c>
      <c r="C79" s="23">
        <f t="shared" ref="C79:C142" si="14">IFERROR(E79-D79,0)</f>
        <v>605.35648982011298</v>
      </c>
      <c r="D79" s="23">
        <f t="shared" ref="D79:D142" si="15">IFERROR(+F78*$E$9,0)</f>
        <v>9211.0890156146743</v>
      </c>
      <c r="E79" s="23">
        <f t="shared" ref="E79:E142" si="16">IFERROR(-PMT($E$9,$E$7-B78,F78),0)</f>
        <v>9816.4455054347873</v>
      </c>
      <c r="F79" s="23">
        <f t="shared" ref="F79:F142" si="17">IFERROR(F78-C79,0)</f>
        <v>970128.12659038859</v>
      </c>
      <c r="G79" s="21"/>
      <c r="H79" s="22">
        <f t="shared" ref="H79:H142" si="18">+H78+1</f>
        <v>66</v>
      </c>
      <c r="I79" s="23">
        <f t="shared" si="9"/>
        <v>2777.7777777777778</v>
      </c>
      <c r="J79" s="23">
        <f t="shared" si="11"/>
        <v>7775.5386547277894</v>
      </c>
      <c r="K79" s="23">
        <f t="shared" si="12"/>
        <v>10553.316432505568</v>
      </c>
      <c r="L79" s="23">
        <f t="shared" si="10"/>
        <v>816666.66666666837</v>
      </c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2:28" ht="16.5" customHeight="1">
      <c r="B80" s="22">
        <f t="shared" si="13"/>
        <v>67</v>
      </c>
      <c r="C80" s="23">
        <f t="shared" si="14"/>
        <v>611.100592203622</v>
      </c>
      <c r="D80" s="23">
        <f t="shared" si="15"/>
        <v>9205.3449132311653</v>
      </c>
      <c r="E80" s="23">
        <f t="shared" si="16"/>
        <v>9816.4455054347873</v>
      </c>
      <c r="F80" s="23">
        <f t="shared" si="17"/>
        <v>969517.02599818492</v>
      </c>
      <c r="G80" s="21"/>
      <c r="H80" s="22">
        <f t="shared" si="18"/>
        <v>67</v>
      </c>
      <c r="I80" s="23">
        <f t="shared" ref="I80:I143" si="19">IF(H80&gt;$E$7,0,I79)</f>
        <v>2777.7777777777778</v>
      </c>
      <c r="J80" s="23">
        <f t="shared" si="11"/>
        <v>7749.1808965761702</v>
      </c>
      <c r="K80" s="23">
        <f t="shared" si="12"/>
        <v>10526.958674353948</v>
      </c>
      <c r="L80" s="23">
        <f t="shared" si="10"/>
        <v>813888.88888889062</v>
      </c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2:28" ht="16.5" customHeight="1">
      <c r="B81" s="22">
        <f t="shared" si="13"/>
        <v>68</v>
      </c>
      <c r="C81" s="23">
        <f t="shared" si="14"/>
        <v>616.89919918524356</v>
      </c>
      <c r="D81" s="23">
        <f t="shared" si="15"/>
        <v>9199.5463062495437</v>
      </c>
      <c r="E81" s="23">
        <f t="shared" si="16"/>
        <v>9816.4455054347873</v>
      </c>
      <c r="F81" s="23">
        <f t="shared" si="17"/>
        <v>968900.12679899973</v>
      </c>
      <c r="G81" s="21"/>
      <c r="H81" s="22">
        <f t="shared" si="18"/>
        <v>68</v>
      </c>
      <c r="I81" s="23">
        <f t="shared" si="19"/>
        <v>2777.7777777777778</v>
      </c>
      <c r="J81" s="23">
        <f t="shared" si="11"/>
        <v>7722.823138424551</v>
      </c>
      <c r="K81" s="23">
        <f t="shared" si="12"/>
        <v>10500.600916202329</v>
      </c>
      <c r="L81" s="23">
        <f t="shared" si="10"/>
        <v>811111.11111111287</v>
      </c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spans="2:28" ht="16.5" customHeight="1">
      <c r="B82" s="22">
        <f t="shared" si="13"/>
        <v>69</v>
      </c>
      <c r="C82" s="23">
        <f t="shared" si="14"/>
        <v>622.75282794782106</v>
      </c>
      <c r="D82" s="23">
        <f t="shared" si="15"/>
        <v>9193.6926774869662</v>
      </c>
      <c r="E82" s="23">
        <f t="shared" si="16"/>
        <v>9816.4455054347873</v>
      </c>
      <c r="F82" s="23">
        <f t="shared" si="17"/>
        <v>968277.37397105189</v>
      </c>
      <c r="G82" s="21"/>
      <c r="H82" s="22">
        <f t="shared" si="18"/>
        <v>69</v>
      </c>
      <c r="I82" s="23">
        <f t="shared" si="19"/>
        <v>2777.7777777777778</v>
      </c>
      <c r="J82" s="23">
        <f t="shared" si="11"/>
        <v>7696.4653802729317</v>
      </c>
      <c r="K82" s="23">
        <f t="shared" si="12"/>
        <v>10474.243158050709</v>
      </c>
      <c r="L82" s="23">
        <f t="shared" si="10"/>
        <v>808333.33333333512</v>
      </c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2:28" ht="16.5" customHeight="1">
      <c r="B83" s="22">
        <f t="shared" si="13"/>
        <v>70</v>
      </c>
      <c r="C83" s="23">
        <f t="shared" si="14"/>
        <v>628.66200058164395</v>
      </c>
      <c r="D83" s="23">
        <f t="shared" si="15"/>
        <v>9187.7835048531433</v>
      </c>
      <c r="E83" s="23">
        <f t="shared" si="16"/>
        <v>9816.4455054347873</v>
      </c>
      <c r="F83" s="23">
        <f t="shared" si="17"/>
        <v>967648.71197047026</v>
      </c>
      <c r="G83" s="21"/>
      <c r="H83" s="22">
        <f t="shared" si="18"/>
        <v>70</v>
      </c>
      <c r="I83" s="23">
        <f t="shared" si="19"/>
        <v>2777.7777777777778</v>
      </c>
      <c r="J83" s="23">
        <f t="shared" si="11"/>
        <v>7670.1076221213125</v>
      </c>
      <c r="K83" s="23">
        <f t="shared" si="12"/>
        <v>10447.885399899091</v>
      </c>
      <c r="L83" s="23">
        <f t="shared" si="10"/>
        <v>805555.55555555737</v>
      </c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2:28" ht="16.5" customHeight="1">
      <c r="B84" s="22">
        <f t="shared" si="13"/>
        <v>71</v>
      </c>
      <c r="C84" s="23">
        <f t="shared" si="14"/>
        <v>634.62724413100477</v>
      </c>
      <c r="D84" s="23">
        <f t="shared" si="15"/>
        <v>9181.8182613037825</v>
      </c>
      <c r="E84" s="23">
        <f t="shared" si="16"/>
        <v>9816.4455054347873</v>
      </c>
      <c r="F84" s="23">
        <f t="shared" si="17"/>
        <v>967014.08472633921</v>
      </c>
      <c r="G84" s="21"/>
      <c r="H84" s="22">
        <f t="shared" si="18"/>
        <v>71</v>
      </c>
      <c r="I84" s="23">
        <f t="shared" si="19"/>
        <v>2777.7777777777778</v>
      </c>
      <c r="J84" s="23">
        <f t="shared" si="11"/>
        <v>7643.7498639696933</v>
      </c>
      <c r="K84" s="23">
        <f t="shared" si="12"/>
        <v>10421.527641747471</v>
      </c>
      <c r="L84" s="23">
        <f t="shared" si="10"/>
        <v>802777.77777777961</v>
      </c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2:28" ht="16.5" customHeight="1">
      <c r="B85" s="22">
        <f t="shared" si="13"/>
        <v>72</v>
      </c>
      <c r="C85" s="23">
        <f t="shared" si="14"/>
        <v>640.64909064120911</v>
      </c>
      <c r="D85" s="23">
        <f t="shared" si="15"/>
        <v>9175.7964147935782</v>
      </c>
      <c r="E85" s="23">
        <f t="shared" si="16"/>
        <v>9816.4455054347873</v>
      </c>
      <c r="F85" s="23">
        <f t="shared" si="17"/>
        <v>966373.43563569803</v>
      </c>
      <c r="G85" s="21"/>
      <c r="H85" s="22">
        <f t="shared" si="18"/>
        <v>72</v>
      </c>
      <c r="I85" s="23">
        <f t="shared" si="19"/>
        <v>2777.7777777777778</v>
      </c>
      <c r="J85" s="23">
        <f t="shared" si="11"/>
        <v>7617.392105818074</v>
      </c>
      <c r="K85" s="23">
        <f t="shared" si="12"/>
        <v>10395.169883595852</v>
      </c>
      <c r="L85" s="23">
        <f t="shared" si="10"/>
        <v>800000.00000000186</v>
      </c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2:28" ht="16.5" customHeight="1">
      <c r="B86" s="22">
        <f t="shared" si="13"/>
        <v>73</v>
      </c>
      <c r="C86" s="23">
        <f t="shared" si="14"/>
        <v>646.72807720603123</v>
      </c>
      <c r="D86" s="23">
        <f t="shared" si="15"/>
        <v>9169.717428228756</v>
      </c>
      <c r="E86" s="23">
        <f t="shared" si="16"/>
        <v>9816.4455054347873</v>
      </c>
      <c r="F86" s="23">
        <f t="shared" si="17"/>
        <v>965726.70755849197</v>
      </c>
      <c r="G86" s="21"/>
      <c r="H86" s="22">
        <f t="shared" si="18"/>
        <v>73</v>
      </c>
      <c r="I86" s="23">
        <f t="shared" si="19"/>
        <v>2777.7777777777778</v>
      </c>
      <c r="J86" s="23">
        <f t="shared" si="11"/>
        <v>7591.0343476664539</v>
      </c>
      <c r="K86" s="23">
        <f t="shared" si="12"/>
        <v>10368.812125444232</v>
      </c>
      <c r="L86" s="23">
        <f t="shared" si="10"/>
        <v>797222.22222222411</v>
      </c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2:28" ht="16.5" customHeight="1">
      <c r="B87" s="22">
        <f t="shared" si="13"/>
        <v>74</v>
      </c>
      <c r="C87" s="23">
        <f t="shared" si="14"/>
        <v>652.86474601562077</v>
      </c>
      <c r="D87" s="23">
        <f t="shared" si="15"/>
        <v>9163.5807594191665</v>
      </c>
      <c r="E87" s="23">
        <f t="shared" si="16"/>
        <v>9816.4455054347873</v>
      </c>
      <c r="F87" s="23">
        <f t="shared" si="17"/>
        <v>965073.84281247633</v>
      </c>
      <c r="G87" s="21"/>
      <c r="H87" s="22">
        <f t="shared" si="18"/>
        <v>74</v>
      </c>
      <c r="I87" s="23">
        <f t="shared" si="19"/>
        <v>2777.7777777777778</v>
      </c>
      <c r="J87" s="23">
        <f t="shared" si="11"/>
        <v>7564.6765895148346</v>
      </c>
      <c r="K87" s="23">
        <f t="shared" si="12"/>
        <v>10342.454367292612</v>
      </c>
      <c r="L87" s="23">
        <f t="shared" si="10"/>
        <v>794444.44444444636</v>
      </c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2:28" ht="16.5" customHeight="1">
      <c r="B88" s="22">
        <f t="shared" si="13"/>
        <v>75</v>
      </c>
      <c r="C88" s="23">
        <f t="shared" si="14"/>
        <v>659.05964440485332</v>
      </c>
      <c r="D88" s="23">
        <f t="shared" si="15"/>
        <v>9157.3858610299339</v>
      </c>
      <c r="E88" s="23">
        <f t="shared" si="16"/>
        <v>9816.4455054347873</v>
      </c>
      <c r="F88" s="23">
        <f t="shared" si="17"/>
        <v>964414.78316807153</v>
      </c>
      <c r="G88" s="21"/>
      <c r="H88" s="22">
        <f t="shared" si="18"/>
        <v>75</v>
      </c>
      <c r="I88" s="23">
        <f t="shared" si="19"/>
        <v>2777.7777777777778</v>
      </c>
      <c r="J88" s="23">
        <f t="shared" si="11"/>
        <v>7538.3188313632154</v>
      </c>
      <c r="K88" s="23">
        <f t="shared" si="12"/>
        <v>10316.096609140994</v>
      </c>
      <c r="L88" s="23">
        <f t="shared" si="10"/>
        <v>791666.66666666861</v>
      </c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2:28" ht="16.5" customHeight="1">
      <c r="B89" s="22">
        <f t="shared" si="13"/>
        <v>76</v>
      </c>
      <c r="C89" s="23">
        <f t="shared" si="14"/>
        <v>665.31332490215027</v>
      </c>
      <c r="D89" s="23">
        <f t="shared" si="15"/>
        <v>9151.132180532637</v>
      </c>
      <c r="E89" s="23">
        <f t="shared" si="16"/>
        <v>9816.4455054347873</v>
      </c>
      <c r="F89" s="23">
        <f t="shared" si="17"/>
        <v>963749.46984316933</v>
      </c>
      <c r="G89" s="21"/>
      <c r="H89" s="22">
        <f t="shared" si="18"/>
        <v>76</v>
      </c>
      <c r="I89" s="23">
        <f t="shared" si="19"/>
        <v>2777.7777777777778</v>
      </c>
      <c r="J89" s="23">
        <f t="shared" si="11"/>
        <v>7511.9610732115962</v>
      </c>
      <c r="K89" s="23">
        <f t="shared" si="12"/>
        <v>10289.738850989374</v>
      </c>
      <c r="L89" s="23">
        <f t="shared" si="10"/>
        <v>788888.88888889086</v>
      </c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2:28" ht="16.5" customHeight="1">
      <c r="B90" s="22">
        <f t="shared" si="13"/>
        <v>77</v>
      </c>
      <c r="C90" s="23">
        <f t="shared" si="14"/>
        <v>671.62634527876617</v>
      </c>
      <c r="D90" s="23">
        <f t="shared" si="15"/>
        <v>9144.8191601560211</v>
      </c>
      <c r="E90" s="23">
        <f t="shared" si="16"/>
        <v>9816.4455054347873</v>
      </c>
      <c r="F90" s="23">
        <f t="shared" si="17"/>
        <v>963077.84349789051</v>
      </c>
      <c r="G90" s="21"/>
      <c r="H90" s="22">
        <f t="shared" si="18"/>
        <v>77</v>
      </c>
      <c r="I90" s="23">
        <f t="shared" si="19"/>
        <v>2777.7777777777778</v>
      </c>
      <c r="J90" s="23">
        <f t="shared" si="11"/>
        <v>7485.6033150599769</v>
      </c>
      <c r="K90" s="23">
        <f t="shared" si="12"/>
        <v>10263.381092837755</v>
      </c>
      <c r="L90" s="23">
        <f t="shared" ref="L90:L153" si="20">IF(H90&gt;$E$7,0,IFERROR(L89-I90,0)-N90)</f>
        <v>786111.1111111131</v>
      </c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spans="2:28" ht="16.5" customHeight="1">
      <c r="B91" s="22">
        <f t="shared" si="13"/>
        <v>78</v>
      </c>
      <c r="C91" s="23">
        <f t="shared" si="14"/>
        <v>677.99926859852712</v>
      </c>
      <c r="D91" s="23">
        <f t="shared" si="15"/>
        <v>9138.4462368362601</v>
      </c>
      <c r="E91" s="23">
        <f t="shared" si="16"/>
        <v>9816.4455054347873</v>
      </c>
      <c r="F91" s="23">
        <f t="shared" si="17"/>
        <v>962399.84422929201</v>
      </c>
      <c r="G91" s="21"/>
      <c r="H91" s="22">
        <f t="shared" si="18"/>
        <v>78</v>
      </c>
      <c r="I91" s="23">
        <f t="shared" si="19"/>
        <v>2777.7777777777778</v>
      </c>
      <c r="J91" s="23">
        <f t="shared" si="11"/>
        <v>7459.2455569083577</v>
      </c>
      <c r="K91" s="23">
        <f t="shared" si="12"/>
        <v>10237.023334686135</v>
      </c>
      <c r="L91" s="23">
        <f t="shared" si="20"/>
        <v>783333.33333333535</v>
      </c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2:28" ht="16.5" customHeight="1">
      <c r="B92" s="22">
        <f t="shared" si="13"/>
        <v>79</v>
      </c>
      <c r="C92" s="23">
        <f t="shared" si="14"/>
        <v>684.43266326805679</v>
      </c>
      <c r="D92" s="23">
        <f t="shared" si="15"/>
        <v>9132.0128421667305</v>
      </c>
      <c r="E92" s="23">
        <f t="shared" si="16"/>
        <v>9816.4455054347873</v>
      </c>
      <c r="F92" s="23">
        <f t="shared" si="17"/>
        <v>961715.41156602395</v>
      </c>
      <c r="G92" s="21"/>
      <c r="H92" s="22">
        <f t="shared" si="18"/>
        <v>79</v>
      </c>
      <c r="I92" s="23">
        <f t="shared" si="19"/>
        <v>2777.7777777777778</v>
      </c>
      <c r="J92" s="23">
        <f t="shared" si="11"/>
        <v>7432.8877987567384</v>
      </c>
      <c r="K92" s="23">
        <f t="shared" si="12"/>
        <v>10210.665576534517</v>
      </c>
      <c r="L92" s="23">
        <f t="shared" si="20"/>
        <v>780555.5555555576</v>
      </c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2:28" ht="16.5" customHeight="1">
      <c r="B93" s="22">
        <f t="shared" si="13"/>
        <v>80</v>
      </c>
      <c r="C93" s="23">
        <f t="shared" si="14"/>
        <v>690.92710308747337</v>
      </c>
      <c r="D93" s="23">
        <f t="shared" si="15"/>
        <v>9125.5184023473139</v>
      </c>
      <c r="E93" s="23">
        <f t="shared" si="16"/>
        <v>9816.4455054347873</v>
      </c>
      <c r="F93" s="23">
        <f t="shared" si="17"/>
        <v>961024.48446293653</v>
      </c>
      <c r="G93" s="21"/>
      <c r="H93" s="22">
        <f t="shared" si="18"/>
        <v>80</v>
      </c>
      <c r="I93" s="23">
        <f t="shared" si="19"/>
        <v>2777.7777777777778</v>
      </c>
      <c r="J93" s="23">
        <f t="shared" si="11"/>
        <v>7406.5300406051192</v>
      </c>
      <c r="K93" s="23">
        <f t="shared" si="12"/>
        <v>10184.307818382897</v>
      </c>
      <c r="L93" s="23">
        <f t="shared" si="20"/>
        <v>777777.77777777985</v>
      </c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2:28" ht="16.5" customHeight="1">
      <c r="B94" s="22">
        <f t="shared" si="13"/>
        <v>81</v>
      </c>
      <c r="C94" s="23">
        <f t="shared" si="14"/>
        <v>697.48316730156148</v>
      </c>
      <c r="D94" s="23">
        <f t="shared" si="15"/>
        <v>9118.9623381332258</v>
      </c>
      <c r="E94" s="23">
        <f t="shared" si="16"/>
        <v>9816.4455054347873</v>
      </c>
      <c r="F94" s="23">
        <f t="shared" si="17"/>
        <v>960327.00129563501</v>
      </c>
      <c r="G94" s="21"/>
      <c r="H94" s="22">
        <f t="shared" si="18"/>
        <v>81</v>
      </c>
      <c r="I94" s="23">
        <f t="shared" si="19"/>
        <v>2777.7777777777778</v>
      </c>
      <c r="J94" s="23">
        <f t="shared" si="11"/>
        <v>7380.1722824535</v>
      </c>
      <c r="K94" s="23">
        <f t="shared" si="12"/>
        <v>10157.950060231278</v>
      </c>
      <c r="L94" s="23">
        <f t="shared" si="20"/>
        <v>775000.0000000021</v>
      </c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2:28" ht="16.5" customHeight="1">
      <c r="B95" s="22">
        <f t="shared" si="13"/>
        <v>82</v>
      </c>
      <c r="C95" s="23">
        <f t="shared" si="14"/>
        <v>704.10144065144414</v>
      </c>
      <c r="D95" s="23">
        <f t="shared" si="15"/>
        <v>9112.3440647833449</v>
      </c>
      <c r="E95" s="23">
        <f t="shared" si="16"/>
        <v>9816.4455054347891</v>
      </c>
      <c r="F95" s="23">
        <f t="shared" si="17"/>
        <v>959622.89985498355</v>
      </c>
      <c r="G95" s="21"/>
      <c r="H95" s="22">
        <f t="shared" si="18"/>
        <v>82</v>
      </c>
      <c r="I95" s="23">
        <f t="shared" si="19"/>
        <v>2777.7777777777778</v>
      </c>
      <c r="J95" s="23">
        <f t="shared" si="11"/>
        <v>7353.8145243018807</v>
      </c>
      <c r="K95" s="23">
        <f t="shared" si="12"/>
        <v>10131.592302079658</v>
      </c>
      <c r="L95" s="23">
        <f t="shared" si="20"/>
        <v>772222.22222222434</v>
      </c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2:28" ht="16.5" customHeight="1">
      <c r="B96" s="22">
        <f t="shared" si="13"/>
        <v>83</v>
      </c>
      <c r="C96" s="23">
        <f t="shared" si="14"/>
        <v>710.78251342672593</v>
      </c>
      <c r="D96" s="23">
        <f t="shared" si="15"/>
        <v>9105.6629920080613</v>
      </c>
      <c r="E96" s="23">
        <f t="shared" si="16"/>
        <v>9816.4455054347873</v>
      </c>
      <c r="F96" s="23">
        <f t="shared" si="17"/>
        <v>958912.11734155682</v>
      </c>
      <c r="G96" s="21"/>
      <c r="H96" s="22">
        <f t="shared" si="18"/>
        <v>83</v>
      </c>
      <c r="I96" s="23">
        <f t="shared" si="19"/>
        <v>2777.7777777777778</v>
      </c>
      <c r="J96" s="23">
        <f t="shared" si="11"/>
        <v>7327.4567661502606</v>
      </c>
      <c r="K96" s="23">
        <f t="shared" si="12"/>
        <v>10105.234543928038</v>
      </c>
      <c r="L96" s="23">
        <f t="shared" si="20"/>
        <v>769444.44444444659</v>
      </c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2:28" ht="16.5" customHeight="1">
      <c r="B97" s="22">
        <f t="shared" si="13"/>
        <v>84</v>
      </c>
      <c r="C97" s="23">
        <f t="shared" si="14"/>
        <v>717.52698151815639</v>
      </c>
      <c r="D97" s="23">
        <f t="shared" si="15"/>
        <v>9098.9185239166327</v>
      </c>
      <c r="E97" s="23">
        <f t="shared" si="16"/>
        <v>9816.4455054347891</v>
      </c>
      <c r="F97" s="23">
        <f t="shared" si="17"/>
        <v>958194.59036003868</v>
      </c>
      <c r="G97" s="21"/>
      <c r="H97" s="22">
        <f t="shared" si="18"/>
        <v>84</v>
      </c>
      <c r="I97" s="23">
        <f t="shared" si="19"/>
        <v>2777.7777777777778</v>
      </c>
      <c r="J97" s="23">
        <f t="shared" si="11"/>
        <v>7301.0990079986414</v>
      </c>
      <c r="K97" s="23">
        <f t="shared" si="12"/>
        <v>10078.87678577642</v>
      </c>
      <c r="L97" s="23">
        <f t="shared" si="20"/>
        <v>766666.66666666884</v>
      </c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2:28" ht="16.5" customHeight="1">
      <c r="B98" s="22">
        <f t="shared" si="13"/>
        <v>85</v>
      </c>
      <c r="C98" s="23">
        <f t="shared" si="14"/>
        <v>724.33544647075723</v>
      </c>
      <c r="D98" s="23">
        <f t="shared" si="15"/>
        <v>9092.11005896403</v>
      </c>
      <c r="E98" s="23">
        <f t="shared" si="16"/>
        <v>9816.4455054347873</v>
      </c>
      <c r="F98" s="23">
        <f t="shared" si="17"/>
        <v>957470.25491356791</v>
      </c>
      <c r="G98" s="21"/>
      <c r="H98" s="22">
        <f t="shared" si="18"/>
        <v>85</v>
      </c>
      <c r="I98" s="23">
        <f t="shared" si="19"/>
        <v>2777.7777777777778</v>
      </c>
      <c r="J98" s="23">
        <f t="shared" si="11"/>
        <v>7274.7412498470221</v>
      </c>
      <c r="K98" s="23">
        <f t="shared" si="12"/>
        <v>10052.519027624799</v>
      </c>
      <c r="L98" s="23">
        <f t="shared" si="20"/>
        <v>763888.88888889109</v>
      </c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2:28" ht="16.5" customHeight="1">
      <c r="B99" s="22">
        <f t="shared" si="13"/>
        <v>86</v>
      </c>
      <c r="C99" s="23">
        <f t="shared" si="14"/>
        <v>731.20851553749708</v>
      </c>
      <c r="D99" s="23">
        <f t="shared" si="15"/>
        <v>9085.2369898972902</v>
      </c>
      <c r="E99" s="23">
        <f t="shared" si="16"/>
        <v>9816.4455054347873</v>
      </c>
      <c r="F99" s="23">
        <f t="shared" si="17"/>
        <v>956739.04639803036</v>
      </c>
      <c r="G99" s="21"/>
      <c r="H99" s="22">
        <f t="shared" si="18"/>
        <v>86</v>
      </c>
      <c r="I99" s="23">
        <f t="shared" si="19"/>
        <v>2777.7777777777778</v>
      </c>
      <c r="J99" s="23">
        <f t="shared" si="11"/>
        <v>7248.3834916954029</v>
      </c>
      <c r="K99" s="23">
        <f t="shared" si="12"/>
        <v>10026.161269473181</v>
      </c>
      <c r="L99" s="23">
        <f t="shared" si="20"/>
        <v>761111.11111111334</v>
      </c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2:28" ht="16.5" customHeight="1">
      <c r="B100" s="22">
        <f t="shared" si="13"/>
        <v>87</v>
      </c>
      <c r="C100" s="23">
        <f t="shared" si="14"/>
        <v>738.1468017334355</v>
      </c>
      <c r="D100" s="23">
        <f t="shared" si="15"/>
        <v>9078.2987037013518</v>
      </c>
      <c r="E100" s="23">
        <f t="shared" si="16"/>
        <v>9816.4455054347873</v>
      </c>
      <c r="F100" s="23">
        <f t="shared" si="17"/>
        <v>956000.89959629695</v>
      </c>
      <c r="G100" s="21"/>
      <c r="H100" s="22">
        <f t="shared" si="18"/>
        <v>87</v>
      </c>
      <c r="I100" s="23">
        <f t="shared" si="19"/>
        <v>2777.7777777777778</v>
      </c>
      <c r="J100" s="23">
        <f t="shared" si="11"/>
        <v>7222.0257335437836</v>
      </c>
      <c r="K100" s="23">
        <f t="shared" si="12"/>
        <v>9999.803511321561</v>
      </c>
      <c r="L100" s="23">
        <f t="shared" si="20"/>
        <v>758333.33333333558</v>
      </c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spans="2:28" ht="16.5" customHeight="1">
      <c r="B101" s="22">
        <f t="shared" si="13"/>
        <v>88</v>
      </c>
      <c r="C101" s="23">
        <f t="shared" si="14"/>
        <v>745.1509238904091</v>
      </c>
      <c r="D101" s="23">
        <f t="shared" si="15"/>
        <v>9071.2945815443782</v>
      </c>
      <c r="E101" s="23">
        <f t="shared" si="16"/>
        <v>9816.4455054347873</v>
      </c>
      <c r="F101" s="23">
        <f t="shared" si="17"/>
        <v>955255.74867240654</v>
      </c>
      <c r="G101" s="21"/>
      <c r="H101" s="22">
        <f t="shared" si="18"/>
        <v>88</v>
      </c>
      <c r="I101" s="23">
        <f t="shared" si="19"/>
        <v>2777.7777777777778</v>
      </c>
      <c r="J101" s="23">
        <f t="shared" si="11"/>
        <v>7195.6679753921644</v>
      </c>
      <c r="K101" s="23">
        <f t="shared" si="12"/>
        <v>9973.4457531699427</v>
      </c>
      <c r="L101" s="23">
        <f t="shared" si="20"/>
        <v>755555.55555555783</v>
      </c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2:28" ht="16.5" customHeight="1">
      <c r="B102" s="22">
        <f t="shared" si="13"/>
        <v>89</v>
      </c>
      <c r="C102" s="23">
        <f t="shared" si="14"/>
        <v>752.22150671221789</v>
      </c>
      <c r="D102" s="23">
        <f t="shared" si="15"/>
        <v>9064.2239987225694</v>
      </c>
      <c r="E102" s="23">
        <f t="shared" si="16"/>
        <v>9816.4455054347873</v>
      </c>
      <c r="F102" s="23">
        <f t="shared" si="17"/>
        <v>954503.52716569428</v>
      </c>
      <c r="G102" s="21"/>
      <c r="H102" s="22">
        <f t="shared" si="18"/>
        <v>89</v>
      </c>
      <c r="I102" s="23">
        <f t="shared" si="19"/>
        <v>2777.7777777777778</v>
      </c>
      <c r="J102" s="23">
        <f t="shared" si="11"/>
        <v>7169.3102172405452</v>
      </c>
      <c r="K102" s="23">
        <f t="shared" si="12"/>
        <v>9947.0879950183225</v>
      </c>
      <c r="L102" s="23">
        <f t="shared" si="20"/>
        <v>752777.77777778008</v>
      </c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spans="2:28" ht="16.5" customHeight="1">
      <c r="B103" s="22">
        <f t="shared" si="13"/>
        <v>90</v>
      </c>
      <c r="C103" s="23">
        <f t="shared" si="14"/>
        <v>759.35918083035176</v>
      </c>
      <c r="D103" s="23">
        <f t="shared" si="15"/>
        <v>9057.0863246044355</v>
      </c>
      <c r="E103" s="23">
        <f t="shared" si="16"/>
        <v>9816.4455054347873</v>
      </c>
      <c r="F103" s="23">
        <f t="shared" si="17"/>
        <v>953744.16798486398</v>
      </c>
      <c r="G103" s="21"/>
      <c r="H103" s="22">
        <f t="shared" si="18"/>
        <v>90</v>
      </c>
      <c r="I103" s="23">
        <f t="shared" si="19"/>
        <v>2777.7777777777778</v>
      </c>
      <c r="J103" s="23">
        <f t="shared" si="11"/>
        <v>7142.9524590889259</v>
      </c>
      <c r="K103" s="23">
        <f t="shared" si="12"/>
        <v>9920.7302368667042</v>
      </c>
      <c r="L103" s="23">
        <f t="shared" si="20"/>
        <v>750000.00000000233</v>
      </c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2:28" ht="16.5" customHeight="1">
      <c r="B104" s="22">
        <f t="shared" si="13"/>
        <v>91</v>
      </c>
      <c r="C104" s="23">
        <f t="shared" si="14"/>
        <v>766.56458286022462</v>
      </c>
      <c r="D104" s="23">
        <f t="shared" si="15"/>
        <v>9049.8809225745626</v>
      </c>
      <c r="E104" s="23">
        <f t="shared" si="16"/>
        <v>9816.4455054347873</v>
      </c>
      <c r="F104" s="23">
        <f t="shared" si="17"/>
        <v>952977.60340200376</v>
      </c>
      <c r="G104" s="21"/>
      <c r="H104" s="22">
        <f t="shared" si="18"/>
        <v>91</v>
      </c>
      <c r="I104" s="23">
        <f t="shared" si="19"/>
        <v>2777.7777777777778</v>
      </c>
      <c r="J104" s="23">
        <f t="shared" si="11"/>
        <v>7116.5947009373067</v>
      </c>
      <c r="K104" s="23">
        <f t="shared" si="12"/>
        <v>9894.3724787150841</v>
      </c>
      <c r="L104" s="23">
        <f t="shared" si="20"/>
        <v>747222.22222222458</v>
      </c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2:28" ht="16.5" customHeight="1">
      <c r="B105" s="22">
        <f t="shared" si="13"/>
        <v>92</v>
      </c>
      <c r="C105" s="23">
        <f t="shared" si="14"/>
        <v>773.83835545797047</v>
      </c>
      <c r="D105" s="23">
        <f t="shared" si="15"/>
        <v>9042.6071499768168</v>
      </c>
      <c r="E105" s="23">
        <f t="shared" si="16"/>
        <v>9816.4455054347873</v>
      </c>
      <c r="F105" s="23">
        <f t="shared" si="17"/>
        <v>952203.76504654577</v>
      </c>
      <c r="G105" s="21"/>
      <c r="H105" s="22">
        <f t="shared" si="18"/>
        <v>92</v>
      </c>
      <c r="I105" s="23">
        <f t="shared" si="19"/>
        <v>2777.7777777777778</v>
      </c>
      <c r="J105" s="23">
        <f t="shared" si="11"/>
        <v>7090.2369427856875</v>
      </c>
      <c r="K105" s="23">
        <f t="shared" si="12"/>
        <v>9868.0147205634657</v>
      </c>
      <c r="L105" s="23">
        <f t="shared" si="20"/>
        <v>744444.44444444682</v>
      </c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2:28" ht="16.5" customHeight="1">
      <c r="B106" s="22">
        <f t="shared" si="13"/>
        <v>93</v>
      </c>
      <c r="C106" s="23">
        <f t="shared" si="14"/>
        <v>781.18114737774886</v>
      </c>
      <c r="D106" s="23">
        <f t="shared" si="15"/>
        <v>9035.2643580570384</v>
      </c>
      <c r="E106" s="23">
        <f t="shared" si="16"/>
        <v>9816.4455054347873</v>
      </c>
      <c r="F106" s="23">
        <f t="shared" si="17"/>
        <v>951422.58389916806</v>
      </c>
      <c r="G106" s="21"/>
      <c r="H106" s="22">
        <f t="shared" si="18"/>
        <v>93</v>
      </c>
      <c r="I106" s="23">
        <f t="shared" si="19"/>
        <v>2777.7777777777778</v>
      </c>
      <c r="J106" s="23">
        <f t="shared" si="11"/>
        <v>7063.8791846340673</v>
      </c>
      <c r="K106" s="23">
        <f t="shared" si="12"/>
        <v>9841.6569624118456</v>
      </c>
      <c r="L106" s="23">
        <f t="shared" si="20"/>
        <v>741666.66666666907</v>
      </c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2:28" ht="16.5" customHeight="1">
      <c r="B107" s="22">
        <f t="shared" si="13"/>
        <v>94</v>
      </c>
      <c r="C107" s="23">
        <f t="shared" si="14"/>
        <v>788.59361352961605</v>
      </c>
      <c r="D107" s="23">
        <f t="shared" si="15"/>
        <v>9027.8518919051712</v>
      </c>
      <c r="E107" s="23">
        <f t="shared" si="16"/>
        <v>9816.4455054347873</v>
      </c>
      <c r="F107" s="23">
        <f t="shared" si="17"/>
        <v>950633.99028563849</v>
      </c>
      <c r="G107" s="21"/>
      <c r="H107" s="22">
        <f t="shared" si="18"/>
        <v>94</v>
      </c>
      <c r="I107" s="23">
        <f t="shared" si="19"/>
        <v>2777.7777777777778</v>
      </c>
      <c r="J107" s="23">
        <f t="shared" si="11"/>
        <v>7037.5214264824481</v>
      </c>
      <c r="K107" s="23">
        <f t="shared" si="12"/>
        <v>9815.2992042602255</v>
      </c>
      <c r="L107" s="23">
        <f t="shared" si="20"/>
        <v>738888.88888889132</v>
      </c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2:28" ht="16.5" customHeight="1">
      <c r="B108" s="22">
        <f t="shared" si="13"/>
        <v>95</v>
      </c>
      <c r="C108" s="23">
        <f t="shared" si="14"/>
        <v>796.07641503793275</v>
      </c>
      <c r="D108" s="23">
        <f t="shared" si="15"/>
        <v>9020.3690903968545</v>
      </c>
      <c r="E108" s="23">
        <f t="shared" si="16"/>
        <v>9816.4455054347873</v>
      </c>
      <c r="F108" s="23">
        <f t="shared" si="17"/>
        <v>949837.91387060052</v>
      </c>
      <c r="G108" s="21"/>
      <c r="H108" s="22">
        <f t="shared" si="18"/>
        <v>95</v>
      </c>
      <c r="I108" s="23">
        <f t="shared" si="19"/>
        <v>2777.7777777777778</v>
      </c>
      <c r="J108" s="23">
        <f t="shared" si="11"/>
        <v>7011.1636683308288</v>
      </c>
      <c r="K108" s="23">
        <f t="shared" si="12"/>
        <v>9788.9414461086071</v>
      </c>
      <c r="L108" s="23">
        <f t="shared" si="20"/>
        <v>736111.11111111357</v>
      </c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spans="2:28" ht="16.5" customHeight="1">
      <c r="B109" s="22">
        <f t="shared" si="13"/>
        <v>96</v>
      </c>
      <c r="C109" s="23">
        <f t="shared" si="14"/>
        <v>803.63021930033392</v>
      </c>
      <c r="D109" s="23">
        <f t="shared" si="15"/>
        <v>9012.8152861344533</v>
      </c>
      <c r="E109" s="23">
        <f t="shared" si="16"/>
        <v>9816.4455054347873</v>
      </c>
      <c r="F109" s="23">
        <f t="shared" si="17"/>
        <v>949034.28365130024</v>
      </c>
      <c r="G109" s="21"/>
      <c r="H109" s="22">
        <f t="shared" si="18"/>
        <v>96</v>
      </c>
      <c r="I109" s="23">
        <f t="shared" si="19"/>
        <v>2777.7777777777778</v>
      </c>
      <c r="J109" s="23">
        <f t="shared" si="11"/>
        <v>6984.8059101792096</v>
      </c>
      <c r="K109" s="23">
        <f t="shared" si="12"/>
        <v>9762.583687956987</v>
      </c>
      <c r="L109" s="23">
        <f t="shared" si="20"/>
        <v>733333.33333333582</v>
      </c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2:28" ht="16.5" customHeight="1">
      <c r="B110" s="22">
        <f t="shared" si="13"/>
        <v>97</v>
      </c>
      <c r="C110" s="23">
        <f t="shared" si="14"/>
        <v>811.25570004724977</v>
      </c>
      <c r="D110" s="23">
        <f t="shared" si="15"/>
        <v>9005.1898053875393</v>
      </c>
      <c r="E110" s="23">
        <f t="shared" si="16"/>
        <v>9816.4455054347891</v>
      </c>
      <c r="F110" s="23">
        <f t="shared" si="17"/>
        <v>948223.027951253</v>
      </c>
      <c r="G110" s="21"/>
      <c r="H110" s="22">
        <f t="shared" si="18"/>
        <v>97</v>
      </c>
      <c r="I110" s="23">
        <f t="shared" si="19"/>
        <v>2777.7777777777778</v>
      </c>
      <c r="J110" s="23">
        <f t="shared" si="11"/>
        <v>6958.4481520275904</v>
      </c>
      <c r="K110" s="23">
        <f t="shared" si="12"/>
        <v>9736.2259298053687</v>
      </c>
      <c r="L110" s="23">
        <f t="shared" si="20"/>
        <v>730555.55555555806</v>
      </c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2:28" ht="16.5" customHeight="1">
      <c r="B111" s="22">
        <f t="shared" si="13"/>
        <v>98</v>
      </c>
      <c r="C111" s="23">
        <f t="shared" si="14"/>
        <v>818.95353740199789</v>
      </c>
      <c r="D111" s="23">
        <f t="shared" si="15"/>
        <v>8997.4919680327912</v>
      </c>
      <c r="E111" s="23">
        <f t="shared" si="16"/>
        <v>9816.4455054347891</v>
      </c>
      <c r="F111" s="23">
        <f t="shared" si="17"/>
        <v>947404.07441385102</v>
      </c>
      <c r="G111" s="21"/>
      <c r="H111" s="22">
        <f t="shared" si="18"/>
        <v>98</v>
      </c>
      <c r="I111" s="23">
        <f t="shared" si="19"/>
        <v>2777.7777777777778</v>
      </c>
      <c r="J111" s="23">
        <f t="shared" si="11"/>
        <v>6932.0903938759711</v>
      </c>
      <c r="K111" s="23">
        <f t="shared" si="12"/>
        <v>9709.8681716537485</v>
      </c>
      <c r="L111" s="23">
        <f t="shared" si="20"/>
        <v>727777.77777778031</v>
      </c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2:28" ht="16.5" customHeight="1">
      <c r="B112" s="22">
        <f t="shared" si="13"/>
        <v>99</v>
      </c>
      <c r="C112" s="23">
        <f t="shared" si="14"/>
        <v>826.72441794145016</v>
      </c>
      <c r="D112" s="23">
        <f t="shared" si="15"/>
        <v>8989.7210874933389</v>
      </c>
      <c r="E112" s="23">
        <f t="shared" si="16"/>
        <v>9816.4455054347891</v>
      </c>
      <c r="F112" s="23">
        <f t="shared" si="17"/>
        <v>946577.34999590961</v>
      </c>
      <c r="G112" s="21"/>
      <c r="H112" s="22">
        <f t="shared" si="18"/>
        <v>99</v>
      </c>
      <c r="I112" s="23">
        <f t="shared" si="19"/>
        <v>2777.7777777777778</v>
      </c>
      <c r="J112" s="23">
        <f t="shared" si="11"/>
        <v>6905.7326357243519</v>
      </c>
      <c r="K112" s="23">
        <f t="shared" si="12"/>
        <v>9683.5104135021302</v>
      </c>
      <c r="L112" s="23">
        <f t="shared" si="20"/>
        <v>725000.00000000256</v>
      </c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2:28" ht="16.5" customHeight="1">
      <c r="B113" s="22">
        <f t="shared" si="13"/>
        <v>100</v>
      </c>
      <c r="C113" s="23">
        <f t="shared" si="14"/>
        <v>834.56903475725994</v>
      </c>
      <c r="D113" s="23">
        <f t="shared" si="15"/>
        <v>8981.8764706775291</v>
      </c>
      <c r="E113" s="23">
        <f t="shared" si="16"/>
        <v>9816.4455054347891</v>
      </c>
      <c r="F113" s="23">
        <f t="shared" si="17"/>
        <v>945742.7809611524</v>
      </c>
      <c r="G113" s="21"/>
      <c r="H113" s="22">
        <f t="shared" si="18"/>
        <v>100</v>
      </c>
      <c r="I113" s="23">
        <f t="shared" si="19"/>
        <v>2777.7777777777778</v>
      </c>
      <c r="J113" s="23">
        <f t="shared" si="11"/>
        <v>6879.3748775727327</v>
      </c>
      <c r="K113" s="23">
        <f t="shared" si="12"/>
        <v>9657.15265535051</v>
      </c>
      <c r="L113" s="23">
        <f t="shared" si="20"/>
        <v>722222.22222222481</v>
      </c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2:28" ht="16.5" customHeight="1">
      <c r="B114" s="22">
        <f t="shared" si="13"/>
        <v>101</v>
      </c>
      <c r="C114" s="23">
        <f t="shared" si="14"/>
        <v>842.48808751768593</v>
      </c>
      <c r="D114" s="23">
        <f t="shared" si="15"/>
        <v>8973.9574179171032</v>
      </c>
      <c r="E114" s="23">
        <f t="shared" si="16"/>
        <v>9816.4455054347891</v>
      </c>
      <c r="F114" s="23">
        <f t="shared" si="17"/>
        <v>944900.29287363472</v>
      </c>
      <c r="G114" s="21"/>
      <c r="H114" s="22">
        <f t="shared" si="18"/>
        <v>101</v>
      </c>
      <c r="I114" s="23">
        <f t="shared" si="19"/>
        <v>2777.7777777777778</v>
      </c>
      <c r="J114" s="23">
        <f t="shared" si="11"/>
        <v>6853.0171194211134</v>
      </c>
      <c r="K114" s="23">
        <f t="shared" si="12"/>
        <v>9630.7948971988917</v>
      </c>
      <c r="L114" s="23">
        <f t="shared" si="20"/>
        <v>719444.44444444706</v>
      </c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2:28" ht="16.5" customHeight="1">
      <c r="B115" s="22">
        <f t="shared" si="13"/>
        <v>102</v>
      </c>
      <c r="C115" s="23">
        <f t="shared" si="14"/>
        <v>850.48228252999434</v>
      </c>
      <c r="D115" s="23">
        <f t="shared" si="15"/>
        <v>8965.9632229047966</v>
      </c>
      <c r="E115" s="23">
        <f t="shared" si="16"/>
        <v>9816.4455054347909</v>
      </c>
      <c r="F115" s="23">
        <f t="shared" si="17"/>
        <v>944049.81059110467</v>
      </c>
      <c r="G115" s="21"/>
      <c r="H115" s="22">
        <f t="shared" si="18"/>
        <v>102</v>
      </c>
      <c r="I115" s="23">
        <f t="shared" si="19"/>
        <v>2777.7777777777778</v>
      </c>
      <c r="J115" s="23">
        <f t="shared" si="11"/>
        <v>6826.6593612694942</v>
      </c>
      <c r="K115" s="23">
        <f t="shared" si="12"/>
        <v>9604.4371390472716</v>
      </c>
      <c r="L115" s="23">
        <f t="shared" si="20"/>
        <v>716666.66666666931</v>
      </c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spans="2:28" ht="16.5" customHeight="1">
      <c r="B116" s="22">
        <f t="shared" si="13"/>
        <v>103</v>
      </c>
      <c r="C116" s="23">
        <f t="shared" si="14"/>
        <v>858.55233280345419</v>
      </c>
      <c r="D116" s="23">
        <f t="shared" si="15"/>
        <v>8957.8931726313367</v>
      </c>
      <c r="E116" s="23">
        <f t="shared" si="16"/>
        <v>9816.4455054347909</v>
      </c>
      <c r="F116" s="23">
        <f t="shared" si="17"/>
        <v>943191.25825830118</v>
      </c>
      <c r="G116" s="21"/>
      <c r="H116" s="22">
        <f t="shared" si="18"/>
        <v>103</v>
      </c>
      <c r="I116" s="23">
        <f t="shared" si="19"/>
        <v>2777.7777777777778</v>
      </c>
      <c r="J116" s="23">
        <f t="shared" si="11"/>
        <v>6800.301603117874</v>
      </c>
      <c r="K116" s="23">
        <f t="shared" si="12"/>
        <v>9578.0793808956514</v>
      </c>
      <c r="L116" s="23">
        <f t="shared" si="20"/>
        <v>713888.88888889155</v>
      </c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2:28" ht="16.5" customHeight="1">
      <c r="B117" s="22">
        <f t="shared" si="13"/>
        <v>104</v>
      </c>
      <c r="C117" s="23">
        <f t="shared" si="14"/>
        <v>866.69895811292736</v>
      </c>
      <c r="D117" s="23">
        <f t="shared" si="15"/>
        <v>8949.7465473218617</v>
      </c>
      <c r="E117" s="23">
        <f t="shared" si="16"/>
        <v>9816.4455054347891</v>
      </c>
      <c r="F117" s="23">
        <f t="shared" si="17"/>
        <v>942324.55930018821</v>
      </c>
      <c r="G117" s="21"/>
      <c r="H117" s="22">
        <f t="shared" si="18"/>
        <v>104</v>
      </c>
      <c r="I117" s="23">
        <f t="shared" si="19"/>
        <v>2777.7777777777778</v>
      </c>
      <c r="J117" s="23">
        <f t="shared" si="11"/>
        <v>6773.9438449662548</v>
      </c>
      <c r="K117" s="23">
        <f t="shared" si="12"/>
        <v>9551.7216227440331</v>
      </c>
      <c r="L117" s="23">
        <f t="shared" si="20"/>
        <v>711111.1111111138</v>
      </c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2:28" ht="16.5" customHeight="1">
      <c r="B118" s="22">
        <f t="shared" si="13"/>
        <v>105</v>
      </c>
      <c r="C118" s="23">
        <f t="shared" si="14"/>
        <v>874.92288506307887</v>
      </c>
      <c r="D118" s="23">
        <f t="shared" si="15"/>
        <v>8941.5226203717084</v>
      </c>
      <c r="E118" s="23">
        <f t="shared" si="16"/>
        <v>9816.4455054347873</v>
      </c>
      <c r="F118" s="23">
        <f t="shared" si="17"/>
        <v>941449.6364151251</v>
      </c>
      <c r="G118" s="21"/>
      <c r="H118" s="22">
        <f t="shared" si="18"/>
        <v>105</v>
      </c>
      <c r="I118" s="23">
        <f t="shared" si="19"/>
        <v>2777.7777777777778</v>
      </c>
      <c r="J118" s="23">
        <f t="shared" si="11"/>
        <v>6747.5860868146356</v>
      </c>
      <c r="K118" s="23">
        <f t="shared" si="12"/>
        <v>9525.3638645924129</v>
      </c>
      <c r="L118" s="23">
        <f t="shared" si="20"/>
        <v>708333.33333333605</v>
      </c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2:28" ht="16.5" customHeight="1">
      <c r="B119" s="22">
        <f t="shared" si="13"/>
        <v>106</v>
      </c>
      <c r="C119" s="23">
        <f t="shared" si="14"/>
        <v>883.22484715317114</v>
      </c>
      <c r="D119" s="23">
        <f t="shared" si="15"/>
        <v>8933.2206582816161</v>
      </c>
      <c r="E119" s="23">
        <f t="shared" si="16"/>
        <v>9816.4455054347873</v>
      </c>
      <c r="F119" s="23">
        <f t="shared" si="17"/>
        <v>940566.41156797193</v>
      </c>
      <c r="G119" s="21"/>
      <c r="H119" s="22">
        <f t="shared" si="18"/>
        <v>106</v>
      </c>
      <c r="I119" s="23">
        <f t="shared" si="19"/>
        <v>2777.7777777777778</v>
      </c>
      <c r="J119" s="23">
        <f t="shared" si="11"/>
        <v>6721.2283286630163</v>
      </c>
      <c r="K119" s="23">
        <f t="shared" si="12"/>
        <v>9499.0061064407946</v>
      </c>
      <c r="L119" s="23">
        <f t="shared" si="20"/>
        <v>705555.5555555583</v>
      </c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2:28" ht="16.5" customHeight="1">
      <c r="B120" s="22">
        <f t="shared" si="13"/>
        <v>107</v>
      </c>
      <c r="C120" s="23">
        <f t="shared" si="14"/>
        <v>891.60558484248759</v>
      </c>
      <c r="D120" s="23">
        <f t="shared" si="15"/>
        <v>8924.8399205923015</v>
      </c>
      <c r="E120" s="23">
        <f t="shared" si="16"/>
        <v>9816.4455054347891</v>
      </c>
      <c r="F120" s="23">
        <f t="shared" si="17"/>
        <v>939674.80598312942</v>
      </c>
      <c r="G120" s="21"/>
      <c r="H120" s="22">
        <f t="shared" si="18"/>
        <v>107</v>
      </c>
      <c r="I120" s="23">
        <f t="shared" si="19"/>
        <v>2777.7777777777778</v>
      </c>
      <c r="J120" s="23">
        <f t="shared" si="11"/>
        <v>6694.8705705113971</v>
      </c>
      <c r="K120" s="23">
        <f t="shared" si="12"/>
        <v>9472.6483482891745</v>
      </c>
      <c r="L120" s="23">
        <f t="shared" si="20"/>
        <v>702777.77777778055</v>
      </c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spans="2:28" ht="16.5" customHeight="1">
      <c r="B121" s="22">
        <f t="shared" si="13"/>
        <v>108</v>
      </c>
      <c r="C121" s="23">
        <f t="shared" si="14"/>
        <v>900.06584561637465</v>
      </c>
      <c r="D121" s="23">
        <f t="shared" si="15"/>
        <v>8916.3796598184126</v>
      </c>
      <c r="E121" s="23">
        <f t="shared" si="16"/>
        <v>9816.4455054347873</v>
      </c>
      <c r="F121" s="23">
        <f t="shared" si="17"/>
        <v>938774.74013751303</v>
      </c>
      <c r="G121" s="21"/>
      <c r="H121" s="22">
        <f t="shared" si="18"/>
        <v>108</v>
      </c>
      <c r="I121" s="23">
        <f t="shared" si="19"/>
        <v>2777.7777777777778</v>
      </c>
      <c r="J121" s="23">
        <f t="shared" si="11"/>
        <v>6668.5128123597779</v>
      </c>
      <c r="K121" s="23">
        <f t="shared" si="12"/>
        <v>9446.2905901375561</v>
      </c>
      <c r="L121" s="23">
        <f t="shared" si="20"/>
        <v>700000.00000000279</v>
      </c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spans="2:28" ht="16.5" customHeight="1">
      <c r="B122" s="22">
        <f t="shared" si="13"/>
        <v>109</v>
      </c>
      <c r="C122" s="23">
        <f t="shared" si="14"/>
        <v>908.60638405291866</v>
      </c>
      <c r="D122" s="23">
        <f t="shared" si="15"/>
        <v>8907.8391213818686</v>
      </c>
      <c r="E122" s="23">
        <f t="shared" si="16"/>
        <v>9816.4455054347873</v>
      </c>
      <c r="F122" s="23">
        <f t="shared" si="17"/>
        <v>937866.13375346013</v>
      </c>
      <c r="G122" s="21"/>
      <c r="H122" s="22">
        <f t="shared" si="18"/>
        <v>109</v>
      </c>
      <c r="I122" s="23">
        <f t="shared" si="19"/>
        <v>2777.7777777777778</v>
      </c>
      <c r="J122" s="23">
        <f t="shared" si="11"/>
        <v>6642.1550542081586</v>
      </c>
      <c r="K122" s="23">
        <f t="shared" si="12"/>
        <v>9419.932831985936</v>
      </c>
      <c r="L122" s="23">
        <f t="shared" si="20"/>
        <v>697222.22222222504</v>
      </c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2:28" ht="16.5" customHeight="1">
      <c r="B123" s="22">
        <f t="shared" si="13"/>
        <v>110</v>
      </c>
      <c r="C123" s="23">
        <f t="shared" si="14"/>
        <v>917.22796189023757</v>
      </c>
      <c r="D123" s="23">
        <f t="shared" si="15"/>
        <v>8899.2175435445497</v>
      </c>
      <c r="E123" s="23">
        <f t="shared" si="16"/>
        <v>9816.4455054347873</v>
      </c>
      <c r="F123" s="23">
        <f t="shared" si="17"/>
        <v>936948.90579156985</v>
      </c>
      <c r="G123" s="21"/>
      <c r="H123" s="22">
        <f t="shared" si="18"/>
        <v>110</v>
      </c>
      <c r="I123" s="23">
        <f t="shared" si="19"/>
        <v>2777.7777777777778</v>
      </c>
      <c r="J123" s="23">
        <f t="shared" si="11"/>
        <v>6615.7972960565394</v>
      </c>
      <c r="K123" s="23">
        <f t="shared" si="12"/>
        <v>9393.5750738343177</v>
      </c>
      <c r="L123" s="23">
        <f t="shared" si="20"/>
        <v>694444.44444444729</v>
      </c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2:28" ht="16.5" customHeight="1">
      <c r="B124" s="22">
        <f t="shared" si="13"/>
        <v>111</v>
      </c>
      <c r="C124" s="23">
        <f t="shared" si="14"/>
        <v>925.93134809442381</v>
      </c>
      <c r="D124" s="23">
        <f t="shared" si="15"/>
        <v>8890.5141573403635</v>
      </c>
      <c r="E124" s="23">
        <f t="shared" si="16"/>
        <v>9816.4455054347873</v>
      </c>
      <c r="F124" s="23">
        <f t="shared" si="17"/>
        <v>936022.97444347548</v>
      </c>
      <c r="G124" s="21"/>
      <c r="H124" s="22">
        <f t="shared" si="18"/>
        <v>111</v>
      </c>
      <c r="I124" s="23">
        <f t="shared" si="19"/>
        <v>2777.7777777777778</v>
      </c>
      <c r="J124" s="23">
        <f t="shared" si="11"/>
        <v>6589.4395379049201</v>
      </c>
      <c r="K124" s="23">
        <f t="shared" si="12"/>
        <v>9367.2173156826975</v>
      </c>
      <c r="L124" s="23">
        <f t="shared" si="20"/>
        <v>691666.66666666954</v>
      </c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2:28" ht="16.5" customHeight="1">
      <c r="B125" s="22">
        <f t="shared" si="13"/>
        <v>112</v>
      </c>
      <c r="C125" s="23">
        <f t="shared" si="14"/>
        <v>934.71731892813114</v>
      </c>
      <c r="D125" s="23">
        <f t="shared" si="15"/>
        <v>8881.7281865066561</v>
      </c>
      <c r="E125" s="23">
        <f t="shared" si="16"/>
        <v>9816.4455054347873</v>
      </c>
      <c r="F125" s="23">
        <f t="shared" si="17"/>
        <v>935088.25712454738</v>
      </c>
      <c r="G125" s="21"/>
      <c r="H125" s="22">
        <f t="shared" si="18"/>
        <v>112</v>
      </c>
      <c r="I125" s="23">
        <f t="shared" si="19"/>
        <v>2777.7777777777778</v>
      </c>
      <c r="J125" s="23">
        <f t="shared" si="11"/>
        <v>6563.0817797533009</v>
      </c>
      <c r="K125" s="23">
        <f t="shared" si="12"/>
        <v>9340.8595575310792</v>
      </c>
      <c r="L125" s="23">
        <f t="shared" si="20"/>
        <v>688888.88888889179</v>
      </c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2:28" ht="16.5" customHeight="1">
      <c r="B126" s="22">
        <f t="shared" si="13"/>
        <v>113</v>
      </c>
      <c r="C126" s="23">
        <f t="shared" si="14"/>
        <v>943.58665801980897</v>
      </c>
      <c r="D126" s="23">
        <f t="shared" si="15"/>
        <v>8872.8588474149801</v>
      </c>
      <c r="E126" s="23">
        <f t="shared" si="16"/>
        <v>9816.4455054347891</v>
      </c>
      <c r="F126" s="23">
        <f t="shared" si="17"/>
        <v>934144.67046652758</v>
      </c>
      <c r="G126" s="21"/>
      <c r="H126" s="22">
        <f t="shared" si="18"/>
        <v>113</v>
      </c>
      <c r="I126" s="23">
        <f t="shared" si="19"/>
        <v>2777.7777777777778</v>
      </c>
      <c r="J126" s="23">
        <f t="shared" si="11"/>
        <v>6536.7240216016817</v>
      </c>
      <c r="K126" s="23">
        <f t="shared" si="12"/>
        <v>9314.501799379459</v>
      </c>
      <c r="L126" s="23">
        <f t="shared" si="20"/>
        <v>686111.11111111403</v>
      </c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2:28" ht="16.5" customHeight="1">
      <c r="B127" s="22">
        <f t="shared" si="13"/>
        <v>114</v>
      </c>
      <c r="C127" s="23">
        <f t="shared" si="14"/>
        <v>952.54015643359526</v>
      </c>
      <c r="D127" s="23">
        <f t="shared" si="15"/>
        <v>8863.9053490011938</v>
      </c>
      <c r="E127" s="23">
        <f t="shared" si="16"/>
        <v>9816.4455054347891</v>
      </c>
      <c r="F127" s="23">
        <f t="shared" si="17"/>
        <v>933192.13031009398</v>
      </c>
      <c r="G127" s="21"/>
      <c r="H127" s="22">
        <f t="shared" si="18"/>
        <v>114</v>
      </c>
      <c r="I127" s="23">
        <f t="shared" si="19"/>
        <v>2777.7777777777778</v>
      </c>
      <c r="J127" s="23">
        <f t="shared" si="11"/>
        <v>6510.3662634500615</v>
      </c>
      <c r="K127" s="23">
        <f t="shared" si="12"/>
        <v>9288.1440412278389</v>
      </c>
      <c r="L127" s="23">
        <f t="shared" si="20"/>
        <v>683333.33333333628</v>
      </c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2:28" ht="16.5" customHeight="1">
      <c r="B128" s="22">
        <f t="shared" si="13"/>
        <v>115</v>
      </c>
      <c r="C128" s="23">
        <f t="shared" si="14"/>
        <v>961.578612739866</v>
      </c>
      <c r="D128" s="23">
        <f t="shared" si="15"/>
        <v>8854.8668926949213</v>
      </c>
      <c r="E128" s="23">
        <f t="shared" si="16"/>
        <v>9816.4455054347873</v>
      </c>
      <c r="F128" s="23">
        <f t="shared" si="17"/>
        <v>932230.55169735407</v>
      </c>
      <c r="G128" s="21"/>
      <c r="H128" s="22">
        <f t="shared" si="18"/>
        <v>115</v>
      </c>
      <c r="I128" s="23">
        <f t="shared" si="19"/>
        <v>2777.7777777777778</v>
      </c>
      <c r="J128" s="23">
        <f t="shared" si="11"/>
        <v>6484.0085052984423</v>
      </c>
      <c r="K128" s="23">
        <f t="shared" si="12"/>
        <v>9261.7862830762206</v>
      </c>
      <c r="L128" s="23">
        <f t="shared" si="20"/>
        <v>680555.55555555853</v>
      </c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2:28" ht="16.5" customHeight="1">
      <c r="B129" s="22">
        <f t="shared" si="13"/>
        <v>116</v>
      </c>
      <c r="C129" s="23">
        <f t="shared" si="14"/>
        <v>970.70283308647959</v>
      </c>
      <c r="D129" s="23">
        <f t="shared" si="15"/>
        <v>8845.7426723483077</v>
      </c>
      <c r="E129" s="23">
        <f t="shared" si="16"/>
        <v>9816.4455054347873</v>
      </c>
      <c r="F129" s="23">
        <f t="shared" si="17"/>
        <v>931259.84886426758</v>
      </c>
      <c r="G129" s="21"/>
      <c r="H129" s="22">
        <f t="shared" si="18"/>
        <v>116</v>
      </c>
      <c r="I129" s="23">
        <f t="shared" si="19"/>
        <v>2777.7777777777778</v>
      </c>
      <c r="J129" s="23">
        <f t="shared" si="11"/>
        <v>6457.6507471468231</v>
      </c>
      <c r="K129" s="23">
        <f t="shared" si="12"/>
        <v>9235.4285249246004</v>
      </c>
      <c r="L129" s="23">
        <f t="shared" si="20"/>
        <v>677777.77777778078</v>
      </c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2:28" ht="16.5" customHeight="1">
      <c r="B130" s="22">
        <f t="shared" si="13"/>
        <v>117</v>
      </c>
      <c r="C130" s="23">
        <f t="shared" si="14"/>
        <v>979.91363127065051</v>
      </c>
      <c r="D130" s="23">
        <f t="shared" si="15"/>
        <v>8836.5318741641368</v>
      </c>
      <c r="E130" s="23">
        <f t="shared" si="16"/>
        <v>9816.4455054347873</v>
      </c>
      <c r="F130" s="23">
        <f t="shared" si="17"/>
        <v>930279.93523299694</v>
      </c>
      <c r="G130" s="21"/>
      <c r="H130" s="22">
        <f t="shared" si="18"/>
        <v>117</v>
      </c>
      <c r="I130" s="23">
        <f t="shared" si="19"/>
        <v>2777.7777777777778</v>
      </c>
      <c r="J130" s="23">
        <f t="shared" si="11"/>
        <v>6431.2929889952038</v>
      </c>
      <c r="K130" s="23">
        <f t="shared" si="12"/>
        <v>9209.0707667729821</v>
      </c>
      <c r="L130" s="23">
        <f t="shared" si="20"/>
        <v>675000.00000000303</v>
      </c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2:28" ht="16.5" customHeight="1">
      <c r="B131" s="22">
        <f t="shared" si="13"/>
        <v>118</v>
      </c>
      <c r="C131" s="23">
        <f t="shared" si="14"/>
        <v>989.21182881155437</v>
      </c>
      <c r="D131" s="23">
        <f t="shared" si="15"/>
        <v>8827.2336766232347</v>
      </c>
      <c r="E131" s="23">
        <f t="shared" si="16"/>
        <v>9816.4455054347891</v>
      </c>
      <c r="F131" s="23">
        <f t="shared" si="17"/>
        <v>929290.72340418538</v>
      </c>
      <c r="G131" s="21"/>
      <c r="H131" s="22">
        <f t="shared" si="18"/>
        <v>118</v>
      </c>
      <c r="I131" s="23">
        <f t="shared" si="19"/>
        <v>2777.7777777777778</v>
      </c>
      <c r="J131" s="23">
        <f t="shared" si="11"/>
        <v>6404.9352308435846</v>
      </c>
      <c r="K131" s="23">
        <f t="shared" si="12"/>
        <v>9182.713008621362</v>
      </c>
      <c r="L131" s="23">
        <f t="shared" si="20"/>
        <v>672222.22222222527</v>
      </c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2:28" ht="16.5" customHeight="1">
      <c r="B132" s="22">
        <f t="shared" si="13"/>
        <v>119</v>
      </c>
      <c r="C132" s="23">
        <f t="shared" si="14"/>
        <v>998.59825502358581</v>
      </c>
      <c r="D132" s="23">
        <f t="shared" si="15"/>
        <v>8817.8472504112015</v>
      </c>
      <c r="E132" s="23">
        <f t="shared" si="16"/>
        <v>9816.4455054347873</v>
      </c>
      <c r="F132" s="23">
        <f t="shared" si="17"/>
        <v>928292.12514916179</v>
      </c>
      <c r="G132" s="21"/>
      <c r="H132" s="22">
        <f t="shared" si="18"/>
        <v>119</v>
      </c>
      <c r="I132" s="23">
        <f t="shared" si="19"/>
        <v>2777.7777777777778</v>
      </c>
      <c r="J132" s="23">
        <f t="shared" si="11"/>
        <v>6378.5774726919653</v>
      </c>
      <c r="K132" s="23">
        <f t="shared" si="12"/>
        <v>9156.3552504697436</v>
      </c>
      <c r="L132" s="23">
        <f t="shared" si="20"/>
        <v>669444.44444444752</v>
      </c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2:28" ht="14.4">
      <c r="B133" s="22">
        <f t="shared" si="13"/>
        <v>120</v>
      </c>
      <c r="C133" s="23">
        <f t="shared" si="14"/>
        <v>1008.0737470903405</v>
      </c>
      <c r="D133" s="23">
        <f t="shared" si="15"/>
        <v>8808.3717583444468</v>
      </c>
      <c r="E133" s="23">
        <f t="shared" si="16"/>
        <v>9816.4455054347873</v>
      </c>
      <c r="F133" s="23">
        <f t="shared" si="17"/>
        <v>927284.05140207149</v>
      </c>
      <c r="G133" s="21"/>
      <c r="H133" s="22">
        <f t="shared" si="18"/>
        <v>120</v>
      </c>
      <c r="I133" s="23">
        <f t="shared" si="19"/>
        <v>2777.7777777777778</v>
      </c>
      <c r="J133" s="23">
        <f t="shared" si="11"/>
        <v>6352.2197145403461</v>
      </c>
      <c r="K133" s="23">
        <f t="shared" si="12"/>
        <v>9129.9974923181235</v>
      </c>
      <c r="L133" s="23">
        <f t="shared" si="20"/>
        <v>666666.66666666977</v>
      </c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2:28" ht="16.5" customHeight="1">
      <c r="B134" s="22">
        <f t="shared" si="13"/>
        <v>121</v>
      </c>
      <c r="C134" s="23">
        <f t="shared" si="14"/>
        <v>1017.63915013927</v>
      </c>
      <c r="D134" s="23">
        <f t="shared" si="15"/>
        <v>8798.8063552955173</v>
      </c>
      <c r="E134" s="23">
        <f t="shared" si="16"/>
        <v>9816.4455054347873</v>
      </c>
      <c r="F134" s="23">
        <f t="shared" si="17"/>
        <v>926266.4122519322</v>
      </c>
      <c r="G134" s="2"/>
      <c r="H134" s="22">
        <f t="shared" si="18"/>
        <v>121</v>
      </c>
      <c r="I134" s="23">
        <f t="shared" si="19"/>
        <v>2777.7777777777778</v>
      </c>
      <c r="J134" s="23">
        <f t="shared" si="11"/>
        <v>6325.8619563887269</v>
      </c>
      <c r="K134" s="23">
        <f t="shared" si="12"/>
        <v>9103.6397341665051</v>
      </c>
      <c r="L134" s="23">
        <f t="shared" si="20"/>
        <v>663888.88888889202</v>
      </c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2:28" ht="16.5" customHeight="1">
      <c r="B135" s="22">
        <f t="shared" si="13"/>
        <v>122</v>
      </c>
      <c r="C135" s="23">
        <f t="shared" si="14"/>
        <v>1027.2953173170663</v>
      </c>
      <c r="D135" s="23">
        <f t="shared" si="15"/>
        <v>8789.150188117721</v>
      </c>
      <c r="E135" s="23">
        <f t="shared" si="16"/>
        <v>9816.4455054347873</v>
      </c>
      <c r="F135" s="23">
        <f t="shared" si="17"/>
        <v>925239.11693461519</v>
      </c>
      <c r="G135" s="2"/>
      <c r="H135" s="22">
        <f t="shared" si="18"/>
        <v>122</v>
      </c>
      <c r="I135" s="23">
        <f t="shared" si="19"/>
        <v>2777.7777777777778</v>
      </c>
      <c r="J135" s="23">
        <f t="shared" si="11"/>
        <v>6299.5041982371076</v>
      </c>
      <c r="K135" s="23">
        <f t="shared" si="12"/>
        <v>9077.281976014885</v>
      </c>
      <c r="L135" s="23">
        <f t="shared" si="20"/>
        <v>661111.11111111427</v>
      </c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2:28" ht="16.5" customHeight="1">
      <c r="B136" s="22">
        <f t="shared" si="13"/>
        <v>123</v>
      </c>
      <c r="C136" s="23">
        <f t="shared" si="14"/>
        <v>1037.0431098657555</v>
      </c>
      <c r="D136" s="23">
        <f t="shared" si="15"/>
        <v>8779.4023955690336</v>
      </c>
      <c r="E136" s="23">
        <f t="shared" si="16"/>
        <v>9816.4455054347891</v>
      </c>
      <c r="F136" s="23">
        <f t="shared" si="17"/>
        <v>924202.07382474944</v>
      </c>
      <c r="G136" s="2"/>
      <c r="H136" s="22">
        <f t="shared" si="18"/>
        <v>123</v>
      </c>
      <c r="I136" s="23">
        <f t="shared" si="19"/>
        <v>2777.7777777777778</v>
      </c>
      <c r="J136" s="23">
        <f t="shared" si="11"/>
        <v>6273.1464400854884</v>
      </c>
      <c r="K136" s="23">
        <f t="shared" si="12"/>
        <v>9050.9242178632667</v>
      </c>
      <c r="L136" s="23">
        <f t="shared" si="20"/>
        <v>658333.33333333652</v>
      </c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2:28" ht="16.5" customHeight="1">
      <c r="B137" s="22">
        <f t="shared" si="13"/>
        <v>124</v>
      </c>
      <c r="C137" s="23">
        <f t="shared" si="14"/>
        <v>1046.8833971995082</v>
      </c>
      <c r="D137" s="23">
        <f t="shared" si="15"/>
        <v>8769.5621082352809</v>
      </c>
      <c r="E137" s="23">
        <f t="shared" si="16"/>
        <v>9816.4455054347891</v>
      </c>
      <c r="F137" s="23">
        <f t="shared" si="17"/>
        <v>923155.19042754988</v>
      </c>
      <c r="G137" s="2"/>
      <c r="H137" s="22">
        <f t="shared" si="18"/>
        <v>124</v>
      </c>
      <c r="I137" s="23">
        <f t="shared" si="19"/>
        <v>2777.7777777777778</v>
      </c>
      <c r="J137" s="23">
        <f t="shared" si="11"/>
        <v>6246.7886819338682</v>
      </c>
      <c r="K137" s="23">
        <f t="shared" si="12"/>
        <v>9024.5664597116465</v>
      </c>
      <c r="L137" s="23">
        <f t="shared" si="20"/>
        <v>655555.55555555876</v>
      </c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2:28" ht="16.5" customHeight="1">
      <c r="B138" s="22">
        <f t="shared" si="13"/>
        <v>125</v>
      </c>
      <c r="C138" s="23">
        <f t="shared" si="14"/>
        <v>1056.817056982185</v>
      </c>
      <c r="D138" s="23">
        <f t="shared" si="15"/>
        <v>8759.6284484526022</v>
      </c>
      <c r="E138" s="23">
        <f t="shared" si="16"/>
        <v>9816.4455054347873</v>
      </c>
      <c r="F138" s="23">
        <f t="shared" si="17"/>
        <v>922098.37337056769</v>
      </c>
      <c r="G138" s="2"/>
      <c r="H138" s="22">
        <f t="shared" si="18"/>
        <v>125</v>
      </c>
      <c r="I138" s="23">
        <f t="shared" si="19"/>
        <v>2777.7777777777778</v>
      </c>
      <c r="J138" s="23">
        <f t="shared" si="11"/>
        <v>6220.430923782249</v>
      </c>
      <c r="K138" s="23">
        <f t="shared" si="12"/>
        <v>8998.2087015600264</v>
      </c>
      <c r="L138" s="23">
        <f t="shared" si="20"/>
        <v>652777.77777778101</v>
      </c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2:28" ht="16.5" customHeight="1">
      <c r="B139" s="22">
        <f t="shared" si="13"/>
        <v>126</v>
      </c>
      <c r="C139" s="23">
        <f t="shared" si="14"/>
        <v>1066.8449752056276</v>
      </c>
      <c r="D139" s="23">
        <f t="shared" si="15"/>
        <v>8749.6005302291614</v>
      </c>
      <c r="E139" s="23">
        <f t="shared" si="16"/>
        <v>9816.4455054347891</v>
      </c>
      <c r="F139" s="23">
        <f t="shared" si="17"/>
        <v>921031.52839536208</v>
      </c>
      <c r="G139" s="2"/>
      <c r="H139" s="22">
        <f t="shared" si="18"/>
        <v>126</v>
      </c>
      <c r="I139" s="23">
        <f t="shared" si="19"/>
        <v>2777.7777777777778</v>
      </c>
      <c r="J139" s="23">
        <f t="shared" si="11"/>
        <v>6194.0731656306298</v>
      </c>
      <c r="K139" s="23">
        <f t="shared" si="12"/>
        <v>8971.8509434084081</v>
      </c>
      <c r="L139" s="23">
        <f t="shared" si="20"/>
        <v>650000.00000000326</v>
      </c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2:28" ht="16.5" customHeight="1">
      <c r="B140" s="22">
        <f t="shared" si="13"/>
        <v>127</v>
      </c>
      <c r="C140" s="23">
        <f t="shared" si="14"/>
        <v>1076.968046268652</v>
      </c>
      <c r="D140" s="23">
        <f t="shared" si="15"/>
        <v>8739.4774591661353</v>
      </c>
      <c r="E140" s="23">
        <f t="shared" si="16"/>
        <v>9816.4455054347873</v>
      </c>
      <c r="F140" s="23">
        <f t="shared" si="17"/>
        <v>919954.5603490934</v>
      </c>
      <c r="G140" s="2"/>
      <c r="H140" s="22">
        <f t="shared" si="18"/>
        <v>127</v>
      </c>
      <c r="I140" s="23">
        <f t="shared" si="19"/>
        <v>2777.7777777777778</v>
      </c>
      <c r="J140" s="23">
        <f t="shared" si="11"/>
        <v>6167.7154074790105</v>
      </c>
      <c r="K140" s="23">
        <f t="shared" si="12"/>
        <v>8945.4931852567879</v>
      </c>
      <c r="L140" s="23">
        <f t="shared" si="20"/>
        <v>647222.22222222551</v>
      </c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2:28" ht="16.5" customHeight="1">
      <c r="B141" s="22">
        <f t="shared" si="13"/>
        <v>128</v>
      </c>
      <c r="C141" s="23">
        <f t="shared" si="14"/>
        <v>1087.1871730568582</v>
      </c>
      <c r="D141" s="23">
        <f t="shared" si="15"/>
        <v>8729.258332377929</v>
      </c>
      <c r="E141" s="23">
        <f t="shared" si="16"/>
        <v>9816.4455054347873</v>
      </c>
      <c r="F141" s="23">
        <f t="shared" si="17"/>
        <v>918867.37317603652</v>
      </c>
      <c r="G141" s="2"/>
      <c r="H141" s="22">
        <f t="shared" si="18"/>
        <v>128</v>
      </c>
      <c r="I141" s="23">
        <f t="shared" si="19"/>
        <v>2777.7777777777778</v>
      </c>
      <c r="J141" s="23">
        <f t="shared" si="11"/>
        <v>6141.3576493273913</v>
      </c>
      <c r="K141" s="23">
        <f t="shared" si="12"/>
        <v>8919.1354271051696</v>
      </c>
      <c r="L141" s="23">
        <f t="shared" si="20"/>
        <v>644444.44444444776</v>
      </c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2:28" ht="16.5" customHeight="1">
      <c r="B142" s="22">
        <f t="shared" si="13"/>
        <v>129</v>
      </c>
      <c r="C142" s="23">
        <f t="shared" si="14"/>
        <v>1097.5032670231303</v>
      </c>
      <c r="D142" s="23">
        <f t="shared" si="15"/>
        <v>8718.9422384116588</v>
      </c>
      <c r="E142" s="23">
        <f t="shared" si="16"/>
        <v>9816.4455054347891</v>
      </c>
      <c r="F142" s="23">
        <f t="shared" si="17"/>
        <v>917769.86990901339</v>
      </c>
      <c r="G142" s="2"/>
      <c r="H142" s="22">
        <f t="shared" si="18"/>
        <v>129</v>
      </c>
      <c r="I142" s="23">
        <f t="shared" si="19"/>
        <v>2777.7777777777778</v>
      </c>
      <c r="J142" s="23">
        <f t="shared" ref="J142:J205" si="21">+L141*$E$9</f>
        <v>6114.9998911757721</v>
      </c>
      <c r="K142" s="23">
        <f t="shared" ref="K142:K205" si="22">I142+J142</f>
        <v>8892.7776689535494</v>
      </c>
      <c r="L142" s="23">
        <f t="shared" si="20"/>
        <v>641666.66666667</v>
      </c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2:28" ht="16.5" customHeight="1">
      <c r="B143" s="22">
        <f t="shared" ref="B143:B206" si="23">+B142+1</f>
        <v>130</v>
      </c>
      <c r="C143" s="23">
        <f t="shared" ref="C143:C206" si="24">IFERROR(E143-D143,0)</f>
        <v>1107.9172482689391</v>
      </c>
      <c r="D143" s="23">
        <f t="shared" ref="D143:D206" si="25">IFERROR(+F142*$E$9,0)</f>
        <v>8708.5282571658481</v>
      </c>
      <c r="E143" s="23">
        <f t="shared" ref="E143:E206" si="26">IFERROR(-PMT($E$9,$E$7-B142,F142),0)</f>
        <v>9816.4455054347873</v>
      </c>
      <c r="F143" s="23">
        <f t="shared" ref="F143:F206" si="27">IFERROR(F142-C143,0)</f>
        <v>916661.95266074443</v>
      </c>
      <c r="G143" s="2"/>
      <c r="H143" s="22">
        <f t="shared" ref="H143:H206" si="28">+H142+1</f>
        <v>130</v>
      </c>
      <c r="I143" s="23">
        <f t="shared" si="19"/>
        <v>2777.7777777777778</v>
      </c>
      <c r="J143" s="23">
        <f t="shared" si="21"/>
        <v>6088.6421330241528</v>
      </c>
      <c r="K143" s="23">
        <f t="shared" si="22"/>
        <v>8866.4199108019311</v>
      </c>
      <c r="L143" s="23">
        <f t="shared" si="20"/>
        <v>638888.88888889225</v>
      </c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2:28" ht="16.5" customHeight="1">
      <c r="B144" s="22">
        <f t="shared" si="23"/>
        <v>131</v>
      </c>
      <c r="C144" s="23">
        <f t="shared" si="24"/>
        <v>1118.4300456264173</v>
      </c>
      <c r="D144" s="23">
        <f t="shared" si="25"/>
        <v>8698.01545980837</v>
      </c>
      <c r="E144" s="23">
        <f t="shared" si="26"/>
        <v>9816.4455054347873</v>
      </c>
      <c r="F144" s="23">
        <f t="shared" si="27"/>
        <v>915543.52261511795</v>
      </c>
      <c r="G144" s="2"/>
      <c r="H144" s="22">
        <f t="shared" si="28"/>
        <v>131</v>
      </c>
      <c r="I144" s="23">
        <f t="shared" ref="I144:I207" si="29">IF(H144&gt;$E$7,0,I143)</f>
        <v>2777.7777777777778</v>
      </c>
      <c r="J144" s="23">
        <f t="shared" si="21"/>
        <v>6062.2843748725336</v>
      </c>
      <c r="K144" s="23">
        <f t="shared" si="22"/>
        <v>8840.062152650311</v>
      </c>
      <c r="L144" s="23">
        <f t="shared" si="20"/>
        <v>636111.1111111145</v>
      </c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2:28" ht="16.5" customHeight="1">
      <c r="B145" s="22">
        <f t="shared" si="23"/>
        <v>132</v>
      </c>
      <c r="C145" s="23">
        <f t="shared" si="24"/>
        <v>1129.0425967411829</v>
      </c>
      <c r="D145" s="23">
        <f t="shared" si="25"/>
        <v>8687.4029086936043</v>
      </c>
      <c r="E145" s="23">
        <f t="shared" si="26"/>
        <v>9816.4455054347873</v>
      </c>
      <c r="F145" s="23">
        <f t="shared" si="27"/>
        <v>914414.48001837672</v>
      </c>
      <c r="G145" s="2"/>
      <c r="H145" s="22">
        <f t="shared" si="28"/>
        <v>132</v>
      </c>
      <c r="I145" s="23">
        <f t="shared" si="29"/>
        <v>2777.7777777777778</v>
      </c>
      <c r="J145" s="23">
        <f t="shared" si="21"/>
        <v>6035.9266167209144</v>
      </c>
      <c r="K145" s="23">
        <f t="shared" si="22"/>
        <v>8813.7043944986926</v>
      </c>
      <c r="L145" s="23">
        <f t="shared" si="20"/>
        <v>633333.33333333675</v>
      </c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2:28" ht="16.5" customHeight="1">
      <c r="B146" s="22">
        <f t="shared" si="23"/>
        <v>133</v>
      </c>
      <c r="C146" s="23">
        <f t="shared" si="24"/>
        <v>1139.7558481559845</v>
      </c>
      <c r="D146" s="23">
        <f t="shared" si="25"/>
        <v>8676.6896572788028</v>
      </c>
      <c r="E146" s="23">
        <f t="shared" si="26"/>
        <v>9816.4455054347873</v>
      </c>
      <c r="F146" s="23">
        <f t="shared" si="27"/>
        <v>913274.72417022078</v>
      </c>
      <c r="G146" s="2"/>
      <c r="H146" s="22">
        <f t="shared" si="28"/>
        <v>133</v>
      </c>
      <c r="I146" s="23">
        <f t="shared" si="29"/>
        <v>2777.7777777777778</v>
      </c>
      <c r="J146" s="23">
        <f t="shared" si="21"/>
        <v>6009.5688585692951</v>
      </c>
      <c r="K146" s="23">
        <f t="shared" si="22"/>
        <v>8787.3466363470725</v>
      </c>
      <c r="L146" s="23">
        <f t="shared" si="20"/>
        <v>630555.555555559</v>
      </c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2:28" ht="16.5" customHeight="1">
      <c r="B147" s="22">
        <f t="shared" si="23"/>
        <v>134</v>
      </c>
      <c r="C147" s="23">
        <f t="shared" si="24"/>
        <v>1150.5707553951161</v>
      </c>
      <c r="D147" s="23">
        <f t="shared" si="25"/>
        <v>8665.8747500396712</v>
      </c>
      <c r="E147" s="23">
        <f t="shared" si="26"/>
        <v>9816.4455054347873</v>
      </c>
      <c r="F147" s="23">
        <f t="shared" si="27"/>
        <v>912124.15341482568</v>
      </c>
      <c r="G147" s="2"/>
      <c r="H147" s="22">
        <f t="shared" si="28"/>
        <v>134</v>
      </c>
      <c r="I147" s="23">
        <f t="shared" si="29"/>
        <v>2777.7777777777778</v>
      </c>
      <c r="J147" s="23">
        <f t="shared" si="21"/>
        <v>5983.211100417675</v>
      </c>
      <c r="K147" s="23">
        <f t="shared" si="22"/>
        <v>8760.9888781954523</v>
      </c>
      <c r="L147" s="23">
        <f t="shared" si="20"/>
        <v>627777.77777778124</v>
      </c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2:28" ht="16.5" customHeight="1">
      <c r="B148" s="22">
        <f t="shared" si="23"/>
        <v>135</v>
      </c>
      <c r="C148" s="23">
        <f t="shared" si="24"/>
        <v>1161.4882830496481</v>
      </c>
      <c r="D148" s="23">
        <f t="shared" si="25"/>
        <v>8654.9572223851392</v>
      </c>
      <c r="E148" s="23">
        <f t="shared" si="26"/>
        <v>9816.4455054347873</v>
      </c>
      <c r="F148" s="23">
        <f t="shared" si="27"/>
        <v>910962.66513177601</v>
      </c>
      <c r="G148" s="2"/>
      <c r="H148" s="22">
        <f t="shared" si="28"/>
        <v>135</v>
      </c>
      <c r="I148" s="23">
        <f t="shared" si="29"/>
        <v>2777.7777777777778</v>
      </c>
      <c r="J148" s="23">
        <f t="shared" si="21"/>
        <v>5956.8533422660557</v>
      </c>
      <c r="K148" s="23">
        <f t="shared" si="22"/>
        <v>8734.631120043834</v>
      </c>
      <c r="L148" s="23">
        <f t="shared" si="20"/>
        <v>625000.00000000349</v>
      </c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2:28" ht="16.5" customHeight="1">
      <c r="B149" s="22">
        <f t="shared" si="23"/>
        <v>136</v>
      </c>
      <c r="C149" s="23">
        <f t="shared" si="24"/>
        <v>1172.5094048634492</v>
      </c>
      <c r="D149" s="23">
        <f t="shared" si="25"/>
        <v>8643.9361005713381</v>
      </c>
      <c r="E149" s="23">
        <f t="shared" si="26"/>
        <v>9816.4455054347873</v>
      </c>
      <c r="F149" s="23">
        <f t="shared" si="27"/>
        <v>909790.15572691255</v>
      </c>
      <c r="G149" s="2"/>
      <c r="H149" s="22">
        <f t="shared" si="28"/>
        <v>136</v>
      </c>
      <c r="I149" s="23">
        <f t="shared" si="29"/>
        <v>2777.7777777777778</v>
      </c>
      <c r="J149" s="23">
        <f t="shared" si="21"/>
        <v>5930.4955841144365</v>
      </c>
      <c r="K149" s="23">
        <f t="shared" si="22"/>
        <v>8708.2733618922139</v>
      </c>
      <c r="L149" s="23">
        <f t="shared" si="20"/>
        <v>622222.22222222574</v>
      </c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2:28" ht="16.5" customHeight="1">
      <c r="B150" s="22">
        <f t="shared" si="23"/>
        <v>137</v>
      </c>
      <c r="C150" s="23">
        <f t="shared" si="24"/>
        <v>1183.6351038200501</v>
      </c>
      <c r="D150" s="23">
        <f t="shared" si="25"/>
        <v>8632.8104016147372</v>
      </c>
      <c r="E150" s="23">
        <f t="shared" si="26"/>
        <v>9816.4455054347873</v>
      </c>
      <c r="F150" s="23">
        <f t="shared" si="27"/>
        <v>908606.52062309254</v>
      </c>
      <c r="G150" s="2"/>
      <c r="H150" s="22">
        <f t="shared" si="28"/>
        <v>137</v>
      </c>
      <c r="I150" s="23">
        <f t="shared" si="29"/>
        <v>2777.7777777777778</v>
      </c>
      <c r="J150" s="23">
        <f t="shared" si="21"/>
        <v>5904.1378259628173</v>
      </c>
      <c r="K150" s="23">
        <f t="shared" si="22"/>
        <v>8681.9156037405955</v>
      </c>
      <c r="L150" s="23">
        <f t="shared" si="20"/>
        <v>619444.44444444799</v>
      </c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2:28" ht="16.5" customHeight="1">
      <c r="B151" s="22">
        <f t="shared" si="23"/>
        <v>138</v>
      </c>
      <c r="C151" s="23">
        <f t="shared" si="24"/>
        <v>1194.8663722303027</v>
      </c>
      <c r="D151" s="23">
        <f t="shared" si="25"/>
        <v>8621.5791332044846</v>
      </c>
      <c r="E151" s="23">
        <f t="shared" si="26"/>
        <v>9816.4455054347873</v>
      </c>
      <c r="F151" s="23">
        <f t="shared" si="27"/>
        <v>907411.65425086219</v>
      </c>
      <c r="G151" s="2"/>
      <c r="H151" s="22">
        <f t="shared" si="28"/>
        <v>138</v>
      </c>
      <c r="I151" s="23">
        <f t="shared" si="29"/>
        <v>2777.7777777777778</v>
      </c>
      <c r="J151" s="23">
        <f t="shared" si="21"/>
        <v>5877.780067811198</v>
      </c>
      <c r="K151" s="23">
        <f t="shared" si="22"/>
        <v>8655.5578455889754</v>
      </c>
      <c r="L151" s="23">
        <f t="shared" si="20"/>
        <v>616666.66666667024</v>
      </c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2:28" ht="16.5" customHeight="1">
      <c r="B152" s="22">
        <f t="shared" si="23"/>
        <v>139</v>
      </c>
      <c r="C152" s="23">
        <f t="shared" si="24"/>
        <v>1206.2042118208919</v>
      </c>
      <c r="D152" s="23">
        <f t="shared" si="25"/>
        <v>8610.2412936138953</v>
      </c>
      <c r="E152" s="23">
        <f t="shared" si="26"/>
        <v>9816.4455054347873</v>
      </c>
      <c r="F152" s="23">
        <f t="shared" si="27"/>
        <v>906205.45003904135</v>
      </c>
      <c r="G152" s="2"/>
      <c r="H152" s="22">
        <f t="shared" si="28"/>
        <v>139</v>
      </c>
      <c r="I152" s="23">
        <f t="shared" si="29"/>
        <v>2777.7777777777778</v>
      </c>
      <c r="J152" s="23">
        <f t="shared" si="21"/>
        <v>5851.4223096595788</v>
      </c>
      <c r="K152" s="23">
        <f t="shared" si="22"/>
        <v>8629.2000874373571</v>
      </c>
      <c r="L152" s="23">
        <f t="shared" si="20"/>
        <v>613888.88888889248</v>
      </c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spans="2:28" ht="16.5" customHeight="1">
      <c r="B153" s="22">
        <f t="shared" si="23"/>
        <v>140</v>
      </c>
      <c r="C153" s="23">
        <f t="shared" si="24"/>
        <v>1217.649633823683</v>
      </c>
      <c r="D153" s="23">
        <f t="shared" si="25"/>
        <v>8598.7958716111043</v>
      </c>
      <c r="E153" s="23">
        <f t="shared" si="26"/>
        <v>9816.4455054347873</v>
      </c>
      <c r="F153" s="23">
        <f t="shared" si="27"/>
        <v>904987.80040521768</v>
      </c>
      <c r="G153" s="2"/>
      <c r="H153" s="22">
        <f t="shared" si="28"/>
        <v>140</v>
      </c>
      <c r="I153" s="23">
        <f t="shared" si="29"/>
        <v>2777.7777777777778</v>
      </c>
      <c r="J153" s="23">
        <f t="shared" si="21"/>
        <v>5825.0645515079595</v>
      </c>
      <c r="K153" s="23">
        <f t="shared" si="22"/>
        <v>8602.8423292857369</v>
      </c>
      <c r="L153" s="23">
        <f t="shared" si="20"/>
        <v>611111.11111111473</v>
      </c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2:28" ht="16.5" customHeight="1">
      <c r="B154" s="22">
        <f t="shared" si="23"/>
        <v>141</v>
      </c>
      <c r="C154" s="23">
        <f t="shared" si="24"/>
        <v>1229.2036590659063</v>
      </c>
      <c r="D154" s="23">
        <f t="shared" si="25"/>
        <v>8587.2418463688809</v>
      </c>
      <c r="E154" s="23">
        <f t="shared" si="26"/>
        <v>9816.4455054347873</v>
      </c>
      <c r="F154" s="23">
        <f t="shared" si="27"/>
        <v>903758.5967461518</v>
      </c>
      <c r="G154" s="2"/>
      <c r="H154" s="22">
        <f t="shared" si="28"/>
        <v>141</v>
      </c>
      <c r="I154" s="23">
        <f t="shared" si="29"/>
        <v>2777.7777777777778</v>
      </c>
      <c r="J154" s="23">
        <f t="shared" si="21"/>
        <v>5798.7067933563403</v>
      </c>
      <c r="K154" s="23">
        <f t="shared" si="22"/>
        <v>8576.4845711341186</v>
      </c>
      <c r="L154" s="23">
        <f t="shared" ref="L154:L217" si="30">IF(H154&gt;$E$7,0,IFERROR(L153-I154,0)-N154)</f>
        <v>608333.33333333698</v>
      </c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2:28" ht="16.5" customHeight="1">
      <c r="B155" s="22">
        <f t="shared" si="23"/>
        <v>142</v>
      </c>
      <c r="C155" s="23">
        <f t="shared" si="24"/>
        <v>1240.867318061215</v>
      </c>
      <c r="D155" s="23">
        <f t="shared" si="25"/>
        <v>8575.5781873735723</v>
      </c>
      <c r="E155" s="23">
        <f t="shared" si="26"/>
        <v>9816.4455054347873</v>
      </c>
      <c r="F155" s="23">
        <f t="shared" si="27"/>
        <v>902517.72942809062</v>
      </c>
      <c r="G155" s="2"/>
      <c r="H155" s="22">
        <f t="shared" si="28"/>
        <v>142</v>
      </c>
      <c r="I155" s="23">
        <f t="shared" si="29"/>
        <v>2777.7777777777778</v>
      </c>
      <c r="J155" s="23">
        <f t="shared" si="21"/>
        <v>5772.3490352047211</v>
      </c>
      <c r="K155" s="23">
        <f t="shared" si="22"/>
        <v>8550.1268129824984</v>
      </c>
      <c r="L155" s="23">
        <f t="shared" si="30"/>
        <v>605555.55555555923</v>
      </c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2:28" ht="16.5" customHeight="1">
      <c r="B156" s="22">
        <f t="shared" si="23"/>
        <v>143</v>
      </c>
      <c r="C156" s="23">
        <f t="shared" si="24"/>
        <v>1252.6416511015886</v>
      </c>
      <c r="D156" s="23">
        <f t="shared" si="25"/>
        <v>8563.8038543331986</v>
      </c>
      <c r="E156" s="23">
        <f t="shared" si="26"/>
        <v>9816.4455054347873</v>
      </c>
      <c r="F156" s="23">
        <f t="shared" si="27"/>
        <v>901265.08777698898</v>
      </c>
      <c r="G156" s="2"/>
      <c r="H156" s="22">
        <f t="shared" si="28"/>
        <v>143</v>
      </c>
      <c r="I156" s="23">
        <f t="shared" si="29"/>
        <v>2777.7777777777778</v>
      </c>
      <c r="J156" s="23">
        <f t="shared" si="21"/>
        <v>5745.9912770531018</v>
      </c>
      <c r="K156" s="23">
        <f t="shared" si="22"/>
        <v>8523.7690548308801</v>
      </c>
      <c r="L156" s="23">
        <f t="shared" si="30"/>
        <v>602777.77777778148</v>
      </c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spans="2:28" ht="16.5" customHeight="1">
      <c r="B157" s="22">
        <f t="shared" si="23"/>
        <v>144</v>
      </c>
      <c r="C157" s="23">
        <f t="shared" si="24"/>
        <v>1264.527708350126</v>
      </c>
      <c r="D157" s="23">
        <f t="shared" si="25"/>
        <v>8551.9177970846613</v>
      </c>
      <c r="E157" s="23">
        <f t="shared" si="26"/>
        <v>9816.4455054347873</v>
      </c>
      <c r="F157" s="23">
        <f t="shared" si="27"/>
        <v>900000.56006863888</v>
      </c>
      <c r="G157" s="2"/>
      <c r="H157" s="22">
        <f t="shared" si="28"/>
        <v>144</v>
      </c>
      <c r="I157" s="23">
        <f t="shared" si="29"/>
        <v>2777.7777777777778</v>
      </c>
      <c r="J157" s="23">
        <f t="shared" si="21"/>
        <v>5719.6335189014817</v>
      </c>
      <c r="K157" s="23">
        <f t="shared" si="22"/>
        <v>8497.41129667926</v>
      </c>
      <c r="L157" s="23">
        <f t="shared" si="30"/>
        <v>600000.00000000373</v>
      </c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2:28" ht="16.5" customHeight="1">
      <c r="B158" s="22">
        <f t="shared" si="23"/>
        <v>145</v>
      </c>
      <c r="C158" s="23">
        <f t="shared" si="24"/>
        <v>1276.5265499347024</v>
      </c>
      <c r="D158" s="23">
        <f t="shared" si="25"/>
        <v>8539.9189555000848</v>
      </c>
      <c r="E158" s="23">
        <f t="shared" si="26"/>
        <v>9816.4455054347873</v>
      </c>
      <c r="F158" s="23">
        <f t="shared" si="27"/>
        <v>898724.03351870412</v>
      </c>
      <c r="G158" s="2"/>
      <c r="H158" s="22">
        <f t="shared" si="28"/>
        <v>145</v>
      </c>
      <c r="I158" s="23">
        <f t="shared" si="29"/>
        <v>2777.7777777777778</v>
      </c>
      <c r="J158" s="23">
        <f t="shared" si="21"/>
        <v>5693.2757607498625</v>
      </c>
      <c r="K158" s="23">
        <f t="shared" si="22"/>
        <v>8471.0535385276398</v>
      </c>
      <c r="L158" s="23">
        <f t="shared" si="30"/>
        <v>597222.22222222597</v>
      </c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2:28" ht="16.5" customHeight="1">
      <c r="B159" s="22">
        <f t="shared" si="23"/>
        <v>146</v>
      </c>
      <c r="C159" s="23">
        <f t="shared" si="24"/>
        <v>1288.6392460425304</v>
      </c>
      <c r="D159" s="23">
        <f t="shared" si="25"/>
        <v>8527.8062593922568</v>
      </c>
      <c r="E159" s="23">
        <f t="shared" si="26"/>
        <v>9816.4455054347873</v>
      </c>
      <c r="F159" s="23">
        <f t="shared" si="27"/>
        <v>897435.39427266154</v>
      </c>
      <c r="G159" s="2"/>
      <c r="H159" s="22">
        <f t="shared" si="28"/>
        <v>146</v>
      </c>
      <c r="I159" s="23">
        <f t="shared" si="29"/>
        <v>2777.7777777777778</v>
      </c>
      <c r="J159" s="23">
        <f t="shared" si="21"/>
        <v>5666.9180025982432</v>
      </c>
      <c r="K159" s="23">
        <f t="shared" si="22"/>
        <v>8444.6957803760215</v>
      </c>
      <c r="L159" s="23">
        <f t="shared" si="30"/>
        <v>594444.44444444822</v>
      </c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2:28" ht="16.5" customHeight="1">
      <c r="B160" s="22">
        <f t="shared" si="23"/>
        <v>147</v>
      </c>
      <c r="C160" s="23">
        <f t="shared" si="24"/>
        <v>1300.8668770156055</v>
      </c>
      <c r="D160" s="23">
        <f t="shared" si="25"/>
        <v>8515.5786284191799</v>
      </c>
      <c r="E160" s="23">
        <f t="shared" si="26"/>
        <v>9816.4455054347854</v>
      </c>
      <c r="F160" s="23">
        <f t="shared" si="27"/>
        <v>896134.52739564597</v>
      </c>
      <c r="G160" s="2"/>
      <c r="H160" s="22">
        <f t="shared" si="28"/>
        <v>147</v>
      </c>
      <c r="I160" s="23">
        <f t="shared" si="29"/>
        <v>2777.7777777777778</v>
      </c>
      <c r="J160" s="23">
        <f t="shared" si="21"/>
        <v>5640.560244446624</v>
      </c>
      <c r="K160" s="23">
        <f t="shared" si="22"/>
        <v>8418.3380222244014</v>
      </c>
      <c r="L160" s="23">
        <f t="shared" si="30"/>
        <v>591666.66666667047</v>
      </c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2:28" ht="16.5" customHeight="1">
      <c r="B161" s="22">
        <f t="shared" si="23"/>
        <v>148</v>
      </c>
      <c r="C161" s="23">
        <f t="shared" si="24"/>
        <v>1313.2105334470652</v>
      </c>
      <c r="D161" s="23">
        <f t="shared" si="25"/>
        <v>8503.234971987722</v>
      </c>
      <c r="E161" s="23">
        <f t="shared" si="26"/>
        <v>9816.4455054347873</v>
      </c>
      <c r="F161" s="23">
        <f t="shared" si="27"/>
        <v>894821.31686219887</v>
      </c>
      <c r="G161" s="2"/>
      <c r="H161" s="22">
        <f t="shared" si="28"/>
        <v>148</v>
      </c>
      <c r="I161" s="23">
        <f t="shared" si="29"/>
        <v>2777.7777777777778</v>
      </c>
      <c r="J161" s="23">
        <f t="shared" si="21"/>
        <v>5614.2024862950047</v>
      </c>
      <c r="K161" s="23">
        <f t="shared" si="22"/>
        <v>8391.980264072783</v>
      </c>
      <c r="L161" s="23">
        <f t="shared" si="30"/>
        <v>588888.88888889272</v>
      </c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spans="2:28" ht="16.5" customHeight="1">
      <c r="B162" s="22">
        <f t="shared" si="23"/>
        <v>149</v>
      </c>
      <c r="C162" s="23">
        <f t="shared" si="24"/>
        <v>1325.6713162784581</v>
      </c>
      <c r="D162" s="23">
        <f t="shared" si="25"/>
        <v>8490.7741891563292</v>
      </c>
      <c r="E162" s="23">
        <f t="shared" si="26"/>
        <v>9816.4455054347873</v>
      </c>
      <c r="F162" s="23">
        <f t="shared" si="27"/>
        <v>893495.64554592036</v>
      </c>
      <c r="G162" s="2"/>
      <c r="H162" s="22">
        <f t="shared" si="28"/>
        <v>149</v>
      </c>
      <c r="I162" s="23">
        <f t="shared" si="29"/>
        <v>2777.7777777777778</v>
      </c>
      <c r="J162" s="23">
        <f t="shared" si="21"/>
        <v>5587.8447281433855</v>
      </c>
      <c r="K162" s="23">
        <f t="shared" si="22"/>
        <v>8365.6225059211629</v>
      </c>
      <c r="L162" s="23">
        <f t="shared" si="30"/>
        <v>586111.11111111497</v>
      </c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2:28" ht="16.5" customHeight="1">
      <c r="B163" s="22">
        <f t="shared" si="23"/>
        <v>150</v>
      </c>
      <c r="C163" s="23">
        <f t="shared" si="24"/>
        <v>1338.2503368979396</v>
      </c>
      <c r="D163" s="23">
        <f t="shared" si="25"/>
        <v>8478.1951685368458</v>
      </c>
      <c r="E163" s="23">
        <f t="shared" si="26"/>
        <v>9816.4455054347854</v>
      </c>
      <c r="F163" s="23">
        <f t="shared" si="27"/>
        <v>892157.39520902245</v>
      </c>
      <c r="G163" s="2"/>
      <c r="H163" s="22">
        <f t="shared" si="28"/>
        <v>150</v>
      </c>
      <c r="I163" s="23">
        <f t="shared" si="29"/>
        <v>2777.7777777777778</v>
      </c>
      <c r="J163" s="23">
        <f t="shared" si="21"/>
        <v>5561.4869699917663</v>
      </c>
      <c r="K163" s="23">
        <f t="shared" si="22"/>
        <v>8339.2647477695446</v>
      </c>
      <c r="L163" s="23">
        <f t="shared" si="30"/>
        <v>583333.33333333721</v>
      </c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2:28" ht="16.5" customHeight="1">
      <c r="B164" s="22">
        <f t="shared" si="23"/>
        <v>151</v>
      </c>
      <c r="C164" s="23">
        <f t="shared" si="24"/>
        <v>1350.9487172393983</v>
      </c>
      <c r="D164" s="23">
        <f t="shared" si="25"/>
        <v>8465.4967881953871</v>
      </c>
      <c r="E164" s="23">
        <f t="shared" si="26"/>
        <v>9816.4455054347854</v>
      </c>
      <c r="F164" s="23">
        <f t="shared" si="27"/>
        <v>890806.44649178302</v>
      </c>
      <c r="G164" s="2"/>
      <c r="H164" s="22">
        <f t="shared" si="28"/>
        <v>151</v>
      </c>
      <c r="I164" s="23">
        <f t="shared" si="29"/>
        <v>2777.7777777777778</v>
      </c>
      <c r="J164" s="23">
        <f t="shared" si="21"/>
        <v>5535.129211840147</v>
      </c>
      <c r="K164" s="23">
        <f t="shared" si="22"/>
        <v>8312.9069896179244</v>
      </c>
      <c r="L164" s="23">
        <f t="shared" si="30"/>
        <v>580555.55555555946</v>
      </c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2:28" ht="16.5" customHeight="1">
      <c r="B165" s="22">
        <f t="shared" si="23"/>
        <v>152</v>
      </c>
      <c r="C165" s="23">
        <f t="shared" si="24"/>
        <v>1363.7675898825273</v>
      </c>
      <c r="D165" s="23">
        <f t="shared" si="25"/>
        <v>8452.6779155522599</v>
      </c>
      <c r="E165" s="23">
        <f t="shared" si="26"/>
        <v>9816.4455054347873</v>
      </c>
      <c r="F165" s="23">
        <f t="shared" si="27"/>
        <v>889442.67890190054</v>
      </c>
      <c r="G165" s="2"/>
      <c r="H165" s="22">
        <f t="shared" si="28"/>
        <v>152</v>
      </c>
      <c r="I165" s="23">
        <f t="shared" si="29"/>
        <v>2777.7777777777778</v>
      </c>
      <c r="J165" s="23">
        <f t="shared" si="21"/>
        <v>5508.7714536885278</v>
      </c>
      <c r="K165" s="23">
        <f t="shared" si="22"/>
        <v>8286.5492314663061</v>
      </c>
      <c r="L165" s="23">
        <f t="shared" si="30"/>
        <v>577777.77777778171</v>
      </c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2:28" ht="16.5" customHeight="1">
      <c r="B166" s="22">
        <f t="shared" si="23"/>
        <v>153</v>
      </c>
      <c r="C166" s="23">
        <f t="shared" si="24"/>
        <v>1376.7080981538147</v>
      </c>
      <c r="D166" s="23">
        <f t="shared" si="25"/>
        <v>8439.7374072809707</v>
      </c>
      <c r="E166" s="23">
        <f t="shared" si="26"/>
        <v>9816.4455054347854</v>
      </c>
      <c r="F166" s="23">
        <f t="shared" si="27"/>
        <v>888065.97080374672</v>
      </c>
      <c r="G166" s="2"/>
      <c r="H166" s="22">
        <f t="shared" si="28"/>
        <v>153</v>
      </c>
      <c r="I166" s="23">
        <f t="shared" si="29"/>
        <v>2777.7777777777778</v>
      </c>
      <c r="J166" s="23">
        <f t="shared" si="21"/>
        <v>5482.4136955369086</v>
      </c>
      <c r="K166" s="23">
        <f t="shared" si="22"/>
        <v>8260.1914733146859</v>
      </c>
      <c r="L166" s="23">
        <f t="shared" si="30"/>
        <v>575000.00000000396</v>
      </c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2:28" ht="16.5" customHeight="1">
      <c r="B167" s="22">
        <f t="shared" si="23"/>
        <v>154</v>
      </c>
      <c r="C167" s="23">
        <f t="shared" si="24"/>
        <v>1389.7713962285616</v>
      </c>
      <c r="D167" s="23">
        <f t="shared" si="25"/>
        <v>8426.6741092062257</v>
      </c>
      <c r="E167" s="23">
        <f t="shared" si="26"/>
        <v>9816.4455054347873</v>
      </c>
      <c r="F167" s="23">
        <f t="shared" si="27"/>
        <v>886676.19940751814</v>
      </c>
      <c r="G167" s="2"/>
      <c r="H167" s="22">
        <f t="shared" si="28"/>
        <v>154</v>
      </c>
      <c r="I167" s="23">
        <f t="shared" si="29"/>
        <v>2777.7777777777778</v>
      </c>
      <c r="J167" s="23">
        <f t="shared" si="21"/>
        <v>5456.0559373852884</v>
      </c>
      <c r="K167" s="23">
        <f t="shared" si="22"/>
        <v>8233.8337151630658</v>
      </c>
      <c r="L167" s="23">
        <f t="shared" si="30"/>
        <v>572222.22222222621</v>
      </c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2:28" ht="16.5" customHeight="1">
      <c r="B168" s="22">
        <f t="shared" si="23"/>
        <v>155</v>
      </c>
      <c r="C168" s="23">
        <f t="shared" si="24"/>
        <v>1402.9586492337821</v>
      </c>
      <c r="D168" s="23">
        <f t="shared" si="25"/>
        <v>8413.4868562010051</v>
      </c>
      <c r="E168" s="23">
        <f t="shared" si="26"/>
        <v>9816.4455054347873</v>
      </c>
      <c r="F168" s="23">
        <f t="shared" si="27"/>
        <v>885273.24075828434</v>
      </c>
      <c r="G168" s="2"/>
      <c r="H168" s="22">
        <f t="shared" si="28"/>
        <v>155</v>
      </c>
      <c r="I168" s="23">
        <f t="shared" si="29"/>
        <v>2777.7777777777778</v>
      </c>
      <c r="J168" s="23">
        <f t="shared" si="21"/>
        <v>5429.6981792336692</v>
      </c>
      <c r="K168" s="23">
        <f t="shared" si="22"/>
        <v>8207.4759570114475</v>
      </c>
      <c r="L168" s="23">
        <f t="shared" si="30"/>
        <v>569444.44444444845</v>
      </c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2:28" ht="16.5" customHeight="1">
      <c r="B169" s="22">
        <f t="shared" si="23"/>
        <v>156</v>
      </c>
      <c r="C169" s="23">
        <f t="shared" si="24"/>
        <v>1416.2710333521409</v>
      </c>
      <c r="D169" s="23">
        <f t="shared" si="25"/>
        <v>8400.1744720826446</v>
      </c>
      <c r="E169" s="23">
        <f t="shared" si="26"/>
        <v>9816.4455054347854</v>
      </c>
      <c r="F169" s="23">
        <f t="shared" si="27"/>
        <v>883856.96972493222</v>
      </c>
      <c r="G169" s="2"/>
      <c r="H169" s="22">
        <f t="shared" si="28"/>
        <v>156</v>
      </c>
      <c r="I169" s="23">
        <f t="shared" si="29"/>
        <v>2777.7777777777778</v>
      </c>
      <c r="J169" s="23">
        <f t="shared" si="21"/>
        <v>5403.3404210820499</v>
      </c>
      <c r="K169" s="23">
        <f t="shared" si="22"/>
        <v>8181.1181988598273</v>
      </c>
      <c r="L169" s="23">
        <f t="shared" si="30"/>
        <v>566666.6666666707</v>
      </c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2:28" ht="16.5" customHeight="1">
      <c r="B170" s="22">
        <f t="shared" si="23"/>
        <v>157</v>
      </c>
      <c r="C170" s="23">
        <f t="shared" si="24"/>
        <v>1429.7097359268701</v>
      </c>
      <c r="D170" s="23">
        <f t="shared" si="25"/>
        <v>8386.7357695079172</v>
      </c>
      <c r="E170" s="23">
        <f t="shared" si="26"/>
        <v>9816.4455054347873</v>
      </c>
      <c r="F170" s="23">
        <f t="shared" si="27"/>
        <v>882427.2599890054</v>
      </c>
      <c r="G170" s="2"/>
      <c r="H170" s="22">
        <f t="shared" si="28"/>
        <v>157</v>
      </c>
      <c r="I170" s="23">
        <f t="shared" si="29"/>
        <v>2777.7777777777778</v>
      </c>
      <c r="J170" s="23">
        <f t="shared" si="21"/>
        <v>5376.9826629304307</v>
      </c>
      <c r="K170" s="23">
        <f t="shared" si="22"/>
        <v>8154.760440708209</v>
      </c>
      <c r="L170" s="23">
        <f t="shared" si="30"/>
        <v>563888.88888889295</v>
      </c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2:28" ht="16.5" customHeight="1">
      <c r="B171" s="22">
        <f t="shared" si="23"/>
        <v>158</v>
      </c>
      <c r="C171" s="23">
        <f t="shared" si="24"/>
        <v>1443.2759555676366</v>
      </c>
      <c r="D171" s="23">
        <f t="shared" si="25"/>
        <v>8373.1695498671506</v>
      </c>
      <c r="E171" s="23">
        <f t="shared" si="26"/>
        <v>9816.4455054347873</v>
      </c>
      <c r="F171" s="23">
        <f t="shared" si="27"/>
        <v>880983.9840334378</v>
      </c>
      <c r="G171" s="2"/>
      <c r="H171" s="22">
        <f t="shared" si="28"/>
        <v>158</v>
      </c>
      <c r="I171" s="23">
        <f t="shared" si="29"/>
        <v>2777.7777777777778</v>
      </c>
      <c r="J171" s="23">
        <f t="shared" si="21"/>
        <v>5350.6249047788115</v>
      </c>
      <c r="K171" s="23">
        <f t="shared" si="22"/>
        <v>8128.4026825565888</v>
      </c>
      <c r="L171" s="23">
        <f t="shared" si="30"/>
        <v>561111.1111111152</v>
      </c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2:28" ht="16.5" customHeight="1">
      <c r="B172" s="22">
        <f t="shared" si="23"/>
        <v>159</v>
      </c>
      <c r="C172" s="23">
        <f t="shared" si="24"/>
        <v>1456.9709022574807</v>
      </c>
      <c r="D172" s="23">
        <f t="shared" si="25"/>
        <v>8359.4746031773066</v>
      </c>
      <c r="E172" s="23">
        <f t="shared" si="26"/>
        <v>9816.4455054347873</v>
      </c>
      <c r="F172" s="23">
        <f t="shared" si="27"/>
        <v>879527.01313118031</v>
      </c>
      <c r="G172" s="2"/>
      <c r="H172" s="22">
        <f t="shared" si="28"/>
        <v>159</v>
      </c>
      <c r="I172" s="23">
        <f t="shared" si="29"/>
        <v>2777.7777777777778</v>
      </c>
      <c r="J172" s="23">
        <f t="shared" si="21"/>
        <v>5324.2671466271922</v>
      </c>
      <c r="K172" s="23">
        <f t="shared" si="22"/>
        <v>8102.0449244049705</v>
      </c>
      <c r="L172" s="23">
        <f t="shared" si="30"/>
        <v>558333.33333333745</v>
      </c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2:28" ht="16.5" customHeight="1">
      <c r="B173" s="22">
        <f t="shared" si="23"/>
        <v>160</v>
      </c>
      <c r="C173" s="23">
        <f t="shared" si="24"/>
        <v>1470.7957974607143</v>
      </c>
      <c r="D173" s="23">
        <f t="shared" si="25"/>
        <v>8345.649707974073</v>
      </c>
      <c r="E173" s="23">
        <f t="shared" si="26"/>
        <v>9816.4455054347873</v>
      </c>
      <c r="F173" s="23">
        <f t="shared" si="27"/>
        <v>878056.2173337196</v>
      </c>
      <c r="G173" s="2"/>
      <c r="H173" s="22">
        <f t="shared" si="28"/>
        <v>160</v>
      </c>
      <c r="I173" s="23">
        <f t="shared" si="29"/>
        <v>2777.7777777777778</v>
      </c>
      <c r="J173" s="23">
        <f t="shared" si="21"/>
        <v>5297.909388475573</v>
      </c>
      <c r="K173" s="23">
        <f t="shared" si="22"/>
        <v>8075.6871662533504</v>
      </c>
      <c r="L173" s="23">
        <f t="shared" si="30"/>
        <v>555555.55555555969</v>
      </c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2:28" ht="16.5" customHeight="1">
      <c r="B174" s="22">
        <f t="shared" si="23"/>
        <v>161</v>
      </c>
      <c r="C174" s="23">
        <f t="shared" si="24"/>
        <v>1484.7518742318734</v>
      </c>
      <c r="D174" s="23">
        <f t="shared" si="25"/>
        <v>8331.6936312029138</v>
      </c>
      <c r="E174" s="23">
        <f t="shared" si="26"/>
        <v>9816.4455054347873</v>
      </c>
      <c r="F174" s="23">
        <f t="shared" si="27"/>
        <v>876571.46545948775</v>
      </c>
      <c r="G174" s="2"/>
      <c r="H174" s="22">
        <f t="shared" si="28"/>
        <v>161</v>
      </c>
      <c r="I174" s="23">
        <f t="shared" si="29"/>
        <v>2777.7777777777778</v>
      </c>
      <c r="J174" s="23">
        <f t="shared" si="21"/>
        <v>5271.5516303239538</v>
      </c>
      <c r="K174" s="23">
        <f t="shared" si="22"/>
        <v>8049.329408101732</v>
      </c>
      <c r="L174" s="23">
        <f t="shared" si="30"/>
        <v>552777.77777778194</v>
      </c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2:28" ht="16.5" customHeight="1">
      <c r="B175" s="22">
        <f t="shared" si="23"/>
        <v>162</v>
      </c>
      <c r="C175" s="23">
        <f t="shared" si="24"/>
        <v>1498.8403773256941</v>
      </c>
      <c r="D175" s="23">
        <f t="shared" si="25"/>
        <v>8317.6051281090931</v>
      </c>
      <c r="E175" s="23">
        <f t="shared" si="26"/>
        <v>9816.4455054347873</v>
      </c>
      <c r="F175" s="23">
        <f t="shared" si="27"/>
        <v>875072.62508216209</v>
      </c>
      <c r="G175" s="2"/>
      <c r="H175" s="22">
        <f t="shared" si="28"/>
        <v>162</v>
      </c>
      <c r="I175" s="23">
        <f t="shared" si="29"/>
        <v>2777.7777777777778</v>
      </c>
      <c r="J175" s="23">
        <f t="shared" si="21"/>
        <v>5245.1938721723345</v>
      </c>
      <c r="K175" s="23">
        <f t="shared" si="22"/>
        <v>8022.9716499501119</v>
      </c>
      <c r="L175" s="23">
        <f t="shared" si="30"/>
        <v>550000.00000000419</v>
      </c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2:28" ht="16.5" customHeight="1">
      <c r="B176" s="22">
        <f t="shared" si="23"/>
        <v>163</v>
      </c>
      <c r="C176" s="23">
        <f t="shared" si="24"/>
        <v>1513.062563308129</v>
      </c>
      <c r="D176" s="23">
        <f t="shared" si="25"/>
        <v>8303.3829421266582</v>
      </c>
      <c r="E176" s="23">
        <f t="shared" si="26"/>
        <v>9816.4455054347873</v>
      </c>
      <c r="F176" s="23">
        <f t="shared" si="27"/>
        <v>873559.56251885393</v>
      </c>
      <c r="G176" s="2"/>
      <c r="H176" s="22">
        <f t="shared" si="28"/>
        <v>163</v>
      </c>
      <c r="I176" s="23">
        <f t="shared" si="29"/>
        <v>2777.7777777777778</v>
      </c>
      <c r="J176" s="23">
        <f t="shared" si="21"/>
        <v>5218.8361140207153</v>
      </c>
      <c r="K176" s="23">
        <f t="shared" si="22"/>
        <v>7996.6138917984936</v>
      </c>
      <c r="L176" s="23">
        <f t="shared" si="30"/>
        <v>547222.22222222644</v>
      </c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2:28" ht="16.5" customHeight="1">
      <c r="B177" s="22">
        <f t="shared" si="23"/>
        <v>164</v>
      </c>
      <c r="C177" s="23">
        <f t="shared" si="24"/>
        <v>1527.4197006684299</v>
      </c>
      <c r="D177" s="23">
        <f t="shared" si="25"/>
        <v>8289.0258047663574</v>
      </c>
      <c r="E177" s="23">
        <f t="shared" si="26"/>
        <v>9816.4455054347873</v>
      </c>
      <c r="F177" s="23">
        <f t="shared" si="27"/>
        <v>872032.1428181855</v>
      </c>
      <c r="G177" s="2"/>
      <c r="H177" s="22">
        <f t="shared" si="28"/>
        <v>164</v>
      </c>
      <c r="I177" s="23">
        <f t="shared" si="29"/>
        <v>2777.7777777777778</v>
      </c>
      <c r="J177" s="23">
        <f t="shared" si="21"/>
        <v>5192.478355869096</v>
      </c>
      <c r="K177" s="23">
        <f t="shared" si="22"/>
        <v>7970.2561336468734</v>
      </c>
      <c r="L177" s="23">
        <f t="shared" si="30"/>
        <v>544444.44444444869</v>
      </c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2:28" ht="16.5" customHeight="1">
      <c r="B178" s="22">
        <f t="shared" si="23"/>
        <v>165</v>
      </c>
      <c r="C178" s="23">
        <f t="shared" si="24"/>
        <v>1541.9130699322759</v>
      </c>
      <c r="D178" s="23">
        <f t="shared" si="25"/>
        <v>8274.5324355025114</v>
      </c>
      <c r="E178" s="23">
        <f t="shared" si="26"/>
        <v>9816.4455054347873</v>
      </c>
      <c r="F178" s="23">
        <f t="shared" si="27"/>
        <v>870490.22974825324</v>
      </c>
      <c r="G178" s="2"/>
      <c r="H178" s="22">
        <f t="shared" si="28"/>
        <v>165</v>
      </c>
      <c r="I178" s="23">
        <f t="shared" si="29"/>
        <v>2777.7777777777778</v>
      </c>
      <c r="J178" s="23">
        <f t="shared" si="21"/>
        <v>5166.1205977174759</v>
      </c>
      <c r="K178" s="23">
        <f t="shared" si="22"/>
        <v>7943.8983754952533</v>
      </c>
      <c r="L178" s="23">
        <f t="shared" si="30"/>
        <v>541666.66666667094</v>
      </c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2:28" ht="16.5" customHeight="1">
      <c r="B179" s="22">
        <f t="shared" si="23"/>
        <v>166</v>
      </c>
      <c r="C179" s="23">
        <f t="shared" si="24"/>
        <v>1556.5439637759901</v>
      </c>
      <c r="D179" s="23">
        <f t="shared" si="25"/>
        <v>8259.9015416587972</v>
      </c>
      <c r="E179" s="23">
        <f t="shared" si="26"/>
        <v>9816.4455054347873</v>
      </c>
      <c r="F179" s="23">
        <f t="shared" si="27"/>
        <v>868933.68578447727</v>
      </c>
      <c r="G179" s="2"/>
      <c r="H179" s="22">
        <f t="shared" si="28"/>
        <v>166</v>
      </c>
      <c r="I179" s="23">
        <f t="shared" si="29"/>
        <v>2777.7777777777778</v>
      </c>
      <c r="J179" s="23">
        <f t="shared" si="21"/>
        <v>5139.7628395658567</v>
      </c>
      <c r="K179" s="23">
        <f t="shared" si="22"/>
        <v>7917.5406173436349</v>
      </c>
      <c r="L179" s="23">
        <f t="shared" si="30"/>
        <v>538888.88888889318</v>
      </c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2:28" ht="16.5" customHeight="1">
      <c r="B180" s="22">
        <f t="shared" si="23"/>
        <v>167</v>
      </c>
      <c r="C180" s="23">
        <f t="shared" si="24"/>
        <v>1571.3136871418355</v>
      </c>
      <c r="D180" s="23">
        <f t="shared" si="25"/>
        <v>8245.1318182929517</v>
      </c>
      <c r="E180" s="23">
        <f t="shared" si="26"/>
        <v>9816.4455054347873</v>
      </c>
      <c r="F180" s="23">
        <f t="shared" si="27"/>
        <v>867362.37209733541</v>
      </c>
      <c r="G180" s="2"/>
      <c r="H180" s="22">
        <f t="shared" si="28"/>
        <v>167</v>
      </c>
      <c r="I180" s="23">
        <f t="shared" si="29"/>
        <v>2777.7777777777778</v>
      </c>
      <c r="J180" s="23">
        <f t="shared" si="21"/>
        <v>5113.4050814142374</v>
      </c>
      <c r="K180" s="23">
        <f t="shared" si="22"/>
        <v>7891.1828591920148</v>
      </c>
      <c r="L180" s="23">
        <f t="shared" si="30"/>
        <v>536111.11111111543</v>
      </c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2:28" ht="16.5" customHeight="1">
      <c r="B181" s="22">
        <f t="shared" si="23"/>
        <v>168</v>
      </c>
      <c r="C181" s="23">
        <f t="shared" si="24"/>
        <v>1586.2235573544003</v>
      </c>
      <c r="D181" s="23">
        <f t="shared" si="25"/>
        <v>8230.2219480803869</v>
      </c>
      <c r="E181" s="23">
        <f t="shared" si="26"/>
        <v>9816.4455054347873</v>
      </c>
      <c r="F181" s="23">
        <f t="shared" si="27"/>
        <v>865776.14853998099</v>
      </c>
      <c r="G181" s="2"/>
      <c r="H181" s="22">
        <f t="shared" si="28"/>
        <v>168</v>
      </c>
      <c r="I181" s="23">
        <f t="shared" si="29"/>
        <v>2777.7777777777778</v>
      </c>
      <c r="J181" s="23">
        <f t="shared" si="21"/>
        <v>5087.0473232626182</v>
      </c>
      <c r="K181" s="23">
        <f t="shared" si="22"/>
        <v>7864.8251010403965</v>
      </c>
      <c r="L181" s="23">
        <f t="shared" si="30"/>
        <v>533333.33333333768</v>
      </c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2:28" ht="16.5" customHeight="1">
      <c r="B182" s="22">
        <f t="shared" si="23"/>
        <v>169</v>
      </c>
      <c r="C182" s="23">
        <f t="shared" si="24"/>
        <v>1601.2749042380947</v>
      </c>
      <c r="D182" s="23">
        <f t="shared" si="25"/>
        <v>8215.1706011966926</v>
      </c>
      <c r="E182" s="23">
        <f t="shared" si="26"/>
        <v>9816.4455054347873</v>
      </c>
      <c r="F182" s="23">
        <f t="shared" si="27"/>
        <v>864174.87363574293</v>
      </c>
      <c r="G182" s="2"/>
      <c r="H182" s="22">
        <f t="shared" si="28"/>
        <v>169</v>
      </c>
      <c r="I182" s="23">
        <f t="shared" si="29"/>
        <v>2777.7777777777778</v>
      </c>
      <c r="J182" s="23">
        <f t="shared" si="21"/>
        <v>5060.689565110999</v>
      </c>
      <c r="K182" s="23">
        <f t="shared" si="22"/>
        <v>7838.4673428887763</v>
      </c>
      <c r="L182" s="23">
        <f t="shared" si="30"/>
        <v>530555.55555555993</v>
      </c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2:28" ht="16.5" customHeight="1">
      <c r="B183" s="22">
        <f t="shared" si="23"/>
        <v>170</v>
      </c>
      <c r="C183" s="23">
        <f t="shared" si="24"/>
        <v>1616.469070235753</v>
      </c>
      <c r="D183" s="23">
        <f t="shared" si="25"/>
        <v>8199.9764351990343</v>
      </c>
      <c r="E183" s="23">
        <f t="shared" si="26"/>
        <v>9816.4455054347873</v>
      </c>
      <c r="F183" s="23">
        <f t="shared" si="27"/>
        <v>862558.4045655072</v>
      </c>
      <c r="G183" s="2"/>
      <c r="H183" s="22">
        <f t="shared" si="28"/>
        <v>170</v>
      </c>
      <c r="I183" s="23">
        <f t="shared" si="29"/>
        <v>2777.7777777777778</v>
      </c>
      <c r="J183" s="23">
        <f t="shared" si="21"/>
        <v>5034.3318069593797</v>
      </c>
      <c r="K183" s="23">
        <f t="shared" si="22"/>
        <v>7812.109584737158</v>
      </c>
      <c r="L183" s="23">
        <f t="shared" si="30"/>
        <v>527777.77777778218</v>
      </c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2:28" ht="16.5" customHeight="1">
      <c r="B184" s="22">
        <f t="shared" si="23"/>
        <v>171</v>
      </c>
      <c r="C184" s="23">
        <f t="shared" si="24"/>
        <v>1631.8074105283786</v>
      </c>
      <c r="D184" s="23">
        <f t="shared" si="25"/>
        <v>8184.6380949064087</v>
      </c>
      <c r="E184" s="23">
        <f t="shared" si="26"/>
        <v>9816.4455054347873</v>
      </c>
      <c r="F184" s="23">
        <f t="shared" si="27"/>
        <v>860926.59715497878</v>
      </c>
      <c r="G184" s="2"/>
      <c r="H184" s="22">
        <f t="shared" si="28"/>
        <v>171</v>
      </c>
      <c r="I184" s="23">
        <f t="shared" si="29"/>
        <v>2777.7777777777778</v>
      </c>
      <c r="J184" s="23">
        <f t="shared" si="21"/>
        <v>5007.9740488077605</v>
      </c>
      <c r="K184" s="23">
        <f t="shared" si="22"/>
        <v>7785.7518265855379</v>
      </c>
      <c r="L184" s="23">
        <f t="shared" si="30"/>
        <v>525000.00000000442</v>
      </c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2:28" ht="16.5" customHeight="1">
      <c r="B185" s="22">
        <f t="shared" si="23"/>
        <v>172</v>
      </c>
      <c r="C185" s="23">
        <f t="shared" si="24"/>
        <v>1647.2912931560004</v>
      </c>
      <c r="D185" s="23">
        <f t="shared" si="25"/>
        <v>8169.1542122787869</v>
      </c>
      <c r="E185" s="23">
        <f t="shared" si="26"/>
        <v>9816.4455054347873</v>
      </c>
      <c r="F185" s="23">
        <f t="shared" si="27"/>
        <v>859279.3058618228</v>
      </c>
      <c r="G185" s="2"/>
      <c r="H185" s="22">
        <f t="shared" si="28"/>
        <v>172</v>
      </c>
      <c r="I185" s="23">
        <f t="shared" si="29"/>
        <v>2777.7777777777778</v>
      </c>
      <c r="J185" s="23">
        <f t="shared" si="21"/>
        <v>4981.6162906561412</v>
      </c>
      <c r="K185" s="23">
        <f t="shared" si="22"/>
        <v>7759.3940684339195</v>
      </c>
      <c r="L185" s="23">
        <f t="shared" si="30"/>
        <v>522222.22222222667</v>
      </c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2:28" ht="16.5" customHeight="1">
      <c r="B186" s="22">
        <f t="shared" si="23"/>
        <v>173</v>
      </c>
      <c r="C186" s="23">
        <f t="shared" si="24"/>
        <v>1662.9220991396996</v>
      </c>
      <c r="D186" s="23">
        <f t="shared" si="25"/>
        <v>8153.5234062950876</v>
      </c>
      <c r="E186" s="23">
        <f t="shared" si="26"/>
        <v>9816.4455054347873</v>
      </c>
      <c r="F186" s="23">
        <f t="shared" si="27"/>
        <v>857616.38376268314</v>
      </c>
      <c r="G186" s="2"/>
      <c r="H186" s="22">
        <f t="shared" si="28"/>
        <v>173</v>
      </c>
      <c r="I186" s="23">
        <f t="shared" si="29"/>
        <v>2777.7777777777778</v>
      </c>
      <c r="J186" s="23">
        <f t="shared" si="21"/>
        <v>4955.258532504522</v>
      </c>
      <c r="K186" s="23">
        <f t="shared" si="22"/>
        <v>7733.0363102822994</v>
      </c>
      <c r="L186" s="23">
        <f t="shared" si="30"/>
        <v>519444.44444444892</v>
      </c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2:28" ht="16.5" customHeight="1">
      <c r="B187" s="22">
        <f t="shared" si="23"/>
        <v>174</v>
      </c>
      <c r="C187" s="23">
        <f t="shared" si="24"/>
        <v>1678.7012226047773</v>
      </c>
      <c r="D187" s="23">
        <f t="shared" si="25"/>
        <v>8137.74428283001</v>
      </c>
      <c r="E187" s="23">
        <f t="shared" si="26"/>
        <v>9816.4455054347873</v>
      </c>
      <c r="F187" s="23">
        <f t="shared" si="27"/>
        <v>855937.68254007841</v>
      </c>
      <c r="G187" s="2"/>
      <c r="H187" s="22">
        <f t="shared" si="28"/>
        <v>174</v>
      </c>
      <c r="I187" s="23">
        <f t="shared" si="29"/>
        <v>2777.7777777777778</v>
      </c>
      <c r="J187" s="23">
        <f t="shared" si="21"/>
        <v>4928.9007743529028</v>
      </c>
      <c r="K187" s="23">
        <f t="shared" si="22"/>
        <v>7706.6785521306811</v>
      </c>
      <c r="L187" s="23">
        <f t="shared" si="30"/>
        <v>516666.66666667117</v>
      </c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2:28" ht="16.5" customHeight="1">
      <c r="B188" s="22">
        <f t="shared" si="23"/>
        <v>175</v>
      </c>
      <c r="C188" s="23">
        <f t="shared" si="24"/>
        <v>1694.6300709051093</v>
      </c>
      <c r="D188" s="23">
        <f t="shared" si="25"/>
        <v>8121.8154345296816</v>
      </c>
      <c r="E188" s="23">
        <f t="shared" si="26"/>
        <v>9816.4455054347909</v>
      </c>
      <c r="F188" s="23">
        <f t="shared" si="27"/>
        <v>854243.05246917333</v>
      </c>
      <c r="G188" s="2"/>
      <c r="H188" s="22">
        <f t="shared" si="28"/>
        <v>175</v>
      </c>
      <c r="I188" s="23">
        <f t="shared" si="29"/>
        <v>2777.7777777777778</v>
      </c>
      <c r="J188" s="23">
        <f t="shared" si="21"/>
        <v>4902.5430162012826</v>
      </c>
      <c r="K188" s="23">
        <f t="shared" si="22"/>
        <v>7680.3207939790609</v>
      </c>
      <c r="L188" s="23">
        <f t="shared" si="30"/>
        <v>513888.88888889342</v>
      </c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2:28" ht="16.5" customHeight="1">
      <c r="B189" s="22">
        <f t="shared" si="23"/>
        <v>176</v>
      </c>
      <c r="C189" s="23">
        <f t="shared" si="24"/>
        <v>1710.7100647486432</v>
      </c>
      <c r="D189" s="23">
        <f t="shared" si="25"/>
        <v>8105.7354406861459</v>
      </c>
      <c r="E189" s="23">
        <f t="shared" si="26"/>
        <v>9816.4455054347891</v>
      </c>
      <c r="F189" s="23">
        <f t="shared" si="27"/>
        <v>852532.34240442468</v>
      </c>
      <c r="G189" s="2"/>
      <c r="H189" s="22">
        <f t="shared" si="28"/>
        <v>176</v>
      </c>
      <c r="I189" s="23">
        <f t="shared" si="29"/>
        <v>2777.7777777777778</v>
      </c>
      <c r="J189" s="23">
        <f t="shared" si="21"/>
        <v>4876.1852580496634</v>
      </c>
      <c r="K189" s="23">
        <f t="shared" si="22"/>
        <v>7653.9630358274408</v>
      </c>
      <c r="L189" s="23">
        <f t="shared" si="30"/>
        <v>511111.11111111566</v>
      </c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2:28" ht="16.5" customHeight="1">
      <c r="B190" s="22">
        <f t="shared" si="23"/>
        <v>177</v>
      </c>
      <c r="C190" s="23">
        <f t="shared" si="24"/>
        <v>1726.9426383241489</v>
      </c>
      <c r="D190" s="23">
        <f t="shared" si="25"/>
        <v>8089.5028671106384</v>
      </c>
      <c r="E190" s="23">
        <f t="shared" si="26"/>
        <v>9816.4455054347873</v>
      </c>
      <c r="F190" s="23">
        <f t="shared" si="27"/>
        <v>850805.39976610057</v>
      </c>
      <c r="G190" s="2"/>
      <c r="H190" s="22">
        <f t="shared" si="28"/>
        <v>177</v>
      </c>
      <c r="I190" s="23">
        <f t="shared" si="29"/>
        <v>2777.7777777777778</v>
      </c>
      <c r="J190" s="23">
        <f t="shared" si="21"/>
        <v>4849.8274998980442</v>
      </c>
      <c r="K190" s="23">
        <f t="shared" si="22"/>
        <v>7627.6052776758224</v>
      </c>
      <c r="L190" s="23">
        <f t="shared" si="30"/>
        <v>508333.33333333791</v>
      </c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2:28" ht="16.5" customHeight="1">
      <c r="B191" s="22">
        <f t="shared" si="23"/>
        <v>178</v>
      </c>
      <c r="C191" s="23">
        <f t="shared" si="24"/>
        <v>1743.3292394291102</v>
      </c>
      <c r="D191" s="23">
        <f t="shared" si="25"/>
        <v>8073.1162660056789</v>
      </c>
      <c r="E191" s="23">
        <f t="shared" si="26"/>
        <v>9816.4455054347891</v>
      </c>
      <c r="F191" s="23">
        <f t="shared" si="27"/>
        <v>849062.07052667148</v>
      </c>
      <c r="G191" s="2"/>
      <c r="H191" s="22">
        <f t="shared" si="28"/>
        <v>178</v>
      </c>
      <c r="I191" s="23">
        <f t="shared" si="29"/>
        <v>2777.7777777777778</v>
      </c>
      <c r="J191" s="23">
        <f t="shared" si="21"/>
        <v>4823.4697417464249</v>
      </c>
      <c r="K191" s="23">
        <f t="shared" si="22"/>
        <v>7601.2475195242023</v>
      </c>
      <c r="L191" s="23">
        <f t="shared" si="30"/>
        <v>505555.55555556016</v>
      </c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2:28" ht="16.5" customHeight="1">
      <c r="B192" s="22">
        <f t="shared" si="23"/>
        <v>179</v>
      </c>
      <c r="C192" s="23">
        <f t="shared" si="24"/>
        <v>1759.8713295988591</v>
      </c>
      <c r="D192" s="23">
        <f t="shared" si="25"/>
        <v>8056.5741758359318</v>
      </c>
      <c r="E192" s="23">
        <f t="shared" si="26"/>
        <v>9816.4455054347909</v>
      </c>
      <c r="F192" s="23">
        <f t="shared" si="27"/>
        <v>847302.19919707265</v>
      </c>
      <c r="G192" s="2"/>
      <c r="H192" s="22">
        <f t="shared" si="28"/>
        <v>179</v>
      </c>
      <c r="I192" s="23">
        <f t="shared" si="29"/>
        <v>2777.7777777777778</v>
      </c>
      <c r="J192" s="23">
        <f t="shared" si="21"/>
        <v>4797.1119835948057</v>
      </c>
      <c r="K192" s="23">
        <f t="shared" si="22"/>
        <v>7574.889761372584</v>
      </c>
      <c r="L192" s="23">
        <f t="shared" si="30"/>
        <v>502777.77777778241</v>
      </c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2:28" ht="16.5" customHeight="1">
      <c r="B193" s="22">
        <f t="shared" si="23"/>
        <v>180</v>
      </c>
      <c r="C193" s="23">
        <f t="shared" si="24"/>
        <v>1776.5703842369312</v>
      </c>
      <c r="D193" s="23">
        <f t="shared" si="25"/>
        <v>8039.8751211978597</v>
      </c>
      <c r="E193" s="23">
        <f t="shared" si="26"/>
        <v>9816.4455054347909</v>
      </c>
      <c r="F193" s="23">
        <f t="shared" si="27"/>
        <v>845525.62881283567</v>
      </c>
      <c r="G193" s="2"/>
      <c r="H193" s="22">
        <f t="shared" si="28"/>
        <v>180</v>
      </c>
      <c r="I193" s="23">
        <f t="shared" si="29"/>
        <v>2777.7777777777778</v>
      </c>
      <c r="J193" s="23">
        <f t="shared" si="21"/>
        <v>4770.7542254431864</v>
      </c>
      <c r="K193" s="23">
        <f t="shared" si="22"/>
        <v>7548.5320032209638</v>
      </c>
      <c r="L193" s="23">
        <f t="shared" si="30"/>
        <v>500000.00000000466</v>
      </c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2:28" ht="16.5" customHeight="1">
      <c r="B194" s="22">
        <f t="shared" si="23"/>
        <v>181</v>
      </c>
      <c r="C194" s="23">
        <f t="shared" si="24"/>
        <v>1793.4278927466685</v>
      </c>
      <c r="D194" s="23">
        <f t="shared" si="25"/>
        <v>8023.0176126881224</v>
      </c>
      <c r="E194" s="23">
        <f t="shared" si="26"/>
        <v>9816.4455054347909</v>
      </c>
      <c r="F194" s="23">
        <f t="shared" si="27"/>
        <v>843732.20092008903</v>
      </c>
      <c r="G194" s="2"/>
      <c r="H194" s="22">
        <f t="shared" si="28"/>
        <v>181</v>
      </c>
      <c r="I194" s="23">
        <f t="shared" si="29"/>
        <v>2777.7777777777778</v>
      </c>
      <c r="J194" s="23">
        <f t="shared" si="21"/>
        <v>4744.3964672915672</v>
      </c>
      <c r="K194" s="23">
        <f t="shared" si="22"/>
        <v>7522.1742450693455</v>
      </c>
      <c r="L194" s="23">
        <f t="shared" si="30"/>
        <v>497222.2222222269</v>
      </c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2:28" ht="16.5" customHeight="1">
      <c r="B195" s="22">
        <f t="shared" si="23"/>
        <v>182</v>
      </c>
      <c r="C195" s="23">
        <f t="shared" si="24"/>
        <v>1810.4453586640475</v>
      </c>
      <c r="D195" s="23">
        <f t="shared" si="25"/>
        <v>8006.0001467707434</v>
      </c>
      <c r="E195" s="23">
        <f t="shared" si="26"/>
        <v>9816.4455054347909</v>
      </c>
      <c r="F195" s="23">
        <f t="shared" si="27"/>
        <v>841921.755561425</v>
      </c>
      <c r="G195" s="2"/>
      <c r="H195" s="22">
        <f t="shared" si="28"/>
        <v>182</v>
      </c>
      <c r="I195" s="23">
        <f t="shared" si="29"/>
        <v>2777.7777777777778</v>
      </c>
      <c r="J195" s="23">
        <f t="shared" si="21"/>
        <v>4718.038709139948</v>
      </c>
      <c r="K195" s="23">
        <f t="shared" si="22"/>
        <v>7495.8164869177253</v>
      </c>
      <c r="L195" s="23">
        <f t="shared" si="30"/>
        <v>494444.44444444915</v>
      </c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2:28" ht="16.5" customHeight="1">
      <c r="B196" s="22">
        <f t="shared" si="23"/>
        <v>183</v>
      </c>
      <c r="C196" s="23">
        <f t="shared" si="24"/>
        <v>1827.6242997917871</v>
      </c>
      <c r="D196" s="23">
        <f t="shared" si="25"/>
        <v>7988.8212056430039</v>
      </c>
      <c r="E196" s="23">
        <f t="shared" si="26"/>
        <v>9816.4455054347909</v>
      </c>
      <c r="F196" s="23">
        <f t="shared" si="27"/>
        <v>840094.13126163324</v>
      </c>
      <c r="G196" s="2"/>
      <c r="H196" s="22">
        <f t="shared" si="28"/>
        <v>183</v>
      </c>
      <c r="I196" s="23">
        <f t="shared" si="29"/>
        <v>2777.7777777777778</v>
      </c>
      <c r="J196" s="23">
        <f t="shared" si="21"/>
        <v>4691.6809509883287</v>
      </c>
      <c r="K196" s="23">
        <f t="shared" si="22"/>
        <v>7469.458728766107</v>
      </c>
      <c r="L196" s="23">
        <f t="shared" si="30"/>
        <v>491666.6666666714</v>
      </c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2:28" ht="16.5" customHeight="1">
      <c r="B197" s="22">
        <f t="shared" si="23"/>
        <v>184</v>
      </c>
      <c r="C197" s="23">
        <f t="shared" si="24"/>
        <v>1844.9662483347238</v>
      </c>
      <c r="D197" s="23">
        <f t="shared" si="25"/>
        <v>7971.4792571000671</v>
      </c>
      <c r="E197" s="23">
        <f t="shared" si="26"/>
        <v>9816.4455054347909</v>
      </c>
      <c r="F197" s="23">
        <f t="shared" si="27"/>
        <v>838249.16501329851</v>
      </c>
      <c r="G197" s="2"/>
      <c r="H197" s="22">
        <f t="shared" si="28"/>
        <v>184</v>
      </c>
      <c r="I197" s="23">
        <f t="shared" si="29"/>
        <v>2777.7777777777778</v>
      </c>
      <c r="J197" s="23">
        <f t="shared" si="21"/>
        <v>4665.3231928367095</v>
      </c>
      <c r="K197" s="23">
        <f t="shared" si="22"/>
        <v>7443.1009706144869</v>
      </c>
      <c r="L197" s="23">
        <f t="shared" si="30"/>
        <v>488888.88888889365</v>
      </c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2:28" ht="16.5" customHeight="1">
      <c r="B198" s="22">
        <f t="shared" si="23"/>
        <v>185</v>
      </c>
      <c r="C198" s="23">
        <f t="shared" si="24"/>
        <v>1862.4727510364664</v>
      </c>
      <c r="D198" s="23">
        <f t="shared" si="25"/>
        <v>7953.9727543983245</v>
      </c>
      <c r="E198" s="23">
        <f t="shared" si="26"/>
        <v>9816.4455054347909</v>
      </c>
      <c r="F198" s="23">
        <f t="shared" si="27"/>
        <v>836386.69226226199</v>
      </c>
      <c r="G198" s="2"/>
      <c r="H198" s="22">
        <f t="shared" si="28"/>
        <v>185</v>
      </c>
      <c r="I198" s="23">
        <f t="shared" si="29"/>
        <v>2777.7777777777778</v>
      </c>
      <c r="J198" s="23">
        <f t="shared" si="21"/>
        <v>4638.9654346850893</v>
      </c>
      <c r="K198" s="23">
        <f t="shared" si="22"/>
        <v>7416.7432124628667</v>
      </c>
      <c r="L198" s="23">
        <f t="shared" si="30"/>
        <v>486111.1111111159</v>
      </c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2:28" ht="16.5" customHeight="1">
      <c r="B199" s="22">
        <f t="shared" si="23"/>
        <v>186</v>
      </c>
      <c r="C199" s="23">
        <f t="shared" si="24"/>
        <v>1880.1453693173553</v>
      </c>
      <c r="D199" s="23">
        <f t="shared" si="25"/>
        <v>7936.3001361174356</v>
      </c>
      <c r="E199" s="23">
        <f t="shared" si="26"/>
        <v>9816.4455054347909</v>
      </c>
      <c r="F199" s="23">
        <f t="shared" si="27"/>
        <v>834506.54689294461</v>
      </c>
      <c r="G199" s="2"/>
      <c r="H199" s="22">
        <f t="shared" si="28"/>
        <v>186</v>
      </c>
      <c r="I199" s="23">
        <f t="shared" si="29"/>
        <v>2777.7777777777778</v>
      </c>
      <c r="J199" s="23">
        <f t="shared" si="21"/>
        <v>4612.6076765334701</v>
      </c>
      <c r="K199" s="23">
        <f t="shared" si="22"/>
        <v>7390.3854543112484</v>
      </c>
      <c r="L199" s="23">
        <f t="shared" si="30"/>
        <v>483333.33333333815</v>
      </c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2:28" ht="16.5" customHeight="1">
      <c r="B200" s="22">
        <f t="shared" si="23"/>
        <v>187</v>
      </c>
      <c r="C200" s="23">
        <f t="shared" si="24"/>
        <v>1897.9856794137231</v>
      </c>
      <c r="D200" s="23">
        <f t="shared" si="25"/>
        <v>7918.4598260210678</v>
      </c>
      <c r="E200" s="23">
        <f t="shared" si="26"/>
        <v>9816.4455054347909</v>
      </c>
      <c r="F200" s="23">
        <f t="shared" si="27"/>
        <v>832608.56121353083</v>
      </c>
      <c r="G200" s="2"/>
      <c r="H200" s="22">
        <f t="shared" si="28"/>
        <v>187</v>
      </c>
      <c r="I200" s="23">
        <f t="shared" si="29"/>
        <v>2777.7777777777778</v>
      </c>
      <c r="J200" s="23">
        <f t="shared" si="21"/>
        <v>4586.2499183818509</v>
      </c>
      <c r="K200" s="23">
        <f t="shared" si="22"/>
        <v>7364.0276961596282</v>
      </c>
      <c r="L200" s="23">
        <f t="shared" si="30"/>
        <v>480555.55555556039</v>
      </c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2:28" ht="16.5" customHeight="1">
      <c r="B201" s="22">
        <f t="shared" si="23"/>
        <v>188</v>
      </c>
      <c r="C201" s="23">
        <f t="shared" si="24"/>
        <v>1915.9952725184821</v>
      </c>
      <c r="D201" s="23">
        <f t="shared" si="25"/>
        <v>7900.450232916307</v>
      </c>
      <c r="E201" s="23">
        <f t="shared" si="26"/>
        <v>9816.4455054347891</v>
      </c>
      <c r="F201" s="23">
        <f t="shared" si="27"/>
        <v>830692.56594101235</v>
      </c>
      <c r="G201" s="2"/>
      <c r="H201" s="22">
        <f t="shared" si="28"/>
        <v>188</v>
      </c>
      <c r="I201" s="23">
        <f t="shared" si="29"/>
        <v>2777.7777777777778</v>
      </c>
      <c r="J201" s="23">
        <f t="shared" si="21"/>
        <v>4559.8921602302316</v>
      </c>
      <c r="K201" s="23">
        <f t="shared" si="22"/>
        <v>7337.6699380080099</v>
      </c>
      <c r="L201" s="23">
        <f t="shared" si="30"/>
        <v>477777.77777778264</v>
      </c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2:28" ht="16.5" customHeight="1">
      <c r="B202" s="22">
        <f t="shared" si="23"/>
        <v>189</v>
      </c>
      <c r="C202" s="23">
        <f t="shared" si="24"/>
        <v>1934.1757549230524</v>
      </c>
      <c r="D202" s="23">
        <f t="shared" si="25"/>
        <v>7882.2697505117385</v>
      </c>
      <c r="E202" s="23">
        <f t="shared" si="26"/>
        <v>9816.4455054347909</v>
      </c>
      <c r="F202" s="23">
        <f t="shared" si="27"/>
        <v>828758.39018608932</v>
      </c>
      <c r="G202" s="2"/>
      <c r="H202" s="22">
        <f t="shared" si="28"/>
        <v>189</v>
      </c>
      <c r="I202" s="23">
        <f t="shared" si="29"/>
        <v>2777.7777777777778</v>
      </c>
      <c r="J202" s="23">
        <f t="shared" si="21"/>
        <v>4533.5344020786124</v>
      </c>
      <c r="K202" s="23">
        <f t="shared" si="22"/>
        <v>7311.3121798563898</v>
      </c>
      <c r="L202" s="23">
        <f t="shared" si="30"/>
        <v>475000.00000000489</v>
      </c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spans="2:28" ht="16.5" customHeight="1">
      <c r="B203" s="22">
        <f t="shared" si="23"/>
        <v>190</v>
      </c>
      <c r="C203" s="23">
        <f t="shared" si="24"/>
        <v>1952.5287481606074</v>
      </c>
      <c r="D203" s="23">
        <f t="shared" si="25"/>
        <v>7863.9167572741835</v>
      </c>
      <c r="E203" s="23">
        <f t="shared" si="26"/>
        <v>9816.4455054347909</v>
      </c>
      <c r="F203" s="23">
        <f t="shared" si="27"/>
        <v>826805.86143792875</v>
      </c>
      <c r="G203" s="2"/>
      <c r="H203" s="22">
        <f t="shared" si="28"/>
        <v>190</v>
      </c>
      <c r="I203" s="23">
        <f t="shared" si="29"/>
        <v>2777.7777777777778</v>
      </c>
      <c r="J203" s="23">
        <f t="shared" si="21"/>
        <v>4507.1766439269932</v>
      </c>
      <c r="K203" s="23">
        <f t="shared" si="22"/>
        <v>7284.9544217047714</v>
      </c>
      <c r="L203" s="23">
        <f t="shared" si="30"/>
        <v>472222.22222222714</v>
      </c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spans="2:28" ht="16.5" customHeight="1">
      <c r="B204" s="22">
        <f t="shared" si="23"/>
        <v>191</v>
      </c>
      <c r="C204" s="23">
        <f t="shared" si="24"/>
        <v>1971.0558891507217</v>
      </c>
      <c r="D204" s="23">
        <f t="shared" si="25"/>
        <v>7845.3896162840674</v>
      </c>
      <c r="E204" s="23">
        <f t="shared" si="26"/>
        <v>9816.4455054347891</v>
      </c>
      <c r="F204" s="23">
        <f t="shared" si="27"/>
        <v>824834.80554877804</v>
      </c>
      <c r="G204" s="2"/>
      <c r="H204" s="22">
        <f t="shared" si="28"/>
        <v>191</v>
      </c>
      <c r="I204" s="23">
        <f t="shared" si="29"/>
        <v>2777.7777777777778</v>
      </c>
      <c r="J204" s="23">
        <f t="shared" si="21"/>
        <v>4480.8188857753739</v>
      </c>
      <c r="K204" s="23">
        <f t="shared" si="22"/>
        <v>7258.5966635531513</v>
      </c>
      <c r="L204" s="23">
        <f t="shared" si="30"/>
        <v>469444.44444444939</v>
      </c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spans="2:28" ht="16.5" customHeight="1">
      <c r="B205" s="22">
        <f t="shared" si="23"/>
        <v>192</v>
      </c>
      <c r="C205" s="23">
        <f t="shared" si="24"/>
        <v>1989.7588303453658</v>
      </c>
      <c r="D205" s="23">
        <f t="shared" si="25"/>
        <v>7826.6866750894251</v>
      </c>
      <c r="E205" s="23">
        <f t="shared" si="26"/>
        <v>9816.4455054347909</v>
      </c>
      <c r="F205" s="23">
        <f t="shared" si="27"/>
        <v>822845.04671843268</v>
      </c>
      <c r="G205" s="2"/>
      <c r="H205" s="22">
        <f t="shared" si="28"/>
        <v>192</v>
      </c>
      <c r="I205" s="23">
        <f t="shared" si="29"/>
        <v>2777.7777777777778</v>
      </c>
      <c r="J205" s="23">
        <f t="shared" si="21"/>
        <v>4454.4611276237547</v>
      </c>
      <c r="K205" s="23">
        <f t="shared" si="22"/>
        <v>7232.238905401533</v>
      </c>
      <c r="L205" s="23">
        <f t="shared" si="30"/>
        <v>466666.66666667163</v>
      </c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spans="2:28" ht="16.5" customHeight="1">
      <c r="B206" s="22">
        <f t="shared" si="23"/>
        <v>193</v>
      </c>
      <c r="C206" s="23">
        <f t="shared" si="24"/>
        <v>2008.6392398762691</v>
      </c>
      <c r="D206" s="23">
        <f t="shared" si="25"/>
        <v>7807.80626555852</v>
      </c>
      <c r="E206" s="23">
        <f t="shared" si="26"/>
        <v>9816.4455054347891</v>
      </c>
      <c r="F206" s="23">
        <f t="shared" si="27"/>
        <v>820836.40747855639</v>
      </c>
      <c r="G206" s="2"/>
      <c r="H206" s="22">
        <f t="shared" si="28"/>
        <v>193</v>
      </c>
      <c r="I206" s="23">
        <f t="shared" si="29"/>
        <v>2777.7777777777778</v>
      </c>
      <c r="J206" s="23">
        <f t="shared" ref="J206:J269" si="31">+L205*$E$9</f>
        <v>4428.1033694721355</v>
      </c>
      <c r="K206" s="23">
        <f t="shared" ref="K206:K269" si="32">I206+J206</f>
        <v>7205.8811472499128</v>
      </c>
      <c r="L206" s="23">
        <f t="shared" si="30"/>
        <v>463888.88888889388</v>
      </c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spans="2:28" ht="16.5" customHeight="1">
      <c r="B207" s="22">
        <f t="shared" ref="B207:B270" si="33">+B206+1</f>
        <v>194</v>
      </c>
      <c r="C207" s="23">
        <f t="shared" ref="C207:C270" si="34">IFERROR(E207-D207,0)</f>
        <v>2027.6988017037329</v>
      </c>
      <c r="D207" s="23">
        <f t="shared" ref="D207:D270" si="35">IFERROR(+F206*$E$9,0)</f>
        <v>7788.7467037310562</v>
      </c>
      <c r="E207" s="23">
        <f t="shared" ref="E207:E270" si="36">IFERROR(-PMT($E$9,$E$7-B206,F206),0)</f>
        <v>9816.4455054347891</v>
      </c>
      <c r="F207" s="23">
        <f t="shared" ref="F207:F270" si="37">IFERROR(F206-C207,0)</f>
        <v>818808.70867685264</v>
      </c>
      <c r="G207" s="2"/>
      <c r="H207" s="22">
        <f t="shared" ref="H207:H270" si="38">+H206+1</f>
        <v>194</v>
      </c>
      <c r="I207" s="23">
        <f t="shared" si="29"/>
        <v>2777.7777777777778</v>
      </c>
      <c r="J207" s="23">
        <f t="shared" si="31"/>
        <v>4401.7456113205162</v>
      </c>
      <c r="K207" s="23">
        <f t="shared" si="32"/>
        <v>7179.5233890982945</v>
      </c>
      <c r="L207" s="23">
        <f t="shared" si="30"/>
        <v>461111.11111111613</v>
      </c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spans="2:28" ht="16.5" customHeight="1">
      <c r="B208" s="22">
        <f t="shared" si="33"/>
        <v>195</v>
      </c>
      <c r="C208" s="23">
        <f t="shared" si="34"/>
        <v>2046.9392157668026</v>
      </c>
      <c r="D208" s="23">
        <f t="shared" si="35"/>
        <v>7769.5062896679865</v>
      </c>
      <c r="E208" s="23">
        <f t="shared" si="36"/>
        <v>9816.4455054347891</v>
      </c>
      <c r="F208" s="23">
        <f t="shared" si="37"/>
        <v>816761.76946108579</v>
      </c>
      <c r="G208" s="2"/>
      <c r="H208" s="22">
        <f t="shared" si="38"/>
        <v>195</v>
      </c>
      <c r="I208" s="23">
        <f t="shared" ref="I208:I271" si="39">IF(H208&gt;$E$7,0,I207)</f>
        <v>2777.7777777777778</v>
      </c>
      <c r="J208" s="23">
        <f t="shared" si="31"/>
        <v>4375.3878531688961</v>
      </c>
      <c r="K208" s="23">
        <f t="shared" si="32"/>
        <v>7153.1656309466744</v>
      </c>
      <c r="L208" s="23">
        <f t="shared" si="30"/>
        <v>458333.33333333838</v>
      </c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spans="2:28" ht="16.5" customHeight="1">
      <c r="B209" s="22">
        <f t="shared" si="33"/>
        <v>196</v>
      </c>
      <c r="C209" s="23">
        <f t="shared" si="34"/>
        <v>2066.3621981348915</v>
      </c>
      <c r="D209" s="23">
        <f t="shared" si="35"/>
        <v>7750.0833072998976</v>
      </c>
      <c r="E209" s="23">
        <f t="shared" si="36"/>
        <v>9816.4455054347891</v>
      </c>
      <c r="F209" s="23">
        <f t="shared" si="37"/>
        <v>814695.4072629509</v>
      </c>
      <c r="G209" s="2"/>
      <c r="H209" s="22">
        <f t="shared" si="38"/>
        <v>196</v>
      </c>
      <c r="I209" s="23">
        <f t="shared" si="39"/>
        <v>2777.7777777777778</v>
      </c>
      <c r="J209" s="23">
        <f t="shared" si="31"/>
        <v>4349.0300950172768</v>
      </c>
      <c r="K209" s="23">
        <f t="shared" si="32"/>
        <v>7126.8078727950542</v>
      </c>
      <c r="L209" s="23">
        <f t="shared" si="30"/>
        <v>455555.55555556063</v>
      </c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spans="2:28" ht="16.5" customHeight="1">
      <c r="B210" s="22">
        <f t="shared" si="33"/>
        <v>197</v>
      </c>
      <c r="C210" s="23">
        <f t="shared" si="34"/>
        <v>2085.9694811608415</v>
      </c>
      <c r="D210" s="23">
        <f t="shared" si="35"/>
        <v>7730.4760242739458</v>
      </c>
      <c r="E210" s="23">
        <f t="shared" si="36"/>
        <v>9816.4455054347873</v>
      </c>
      <c r="F210" s="23">
        <f t="shared" si="37"/>
        <v>812609.43778179004</v>
      </c>
      <c r="G210" s="2"/>
      <c r="H210" s="22">
        <f t="shared" si="38"/>
        <v>197</v>
      </c>
      <c r="I210" s="23">
        <f t="shared" si="39"/>
        <v>2777.7777777777778</v>
      </c>
      <c r="J210" s="23">
        <f t="shared" si="31"/>
        <v>4322.6723368656576</v>
      </c>
      <c r="K210" s="23">
        <f t="shared" si="32"/>
        <v>7100.4501146434359</v>
      </c>
      <c r="L210" s="23">
        <f t="shared" si="30"/>
        <v>452777.77777778287</v>
      </c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spans="2:28" ht="16.5" customHeight="1">
      <c r="B211" s="22">
        <f t="shared" si="33"/>
        <v>198</v>
      </c>
      <c r="C211" s="23">
        <f t="shared" si="34"/>
        <v>2105.7628136354388</v>
      </c>
      <c r="D211" s="23">
        <f t="shared" si="35"/>
        <v>7710.6826917993503</v>
      </c>
      <c r="E211" s="23">
        <f t="shared" si="36"/>
        <v>9816.4455054347891</v>
      </c>
      <c r="F211" s="23">
        <f t="shared" si="37"/>
        <v>810503.67496815464</v>
      </c>
      <c r="G211" s="2"/>
      <c r="H211" s="22">
        <f t="shared" si="38"/>
        <v>198</v>
      </c>
      <c r="I211" s="23">
        <f t="shared" si="39"/>
        <v>2777.7777777777778</v>
      </c>
      <c r="J211" s="23">
        <f t="shared" si="31"/>
        <v>4296.3145787140384</v>
      </c>
      <c r="K211" s="23">
        <f t="shared" si="32"/>
        <v>7074.0923564918157</v>
      </c>
      <c r="L211" s="23">
        <f t="shared" si="30"/>
        <v>450000.00000000512</v>
      </c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spans="2:28" ht="16.5" customHeight="1">
      <c r="B212" s="22">
        <f t="shared" si="33"/>
        <v>199</v>
      </c>
      <c r="C212" s="23">
        <f t="shared" si="34"/>
        <v>2125.7439609433704</v>
      </c>
      <c r="D212" s="23">
        <f t="shared" si="35"/>
        <v>7690.7015444914186</v>
      </c>
      <c r="E212" s="23">
        <f t="shared" si="36"/>
        <v>9816.4455054347891</v>
      </c>
      <c r="F212" s="23">
        <f t="shared" si="37"/>
        <v>808377.93100721121</v>
      </c>
      <c r="G212" s="2"/>
      <c r="H212" s="22">
        <f t="shared" si="38"/>
        <v>199</v>
      </c>
      <c r="I212" s="23">
        <f t="shared" si="39"/>
        <v>2777.7777777777778</v>
      </c>
      <c r="J212" s="23">
        <f t="shared" si="31"/>
        <v>4269.9568205624191</v>
      </c>
      <c r="K212" s="23">
        <f t="shared" si="32"/>
        <v>7047.7345983401974</v>
      </c>
      <c r="L212" s="23">
        <f t="shared" si="30"/>
        <v>447222.22222222737</v>
      </c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spans="2:28" ht="16.5" customHeight="1">
      <c r="B213" s="22">
        <f t="shared" si="33"/>
        <v>200</v>
      </c>
      <c r="C213" s="23">
        <f t="shared" si="34"/>
        <v>2145.9147052207009</v>
      </c>
      <c r="D213" s="23">
        <f t="shared" si="35"/>
        <v>7670.5308002140864</v>
      </c>
      <c r="E213" s="23">
        <f t="shared" si="36"/>
        <v>9816.4455054347873</v>
      </c>
      <c r="F213" s="23">
        <f t="shared" si="37"/>
        <v>806232.01630199049</v>
      </c>
      <c r="G213" s="2"/>
      <c r="H213" s="22">
        <f t="shared" si="38"/>
        <v>200</v>
      </c>
      <c r="I213" s="23">
        <f t="shared" si="39"/>
        <v>2777.7777777777778</v>
      </c>
      <c r="J213" s="23">
        <f t="shared" si="31"/>
        <v>4243.5990624107999</v>
      </c>
      <c r="K213" s="23">
        <f t="shared" si="32"/>
        <v>7021.3768401885773</v>
      </c>
      <c r="L213" s="23">
        <f t="shared" si="30"/>
        <v>444444.44444444962</v>
      </c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spans="2:28" ht="16.5" customHeight="1">
      <c r="B214" s="22">
        <f t="shared" si="33"/>
        <v>201</v>
      </c>
      <c r="C214" s="23">
        <f t="shared" si="34"/>
        <v>2166.2768455138166</v>
      </c>
      <c r="D214" s="23">
        <f t="shared" si="35"/>
        <v>7650.1686599209706</v>
      </c>
      <c r="E214" s="23">
        <f t="shared" si="36"/>
        <v>9816.4455054347873</v>
      </c>
      <c r="F214" s="23">
        <f t="shared" si="37"/>
        <v>804065.73945647664</v>
      </c>
      <c r="G214" s="2"/>
      <c r="H214" s="22">
        <f t="shared" si="38"/>
        <v>201</v>
      </c>
      <c r="I214" s="23">
        <f t="shared" si="39"/>
        <v>2777.7777777777778</v>
      </c>
      <c r="J214" s="23">
        <f t="shared" si="31"/>
        <v>4217.2413042591807</v>
      </c>
      <c r="K214" s="23">
        <f t="shared" si="32"/>
        <v>6995.0190820369589</v>
      </c>
      <c r="L214" s="23">
        <f t="shared" si="30"/>
        <v>441666.66666667187</v>
      </c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spans="2:28" ht="16.5" customHeight="1">
      <c r="B215" s="22">
        <f t="shared" si="33"/>
        <v>202</v>
      </c>
      <c r="C215" s="23">
        <f t="shared" si="34"/>
        <v>2186.8321979398797</v>
      </c>
      <c r="D215" s="23">
        <f t="shared" si="35"/>
        <v>7629.6133074949075</v>
      </c>
      <c r="E215" s="23">
        <f t="shared" si="36"/>
        <v>9816.4455054347873</v>
      </c>
      <c r="F215" s="23">
        <f t="shared" si="37"/>
        <v>801878.90725853678</v>
      </c>
      <c r="G215" s="2"/>
      <c r="H215" s="22">
        <f t="shared" si="38"/>
        <v>202</v>
      </c>
      <c r="I215" s="23">
        <f t="shared" si="39"/>
        <v>2777.7777777777778</v>
      </c>
      <c r="J215" s="23">
        <f t="shared" si="31"/>
        <v>4190.8835461075614</v>
      </c>
      <c r="K215" s="23">
        <f t="shared" si="32"/>
        <v>6968.6613238853388</v>
      </c>
      <c r="L215" s="23">
        <f t="shared" si="30"/>
        <v>438888.88888889411</v>
      </c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spans="2:28" ht="16.5" customHeight="1">
      <c r="B216" s="22">
        <f t="shared" si="33"/>
        <v>203</v>
      </c>
      <c r="C216" s="23">
        <f t="shared" si="34"/>
        <v>2207.5825958488103</v>
      </c>
      <c r="D216" s="23">
        <f t="shared" si="35"/>
        <v>7608.8629095859769</v>
      </c>
      <c r="E216" s="23">
        <f t="shared" si="36"/>
        <v>9816.4455054347873</v>
      </c>
      <c r="F216" s="23">
        <f t="shared" si="37"/>
        <v>799671.32466268796</v>
      </c>
      <c r="G216" s="2"/>
      <c r="H216" s="22">
        <f t="shared" si="38"/>
        <v>203</v>
      </c>
      <c r="I216" s="23">
        <f t="shared" si="39"/>
        <v>2777.7777777777778</v>
      </c>
      <c r="J216" s="23">
        <f t="shared" si="31"/>
        <v>4164.5257879559422</v>
      </c>
      <c r="K216" s="23">
        <f t="shared" si="32"/>
        <v>6942.3035657337205</v>
      </c>
      <c r="L216" s="23">
        <f t="shared" si="30"/>
        <v>436111.11111111636</v>
      </c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spans="2:28" ht="16.5" customHeight="1">
      <c r="B217" s="22">
        <f t="shared" si="33"/>
        <v>204</v>
      </c>
      <c r="C217" s="23">
        <f t="shared" si="34"/>
        <v>2228.5298899868085</v>
      </c>
      <c r="D217" s="23">
        <f t="shared" si="35"/>
        <v>7587.9156154479788</v>
      </c>
      <c r="E217" s="23">
        <f t="shared" si="36"/>
        <v>9816.4455054347873</v>
      </c>
      <c r="F217" s="23">
        <f t="shared" si="37"/>
        <v>797442.79477270111</v>
      </c>
      <c r="G217" s="2"/>
      <c r="H217" s="22">
        <f t="shared" si="38"/>
        <v>204</v>
      </c>
      <c r="I217" s="23">
        <f t="shared" si="39"/>
        <v>2777.7777777777778</v>
      </c>
      <c r="J217" s="23">
        <f t="shared" si="31"/>
        <v>4138.1680298043229</v>
      </c>
      <c r="K217" s="23">
        <f t="shared" si="32"/>
        <v>6915.9458075821003</v>
      </c>
      <c r="L217" s="23">
        <f t="shared" si="30"/>
        <v>433333.33333333861</v>
      </c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spans="2:28" ht="16.5" customHeight="1">
      <c r="B218" s="22">
        <f t="shared" si="33"/>
        <v>205</v>
      </c>
      <c r="C218" s="23">
        <f t="shared" si="34"/>
        <v>2249.6759486614228</v>
      </c>
      <c r="D218" s="23">
        <f t="shared" si="35"/>
        <v>7566.7695567733645</v>
      </c>
      <c r="E218" s="23">
        <f t="shared" si="36"/>
        <v>9816.4455054347873</v>
      </c>
      <c r="F218" s="23">
        <f t="shared" si="37"/>
        <v>795193.1188240397</v>
      </c>
      <c r="G218" s="2"/>
      <c r="H218" s="22">
        <f t="shared" si="38"/>
        <v>205</v>
      </c>
      <c r="I218" s="23">
        <f t="shared" si="39"/>
        <v>2777.7777777777778</v>
      </c>
      <c r="J218" s="23">
        <f t="shared" si="31"/>
        <v>4111.8102716527028</v>
      </c>
      <c r="K218" s="23">
        <f t="shared" si="32"/>
        <v>6889.5880494304802</v>
      </c>
      <c r="L218" s="23">
        <f t="shared" ref="L218:L281" si="40">IF(H218&gt;$E$7,0,IFERROR(L217-I218,0)-N218)</f>
        <v>430555.55555556086</v>
      </c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spans="2:28" ht="16.5" customHeight="1">
      <c r="B219" s="22">
        <f t="shared" si="33"/>
        <v>206</v>
      </c>
      <c r="C219" s="23">
        <f t="shared" si="34"/>
        <v>2271.0226579081827</v>
      </c>
      <c r="D219" s="23">
        <f t="shared" si="35"/>
        <v>7545.4228475266045</v>
      </c>
      <c r="E219" s="23">
        <f t="shared" si="36"/>
        <v>9816.4455054347873</v>
      </c>
      <c r="F219" s="23">
        <f t="shared" si="37"/>
        <v>792922.09616613155</v>
      </c>
      <c r="G219" s="2"/>
      <c r="H219" s="22">
        <f t="shared" si="38"/>
        <v>206</v>
      </c>
      <c r="I219" s="23">
        <f t="shared" si="39"/>
        <v>2777.7777777777778</v>
      </c>
      <c r="J219" s="23">
        <f t="shared" si="31"/>
        <v>4085.452513501084</v>
      </c>
      <c r="K219" s="23">
        <f t="shared" si="32"/>
        <v>6863.2302912788618</v>
      </c>
      <c r="L219" s="23">
        <f t="shared" si="40"/>
        <v>427777.77777778311</v>
      </c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spans="2:28" ht="16.5" customHeight="1">
      <c r="B220" s="22">
        <f t="shared" si="33"/>
        <v>207</v>
      </c>
      <c r="C220" s="23">
        <f t="shared" si="34"/>
        <v>2292.5719216588195</v>
      </c>
      <c r="D220" s="23">
        <f t="shared" si="35"/>
        <v>7523.8735837759677</v>
      </c>
      <c r="E220" s="23">
        <f t="shared" si="36"/>
        <v>9816.4455054347873</v>
      </c>
      <c r="F220" s="23">
        <f t="shared" si="37"/>
        <v>790629.52424447273</v>
      </c>
      <c r="G220" s="2"/>
      <c r="H220" s="22">
        <f t="shared" si="38"/>
        <v>207</v>
      </c>
      <c r="I220" s="23">
        <f t="shared" si="39"/>
        <v>2777.7777777777778</v>
      </c>
      <c r="J220" s="23">
        <f t="shared" si="31"/>
        <v>4059.0947553494648</v>
      </c>
      <c r="K220" s="23">
        <f t="shared" si="32"/>
        <v>6836.8725331272426</v>
      </c>
      <c r="L220" s="23">
        <f t="shared" si="40"/>
        <v>425000.00000000536</v>
      </c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spans="2:28" ht="16.5" customHeight="1">
      <c r="B221" s="22">
        <f t="shared" si="33"/>
        <v>208</v>
      </c>
      <c r="C221" s="23">
        <f t="shared" si="34"/>
        <v>2314.3256619110798</v>
      </c>
      <c r="D221" s="23">
        <f t="shared" si="35"/>
        <v>7502.1198435237075</v>
      </c>
      <c r="E221" s="23">
        <f t="shared" si="36"/>
        <v>9816.4455054347873</v>
      </c>
      <c r="F221" s="23">
        <f t="shared" si="37"/>
        <v>788315.19858256169</v>
      </c>
      <c r="G221" s="2"/>
      <c r="H221" s="22">
        <f t="shared" si="38"/>
        <v>208</v>
      </c>
      <c r="I221" s="23">
        <f t="shared" si="39"/>
        <v>2777.7777777777778</v>
      </c>
      <c r="J221" s="23">
        <f t="shared" si="31"/>
        <v>4032.7369971978451</v>
      </c>
      <c r="K221" s="23">
        <f t="shared" si="32"/>
        <v>6810.5147749756234</v>
      </c>
      <c r="L221" s="23">
        <f t="shared" si="40"/>
        <v>422222.2222222276</v>
      </c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2:28" ht="16.5" customHeight="1">
      <c r="B222" s="22">
        <f t="shared" si="33"/>
        <v>209</v>
      </c>
      <c r="C222" s="23">
        <f t="shared" si="34"/>
        <v>2336.2858189001454</v>
      </c>
      <c r="D222" s="23">
        <f t="shared" si="35"/>
        <v>7480.1596865346419</v>
      </c>
      <c r="E222" s="23">
        <f t="shared" si="36"/>
        <v>9816.4455054347873</v>
      </c>
      <c r="F222" s="23">
        <f t="shared" si="37"/>
        <v>785978.91276366159</v>
      </c>
      <c r="G222" s="2"/>
      <c r="H222" s="22">
        <f t="shared" si="38"/>
        <v>209</v>
      </c>
      <c r="I222" s="23">
        <f t="shared" si="39"/>
        <v>2777.7777777777778</v>
      </c>
      <c r="J222" s="23">
        <f t="shared" si="31"/>
        <v>4006.3792390462258</v>
      </c>
      <c r="K222" s="23">
        <f t="shared" si="32"/>
        <v>6784.1570168240032</v>
      </c>
      <c r="L222" s="23">
        <f t="shared" si="40"/>
        <v>419444.44444444985</v>
      </c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2:28" ht="16.5" customHeight="1">
      <c r="B223" s="22">
        <f t="shared" si="33"/>
        <v>210</v>
      </c>
      <c r="C223" s="23">
        <f t="shared" si="34"/>
        <v>2358.4543512716928</v>
      </c>
      <c r="D223" s="23">
        <f t="shared" si="35"/>
        <v>7457.9911541630963</v>
      </c>
      <c r="E223" s="23">
        <f t="shared" si="36"/>
        <v>9816.4455054347891</v>
      </c>
      <c r="F223" s="23">
        <f t="shared" si="37"/>
        <v>783620.45841238985</v>
      </c>
      <c r="G223" s="2"/>
      <c r="H223" s="22">
        <f t="shared" si="38"/>
        <v>210</v>
      </c>
      <c r="I223" s="23">
        <f t="shared" si="39"/>
        <v>2777.7777777777778</v>
      </c>
      <c r="J223" s="23">
        <f t="shared" si="31"/>
        <v>3980.0214808946066</v>
      </c>
      <c r="K223" s="23">
        <f t="shared" si="32"/>
        <v>6757.7992586723849</v>
      </c>
      <c r="L223" s="23">
        <f t="shared" si="40"/>
        <v>416666.6666666721</v>
      </c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spans="2:28" ht="16.5" customHeight="1">
      <c r="B224" s="22">
        <f t="shared" si="33"/>
        <v>211</v>
      </c>
      <c r="C224" s="23">
        <f t="shared" si="34"/>
        <v>2380.8332362565752</v>
      </c>
      <c r="D224" s="23">
        <f t="shared" si="35"/>
        <v>7435.612269178212</v>
      </c>
      <c r="E224" s="23">
        <f t="shared" si="36"/>
        <v>9816.4455054347873</v>
      </c>
      <c r="F224" s="23">
        <f t="shared" si="37"/>
        <v>781239.62517613324</v>
      </c>
      <c r="G224" s="2"/>
      <c r="H224" s="22">
        <f t="shared" si="38"/>
        <v>211</v>
      </c>
      <c r="I224" s="23">
        <f t="shared" si="39"/>
        <v>2777.7777777777778</v>
      </c>
      <c r="J224" s="23">
        <f t="shared" si="31"/>
        <v>3953.6637227429874</v>
      </c>
      <c r="K224" s="23">
        <f t="shared" si="32"/>
        <v>6731.4415005207647</v>
      </c>
      <c r="L224" s="23">
        <f t="shared" si="40"/>
        <v>413888.88888889435</v>
      </c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spans="2:28" ht="16.5" customHeight="1">
      <c r="B225" s="22">
        <f t="shared" si="33"/>
        <v>212</v>
      </c>
      <c r="C225" s="23">
        <f t="shared" si="34"/>
        <v>2403.4244698471875</v>
      </c>
      <c r="D225" s="23">
        <f t="shared" si="35"/>
        <v>7413.0210355875997</v>
      </c>
      <c r="E225" s="23">
        <f t="shared" si="36"/>
        <v>9816.4455054347873</v>
      </c>
      <c r="F225" s="23">
        <f t="shared" si="37"/>
        <v>778836.20070628601</v>
      </c>
      <c r="G225" s="2"/>
      <c r="H225" s="22">
        <f t="shared" si="38"/>
        <v>212</v>
      </c>
      <c r="I225" s="23">
        <f t="shared" si="39"/>
        <v>2777.7777777777778</v>
      </c>
      <c r="J225" s="23">
        <f t="shared" si="31"/>
        <v>3927.3059645913681</v>
      </c>
      <c r="K225" s="23">
        <f t="shared" si="32"/>
        <v>6705.0837423691464</v>
      </c>
      <c r="L225" s="23">
        <f t="shared" si="40"/>
        <v>411111.1111111166</v>
      </c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spans="2:28" ht="16.5" customHeight="1">
      <c r="B226" s="22">
        <f t="shared" si="33"/>
        <v>213</v>
      </c>
      <c r="C226" s="23">
        <f t="shared" si="34"/>
        <v>2426.2300669754777</v>
      </c>
      <c r="D226" s="23">
        <f t="shared" si="35"/>
        <v>7390.2154384593096</v>
      </c>
      <c r="E226" s="23">
        <f t="shared" si="36"/>
        <v>9816.4455054347873</v>
      </c>
      <c r="F226" s="23">
        <f t="shared" si="37"/>
        <v>776409.97063931054</v>
      </c>
      <c r="G226" s="2"/>
      <c r="H226" s="22">
        <f t="shared" si="38"/>
        <v>213</v>
      </c>
      <c r="I226" s="23">
        <f t="shared" si="39"/>
        <v>2777.7777777777778</v>
      </c>
      <c r="J226" s="23">
        <f t="shared" si="31"/>
        <v>3900.9482064397484</v>
      </c>
      <c r="K226" s="23">
        <f t="shared" si="32"/>
        <v>6678.7259842175263</v>
      </c>
      <c r="L226" s="23">
        <f t="shared" si="40"/>
        <v>408333.33333333884</v>
      </c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spans="2:28" ht="16.5" customHeight="1">
      <c r="B227" s="22">
        <f t="shared" si="33"/>
        <v>214</v>
      </c>
      <c r="C227" s="23">
        <f t="shared" si="34"/>
        <v>2449.2520616926677</v>
      </c>
      <c r="D227" s="23">
        <f t="shared" si="35"/>
        <v>7367.1934437421196</v>
      </c>
      <c r="E227" s="23">
        <f t="shared" si="36"/>
        <v>9816.4455054347873</v>
      </c>
      <c r="F227" s="23">
        <f t="shared" si="37"/>
        <v>773960.7185776179</v>
      </c>
      <c r="G227" s="2"/>
      <c r="H227" s="22">
        <f t="shared" si="38"/>
        <v>214</v>
      </c>
      <c r="I227" s="23">
        <f t="shared" si="39"/>
        <v>2777.7777777777778</v>
      </c>
      <c r="J227" s="23">
        <f t="shared" si="31"/>
        <v>3874.5904482881292</v>
      </c>
      <c r="K227" s="23">
        <f t="shared" si="32"/>
        <v>6652.368226065907</v>
      </c>
      <c r="L227" s="23">
        <f t="shared" si="40"/>
        <v>405555.55555556109</v>
      </c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spans="2:28" ht="16.5" customHeight="1">
      <c r="B228" s="22">
        <f t="shared" si="33"/>
        <v>215</v>
      </c>
      <c r="C228" s="23">
        <f t="shared" si="34"/>
        <v>2472.4925073506693</v>
      </c>
      <c r="D228" s="23">
        <f t="shared" si="35"/>
        <v>7343.952998084118</v>
      </c>
      <c r="E228" s="23">
        <f t="shared" si="36"/>
        <v>9816.4455054347873</v>
      </c>
      <c r="F228" s="23">
        <f t="shared" si="37"/>
        <v>771488.22607026726</v>
      </c>
      <c r="G228" s="2"/>
      <c r="H228" s="22">
        <f t="shared" si="38"/>
        <v>215</v>
      </c>
      <c r="I228" s="23">
        <f t="shared" si="39"/>
        <v>2777.7777777777778</v>
      </c>
      <c r="J228" s="23">
        <f t="shared" si="31"/>
        <v>3848.23269013651</v>
      </c>
      <c r="K228" s="23">
        <f t="shared" si="32"/>
        <v>6626.0104679142878</v>
      </c>
      <c r="L228" s="23">
        <f t="shared" si="40"/>
        <v>402777.77777778334</v>
      </c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spans="2:28" ht="16.5" customHeight="1">
      <c r="B229" s="22">
        <f t="shared" si="33"/>
        <v>216</v>
      </c>
      <c r="C229" s="23">
        <f t="shared" si="34"/>
        <v>2495.9534767852274</v>
      </c>
      <c r="D229" s="23">
        <f t="shared" si="35"/>
        <v>7320.4920286495599</v>
      </c>
      <c r="E229" s="23">
        <f t="shared" si="36"/>
        <v>9816.4455054347873</v>
      </c>
      <c r="F229" s="23">
        <f t="shared" si="37"/>
        <v>768992.27259348205</v>
      </c>
      <c r="G229" s="2"/>
      <c r="H229" s="22">
        <f t="shared" si="38"/>
        <v>216</v>
      </c>
      <c r="I229" s="23">
        <f t="shared" si="39"/>
        <v>2777.7777777777778</v>
      </c>
      <c r="J229" s="23">
        <f t="shared" si="31"/>
        <v>3821.8749319848907</v>
      </c>
      <c r="K229" s="23">
        <f t="shared" si="32"/>
        <v>6599.6527097626686</v>
      </c>
      <c r="L229" s="23">
        <f t="shared" si="40"/>
        <v>400000.00000000559</v>
      </c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spans="2:28" ht="16.5" customHeight="1">
      <c r="B230" s="22">
        <f t="shared" si="33"/>
        <v>217</v>
      </c>
      <c r="C230" s="23">
        <f t="shared" si="34"/>
        <v>2519.6370625007949</v>
      </c>
      <c r="D230" s="23">
        <f t="shared" si="35"/>
        <v>7296.8084429339924</v>
      </c>
      <c r="E230" s="23">
        <f t="shared" si="36"/>
        <v>9816.4455054347873</v>
      </c>
      <c r="F230" s="23">
        <f t="shared" si="37"/>
        <v>766472.63553098124</v>
      </c>
      <c r="G230" s="2"/>
      <c r="H230" s="22">
        <f t="shared" si="38"/>
        <v>217</v>
      </c>
      <c r="I230" s="23">
        <f t="shared" si="39"/>
        <v>2777.7777777777778</v>
      </c>
      <c r="J230" s="23">
        <f t="shared" si="31"/>
        <v>3795.5171738332715</v>
      </c>
      <c r="K230" s="23">
        <f t="shared" si="32"/>
        <v>6573.2949516110493</v>
      </c>
      <c r="L230" s="23">
        <f t="shared" si="40"/>
        <v>397222.22222222784</v>
      </c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spans="2:28" ht="16.5" customHeight="1">
      <c r="B231" s="22">
        <f t="shared" si="33"/>
        <v>218</v>
      </c>
      <c r="C231" s="23">
        <f t="shared" si="34"/>
        <v>2543.545376857167</v>
      </c>
      <c r="D231" s="23">
        <f t="shared" si="35"/>
        <v>7272.9001285776203</v>
      </c>
      <c r="E231" s="23">
        <f t="shared" si="36"/>
        <v>9816.4455054347873</v>
      </c>
      <c r="F231" s="23">
        <f t="shared" si="37"/>
        <v>763929.09015412407</v>
      </c>
      <c r="G231" s="2"/>
      <c r="H231" s="22">
        <f t="shared" si="38"/>
        <v>218</v>
      </c>
      <c r="I231" s="23">
        <f t="shared" si="39"/>
        <v>2777.7777777777778</v>
      </c>
      <c r="J231" s="23">
        <f t="shared" si="31"/>
        <v>3769.1594156816518</v>
      </c>
      <c r="K231" s="23">
        <f t="shared" si="32"/>
        <v>6546.9371934594292</v>
      </c>
      <c r="L231" s="23">
        <f t="shared" si="40"/>
        <v>394444.44444445008</v>
      </c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spans="2:28" ht="16.5" customHeight="1">
      <c r="B232" s="22">
        <f t="shared" si="33"/>
        <v>219</v>
      </c>
      <c r="C232" s="23">
        <f t="shared" si="34"/>
        <v>2567.6805522578798</v>
      </c>
      <c r="D232" s="23">
        <f t="shared" si="35"/>
        <v>7248.7649531769075</v>
      </c>
      <c r="E232" s="23">
        <f t="shared" si="36"/>
        <v>9816.4455054347873</v>
      </c>
      <c r="F232" s="23">
        <f t="shared" si="37"/>
        <v>761361.40960186615</v>
      </c>
      <c r="G232" s="2"/>
      <c r="H232" s="22">
        <f t="shared" si="38"/>
        <v>219</v>
      </c>
      <c r="I232" s="23">
        <f t="shared" si="39"/>
        <v>2777.7777777777778</v>
      </c>
      <c r="J232" s="23">
        <f t="shared" si="31"/>
        <v>3742.8016575300326</v>
      </c>
      <c r="K232" s="23">
        <f t="shared" si="32"/>
        <v>6520.5794353078109</v>
      </c>
      <c r="L232" s="23">
        <f t="shared" si="40"/>
        <v>391666.66666667233</v>
      </c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spans="2:28" ht="16.5" customHeight="1">
      <c r="B233" s="22">
        <f t="shared" si="33"/>
        <v>220</v>
      </c>
      <c r="C233" s="23">
        <f t="shared" si="34"/>
        <v>2592.0447413404136</v>
      </c>
      <c r="D233" s="23">
        <f t="shared" si="35"/>
        <v>7224.4007640943755</v>
      </c>
      <c r="E233" s="23">
        <f t="shared" si="36"/>
        <v>9816.4455054347891</v>
      </c>
      <c r="F233" s="23">
        <f t="shared" si="37"/>
        <v>758769.3648605257</v>
      </c>
      <c r="G233" s="2"/>
      <c r="H233" s="22">
        <f t="shared" si="38"/>
        <v>220</v>
      </c>
      <c r="I233" s="23">
        <f t="shared" si="39"/>
        <v>2777.7777777777778</v>
      </c>
      <c r="J233" s="23">
        <f t="shared" si="31"/>
        <v>3716.4438993784133</v>
      </c>
      <c r="K233" s="23">
        <f t="shared" si="32"/>
        <v>6494.2216771561907</v>
      </c>
      <c r="L233" s="23">
        <f t="shared" si="40"/>
        <v>388888.88888889458</v>
      </c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spans="2:28" ht="16.5" customHeight="1">
      <c r="B234" s="22">
        <f t="shared" si="33"/>
        <v>221</v>
      </c>
      <c r="C234" s="23">
        <f t="shared" si="34"/>
        <v>2616.6401171681637</v>
      </c>
      <c r="D234" s="23">
        <f t="shared" si="35"/>
        <v>7199.8053882666218</v>
      </c>
      <c r="E234" s="23">
        <f t="shared" si="36"/>
        <v>9816.4455054347854</v>
      </c>
      <c r="F234" s="23">
        <f t="shared" si="37"/>
        <v>756152.72474335751</v>
      </c>
      <c r="G234" s="2"/>
      <c r="H234" s="22">
        <f t="shared" si="38"/>
        <v>221</v>
      </c>
      <c r="I234" s="23">
        <f t="shared" si="39"/>
        <v>2777.7777777777778</v>
      </c>
      <c r="J234" s="23">
        <f t="shared" si="31"/>
        <v>3690.0861412267941</v>
      </c>
      <c r="K234" s="23">
        <f t="shared" si="32"/>
        <v>6467.8639190045724</v>
      </c>
      <c r="L234" s="23">
        <f t="shared" si="40"/>
        <v>386111.11111111683</v>
      </c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spans="2:28" ht="16.5" customHeight="1">
      <c r="B235" s="22">
        <f t="shared" si="33"/>
        <v>222</v>
      </c>
      <c r="C235" s="23">
        <f t="shared" si="34"/>
        <v>2641.4688734242982</v>
      </c>
      <c r="D235" s="23">
        <f t="shared" si="35"/>
        <v>7174.9766320104891</v>
      </c>
      <c r="E235" s="23">
        <f t="shared" si="36"/>
        <v>9816.4455054347873</v>
      </c>
      <c r="F235" s="23">
        <f t="shared" si="37"/>
        <v>753511.25586993317</v>
      </c>
      <c r="G235" s="2"/>
      <c r="H235" s="22">
        <f t="shared" si="38"/>
        <v>222</v>
      </c>
      <c r="I235" s="23">
        <f t="shared" si="39"/>
        <v>2777.7777777777778</v>
      </c>
      <c r="J235" s="23">
        <f t="shared" si="31"/>
        <v>3663.7283830751749</v>
      </c>
      <c r="K235" s="23">
        <f t="shared" si="32"/>
        <v>6441.5061608529522</v>
      </c>
      <c r="L235" s="23">
        <f t="shared" si="40"/>
        <v>383333.33333333908</v>
      </c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spans="2:28" ht="16.5" customHeight="1">
      <c r="B236" s="22">
        <f t="shared" si="33"/>
        <v>223</v>
      </c>
      <c r="C236" s="23">
        <f t="shared" si="34"/>
        <v>2666.5332246073658</v>
      </c>
      <c r="D236" s="23">
        <f t="shared" si="35"/>
        <v>7149.9122808274196</v>
      </c>
      <c r="E236" s="23">
        <f t="shared" si="36"/>
        <v>9816.4455054347854</v>
      </c>
      <c r="F236" s="23">
        <f t="shared" si="37"/>
        <v>750844.72264532582</v>
      </c>
      <c r="G236" s="2"/>
      <c r="H236" s="22">
        <f t="shared" si="38"/>
        <v>223</v>
      </c>
      <c r="I236" s="23">
        <f t="shared" si="39"/>
        <v>2777.7777777777778</v>
      </c>
      <c r="J236" s="23">
        <f t="shared" si="31"/>
        <v>3637.3706249235552</v>
      </c>
      <c r="K236" s="23">
        <f t="shared" si="32"/>
        <v>6415.148402701333</v>
      </c>
      <c r="L236" s="23">
        <f t="shared" si="40"/>
        <v>380555.55555556132</v>
      </c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spans="2:28" ht="16.5" customHeight="1">
      <c r="B237" s="22">
        <f t="shared" si="33"/>
        <v>224</v>
      </c>
      <c r="C237" s="23">
        <f t="shared" si="34"/>
        <v>2691.8354062288508</v>
      </c>
      <c r="D237" s="23">
        <f t="shared" si="35"/>
        <v>7124.6100992059346</v>
      </c>
      <c r="E237" s="23">
        <f t="shared" si="36"/>
        <v>9816.4455054347854</v>
      </c>
      <c r="F237" s="23">
        <f t="shared" si="37"/>
        <v>748152.88723909692</v>
      </c>
      <c r="G237" s="2"/>
      <c r="H237" s="22">
        <f t="shared" si="38"/>
        <v>224</v>
      </c>
      <c r="I237" s="23">
        <f t="shared" si="39"/>
        <v>2777.7777777777778</v>
      </c>
      <c r="J237" s="23">
        <f t="shared" si="31"/>
        <v>3611.0128667719359</v>
      </c>
      <c r="K237" s="23">
        <f t="shared" si="32"/>
        <v>6388.7906445497138</v>
      </c>
      <c r="L237" s="23">
        <f t="shared" si="40"/>
        <v>377777.77777778357</v>
      </c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spans="2:28" ht="16.5" customHeight="1">
      <c r="B238" s="22">
        <f t="shared" si="33"/>
        <v>225</v>
      </c>
      <c r="C238" s="23">
        <f t="shared" si="34"/>
        <v>2717.3776750125362</v>
      </c>
      <c r="D238" s="23">
        <f t="shared" si="35"/>
        <v>7099.0678304222492</v>
      </c>
      <c r="E238" s="23">
        <f t="shared" si="36"/>
        <v>9816.4455054347854</v>
      </c>
      <c r="F238" s="23">
        <f t="shared" si="37"/>
        <v>745435.50956408435</v>
      </c>
      <c r="G238" s="2"/>
      <c r="H238" s="22">
        <f t="shared" si="38"/>
        <v>225</v>
      </c>
      <c r="I238" s="23">
        <f t="shared" si="39"/>
        <v>2777.7777777777778</v>
      </c>
      <c r="J238" s="23">
        <f t="shared" si="31"/>
        <v>3584.6551086203167</v>
      </c>
      <c r="K238" s="23">
        <f t="shared" si="32"/>
        <v>6362.4328863980945</v>
      </c>
      <c r="L238" s="23">
        <f t="shared" si="40"/>
        <v>375000.00000000582</v>
      </c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spans="2:28" ht="16.5" customHeight="1">
      <c r="B239" s="22">
        <f t="shared" si="33"/>
        <v>226</v>
      </c>
      <c r="C239" s="23">
        <f t="shared" si="34"/>
        <v>2743.1623090957892</v>
      </c>
      <c r="D239" s="23">
        <f t="shared" si="35"/>
        <v>7073.2831963389963</v>
      </c>
      <c r="E239" s="23">
        <f t="shared" si="36"/>
        <v>9816.4455054347854</v>
      </c>
      <c r="F239" s="23">
        <f t="shared" si="37"/>
        <v>742692.3472549885</v>
      </c>
      <c r="G239" s="2"/>
      <c r="H239" s="22">
        <f t="shared" si="38"/>
        <v>226</v>
      </c>
      <c r="I239" s="23">
        <f t="shared" si="39"/>
        <v>2777.7777777777778</v>
      </c>
      <c r="J239" s="23">
        <f t="shared" si="31"/>
        <v>3558.2973504686975</v>
      </c>
      <c r="K239" s="23">
        <f t="shared" si="32"/>
        <v>6336.0751282464753</v>
      </c>
      <c r="L239" s="23">
        <f t="shared" si="40"/>
        <v>372222.22222222807</v>
      </c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spans="2:28" ht="16.5" customHeight="1">
      <c r="B240" s="22">
        <f t="shared" si="33"/>
        <v>227</v>
      </c>
      <c r="C240" s="23">
        <f t="shared" si="34"/>
        <v>2769.1916082327525</v>
      </c>
      <c r="D240" s="23">
        <f t="shared" si="35"/>
        <v>7047.2538972020329</v>
      </c>
      <c r="E240" s="23">
        <f t="shared" si="36"/>
        <v>9816.4455054347854</v>
      </c>
      <c r="F240" s="23">
        <f t="shared" si="37"/>
        <v>739923.15564675571</v>
      </c>
      <c r="G240" s="2"/>
      <c r="H240" s="22">
        <f t="shared" si="38"/>
        <v>227</v>
      </c>
      <c r="I240" s="23">
        <f t="shared" si="39"/>
        <v>2777.7777777777778</v>
      </c>
      <c r="J240" s="23">
        <f t="shared" si="31"/>
        <v>3531.9395923170782</v>
      </c>
      <c r="K240" s="23">
        <f t="shared" si="32"/>
        <v>6309.7173700948561</v>
      </c>
      <c r="L240" s="23">
        <f t="shared" si="40"/>
        <v>369444.44444445032</v>
      </c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spans="2:28" ht="16.5" customHeight="1">
      <c r="B241" s="22">
        <f t="shared" si="33"/>
        <v>228</v>
      </c>
      <c r="C241" s="23">
        <f t="shared" si="34"/>
        <v>2795.4678939994583</v>
      </c>
      <c r="D241" s="23">
        <f t="shared" si="35"/>
        <v>7020.9776114353272</v>
      </c>
      <c r="E241" s="23">
        <f t="shared" si="36"/>
        <v>9816.4455054347854</v>
      </c>
      <c r="F241" s="23">
        <f t="shared" si="37"/>
        <v>737127.68775275629</v>
      </c>
      <c r="G241" s="2"/>
      <c r="H241" s="22">
        <f t="shared" si="38"/>
        <v>228</v>
      </c>
      <c r="I241" s="23">
        <f t="shared" si="39"/>
        <v>2777.7777777777778</v>
      </c>
      <c r="J241" s="23">
        <f t="shared" si="31"/>
        <v>3505.5818341654585</v>
      </c>
      <c r="K241" s="23">
        <f t="shared" si="32"/>
        <v>6283.3596119432368</v>
      </c>
      <c r="L241" s="23">
        <f t="shared" si="40"/>
        <v>366666.66666667257</v>
      </c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spans="2:28" ht="16.5" customHeight="1">
      <c r="B242" s="22">
        <f t="shared" si="33"/>
        <v>229</v>
      </c>
      <c r="C242" s="23">
        <f t="shared" si="34"/>
        <v>2821.9935100008943</v>
      </c>
      <c r="D242" s="23">
        <f t="shared" si="35"/>
        <v>6994.4519954338912</v>
      </c>
      <c r="E242" s="23">
        <f t="shared" si="36"/>
        <v>9816.4455054347854</v>
      </c>
      <c r="F242" s="23">
        <f t="shared" si="37"/>
        <v>734305.69424275542</v>
      </c>
      <c r="G242" s="2"/>
      <c r="H242" s="22">
        <f t="shared" si="38"/>
        <v>229</v>
      </c>
      <c r="I242" s="23">
        <f t="shared" si="39"/>
        <v>2777.7777777777778</v>
      </c>
      <c r="J242" s="23">
        <f t="shared" si="31"/>
        <v>3479.2240760138393</v>
      </c>
      <c r="K242" s="23">
        <f t="shared" si="32"/>
        <v>6257.0018537916167</v>
      </c>
      <c r="L242" s="23">
        <f t="shared" si="40"/>
        <v>363888.88888889481</v>
      </c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spans="2:28" ht="16.5" customHeight="1">
      <c r="B243" s="22">
        <f t="shared" si="33"/>
        <v>230</v>
      </c>
      <c r="C243" s="23">
        <f t="shared" si="34"/>
        <v>2848.7708220800296</v>
      </c>
      <c r="D243" s="23">
        <f t="shared" si="35"/>
        <v>6967.6746833547559</v>
      </c>
      <c r="E243" s="23">
        <f t="shared" si="36"/>
        <v>9816.4455054347854</v>
      </c>
      <c r="F243" s="23">
        <f t="shared" si="37"/>
        <v>731456.92342067533</v>
      </c>
      <c r="G243" s="2"/>
      <c r="H243" s="22">
        <f t="shared" si="38"/>
        <v>230</v>
      </c>
      <c r="I243" s="23">
        <f t="shared" si="39"/>
        <v>2777.7777777777778</v>
      </c>
      <c r="J243" s="23">
        <f t="shared" si="31"/>
        <v>3452.8663178622201</v>
      </c>
      <c r="K243" s="23">
        <f t="shared" si="32"/>
        <v>6230.6440956399983</v>
      </c>
      <c r="L243" s="23">
        <f t="shared" si="40"/>
        <v>361111.11111111706</v>
      </c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spans="2:28" ht="16.5" customHeight="1">
      <c r="B244" s="22">
        <f t="shared" si="33"/>
        <v>231</v>
      </c>
      <c r="C244" s="23">
        <f t="shared" si="34"/>
        <v>2875.8022185288255</v>
      </c>
      <c r="D244" s="23">
        <f t="shared" si="35"/>
        <v>6940.6432869059563</v>
      </c>
      <c r="E244" s="23">
        <f t="shared" si="36"/>
        <v>9816.4455054347818</v>
      </c>
      <c r="F244" s="23">
        <f t="shared" si="37"/>
        <v>728581.12120214652</v>
      </c>
      <c r="G244" s="2"/>
      <c r="H244" s="22">
        <f t="shared" si="38"/>
        <v>231</v>
      </c>
      <c r="I244" s="23">
        <f t="shared" si="39"/>
        <v>2777.7777777777778</v>
      </c>
      <c r="J244" s="23">
        <f t="shared" si="31"/>
        <v>3426.5085597106008</v>
      </c>
      <c r="K244" s="23">
        <f t="shared" si="32"/>
        <v>6204.2863374883782</v>
      </c>
      <c r="L244" s="23">
        <f t="shared" si="40"/>
        <v>358333.33333333931</v>
      </c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spans="2:28" ht="16.5" customHeight="1">
      <c r="B245" s="22">
        <f t="shared" si="33"/>
        <v>232</v>
      </c>
      <c r="C245" s="23">
        <f t="shared" si="34"/>
        <v>2903.090110301262</v>
      </c>
      <c r="D245" s="23">
        <f t="shared" si="35"/>
        <v>6913.3553951335216</v>
      </c>
      <c r="E245" s="23">
        <f t="shared" si="36"/>
        <v>9816.4455054347836</v>
      </c>
      <c r="F245" s="23">
        <f t="shared" si="37"/>
        <v>725678.03109184525</v>
      </c>
      <c r="G245" s="2"/>
      <c r="H245" s="22">
        <f t="shared" si="38"/>
        <v>232</v>
      </c>
      <c r="I245" s="23">
        <f t="shared" si="39"/>
        <v>2777.7777777777778</v>
      </c>
      <c r="J245" s="23">
        <f t="shared" si="31"/>
        <v>3400.1508015589816</v>
      </c>
      <c r="K245" s="23">
        <f t="shared" si="32"/>
        <v>6177.9285793367599</v>
      </c>
      <c r="L245" s="23">
        <f t="shared" si="40"/>
        <v>355555.55555556156</v>
      </c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spans="2:28" ht="16.5" customHeight="1">
      <c r="B246" s="22">
        <f t="shared" si="33"/>
        <v>233</v>
      </c>
      <c r="C246" s="23">
        <f t="shared" si="34"/>
        <v>2930.6369312283487</v>
      </c>
      <c r="D246" s="23">
        <f t="shared" si="35"/>
        <v>6885.8085742064368</v>
      </c>
      <c r="E246" s="23">
        <f t="shared" si="36"/>
        <v>9816.4455054347854</v>
      </c>
      <c r="F246" s="23">
        <f t="shared" si="37"/>
        <v>722747.39416061691</v>
      </c>
      <c r="G246" s="2"/>
      <c r="H246" s="22">
        <f t="shared" si="38"/>
        <v>233</v>
      </c>
      <c r="I246" s="23">
        <f t="shared" si="39"/>
        <v>2777.7777777777778</v>
      </c>
      <c r="J246" s="23">
        <f t="shared" si="31"/>
        <v>3373.7930434073619</v>
      </c>
      <c r="K246" s="23">
        <f t="shared" si="32"/>
        <v>6151.5708211851397</v>
      </c>
      <c r="L246" s="23">
        <f t="shared" si="40"/>
        <v>352777.77777778381</v>
      </c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spans="2:28" ht="16.5" customHeight="1">
      <c r="B247" s="22">
        <f t="shared" si="33"/>
        <v>234</v>
      </c>
      <c r="C247" s="23">
        <f t="shared" si="34"/>
        <v>2958.4451382352145</v>
      </c>
      <c r="D247" s="23">
        <f t="shared" si="35"/>
        <v>6858.0003671995692</v>
      </c>
      <c r="E247" s="23">
        <f t="shared" si="36"/>
        <v>9816.4455054347836</v>
      </c>
      <c r="F247" s="23">
        <f t="shared" si="37"/>
        <v>719788.94902238168</v>
      </c>
      <c r="G247" s="2"/>
      <c r="H247" s="22">
        <f t="shared" si="38"/>
        <v>234</v>
      </c>
      <c r="I247" s="23">
        <f t="shared" si="39"/>
        <v>2777.7777777777778</v>
      </c>
      <c r="J247" s="23">
        <f t="shared" si="31"/>
        <v>3347.4352852557427</v>
      </c>
      <c r="K247" s="23">
        <f t="shared" si="32"/>
        <v>6125.2130630335205</v>
      </c>
      <c r="L247" s="23">
        <f t="shared" si="40"/>
        <v>350000.00000000605</v>
      </c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spans="2:28" ht="16.5" customHeight="1">
      <c r="B248" s="22">
        <f t="shared" si="33"/>
        <v>235</v>
      </c>
      <c r="C248" s="23">
        <f t="shared" si="34"/>
        <v>2986.5172115602536</v>
      </c>
      <c r="D248" s="23">
        <f t="shared" si="35"/>
        <v>6829.9282938745318</v>
      </c>
      <c r="E248" s="23">
        <f t="shared" si="36"/>
        <v>9816.4455054347854</v>
      </c>
      <c r="F248" s="23">
        <f t="shared" si="37"/>
        <v>716802.43181082141</v>
      </c>
      <c r="G248" s="2"/>
      <c r="H248" s="22">
        <f t="shared" si="38"/>
        <v>235</v>
      </c>
      <c r="I248" s="23">
        <f t="shared" si="39"/>
        <v>2777.7777777777778</v>
      </c>
      <c r="J248" s="23">
        <f t="shared" si="31"/>
        <v>3321.0775271041234</v>
      </c>
      <c r="K248" s="23">
        <f t="shared" si="32"/>
        <v>6098.8553048819012</v>
      </c>
      <c r="L248" s="23">
        <f t="shared" si="40"/>
        <v>347222.2222222283</v>
      </c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spans="2:28" ht="16.5" customHeight="1">
      <c r="B249" s="22">
        <f t="shared" si="33"/>
        <v>236</v>
      </c>
      <c r="C249" s="23">
        <f t="shared" si="34"/>
        <v>3014.8556549763161</v>
      </c>
      <c r="D249" s="23">
        <f t="shared" si="35"/>
        <v>6801.5898504584675</v>
      </c>
      <c r="E249" s="23">
        <f t="shared" si="36"/>
        <v>9816.4455054347836</v>
      </c>
      <c r="F249" s="23">
        <f t="shared" si="37"/>
        <v>713787.57615584508</v>
      </c>
      <c r="G249" s="2"/>
      <c r="H249" s="22">
        <f t="shared" si="38"/>
        <v>236</v>
      </c>
      <c r="I249" s="23">
        <f t="shared" si="39"/>
        <v>2777.7777777777778</v>
      </c>
      <c r="J249" s="23">
        <f t="shared" si="31"/>
        <v>3294.7197689525042</v>
      </c>
      <c r="K249" s="23">
        <f t="shared" si="32"/>
        <v>6072.497546730282</v>
      </c>
      <c r="L249" s="23">
        <f t="shared" si="40"/>
        <v>344444.44444445055</v>
      </c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spans="2:28" ht="16.5" customHeight="1">
      <c r="B250" s="22">
        <f t="shared" si="33"/>
        <v>237</v>
      </c>
      <c r="C250" s="23">
        <f t="shared" si="34"/>
        <v>3043.462996014041</v>
      </c>
      <c r="D250" s="23">
        <f t="shared" si="35"/>
        <v>6772.9825094207408</v>
      </c>
      <c r="E250" s="23">
        <f t="shared" si="36"/>
        <v>9816.4455054347818</v>
      </c>
      <c r="F250" s="23">
        <f t="shared" si="37"/>
        <v>710744.11315983103</v>
      </c>
      <c r="G250" s="2"/>
      <c r="H250" s="22">
        <f t="shared" si="38"/>
        <v>237</v>
      </c>
      <c r="I250" s="23">
        <f t="shared" si="39"/>
        <v>2777.7777777777778</v>
      </c>
      <c r="J250" s="23">
        <f t="shared" si="31"/>
        <v>3268.3620108008849</v>
      </c>
      <c r="K250" s="23">
        <f t="shared" si="32"/>
        <v>6046.1397885786628</v>
      </c>
      <c r="L250" s="23">
        <f t="shared" si="40"/>
        <v>341666.6666666728</v>
      </c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spans="2:28" ht="16.5" customHeight="1">
      <c r="B251" s="22">
        <f t="shared" si="33"/>
        <v>238</v>
      </c>
      <c r="C251" s="23">
        <f t="shared" si="34"/>
        <v>3072.3417861872858</v>
      </c>
      <c r="D251" s="23">
        <f t="shared" si="35"/>
        <v>6744.1037192474978</v>
      </c>
      <c r="E251" s="23">
        <f t="shared" si="36"/>
        <v>9816.4455054347836</v>
      </c>
      <c r="F251" s="23">
        <f t="shared" si="37"/>
        <v>707671.77137364377</v>
      </c>
      <c r="G251" s="2"/>
      <c r="H251" s="22">
        <f t="shared" si="38"/>
        <v>238</v>
      </c>
      <c r="I251" s="23">
        <f t="shared" si="39"/>
        <v>2777.7777777777778</v>
      </c>
      <c r="J251" s="23">
        <f t="shared" si="31"/>
        <v>3242.0042526492653</v>
      </c>
      <c r="K251" s="23">
        <f t="shared" si="32"/>
        <v>6019.7820304270426</v>
      </c>
      <c r="L251" s="23">
        <f t="shared" si="40"/>
        <v>338888.88888889505</v>
      </c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spans="2:28" ht="16.5" customHeight="1">
      <c r="B252" s="22">
        <f t="shared" si="33"/>
        <v>239</v>
      </c>
      <c r="C252" s="23">
        <f t="shared" si="34"/>
        <v>3101.4946012206838</v>
      </c>
      <c r="D252" s="23">
        <f t="shared" si="35"/>
        <v>6714.9509042140999</v>
      </c>
      <c r="E252" s="23">
        <f t="shared" si="36"/>
        <v>9816.4455054347836</v>
      </c>
      <c r="F252" s="23">
        <f t="shared" si="37"/>
        <v>704570.27677242307</v>
      </c>
      <c r="G252" s="2"/>
      <c r="H252" s="22">
        <f t="shared" si="38"/>
        <v>239</v>
      </c>
      <c r="I252" s="23">
        <f t="shared" si="39"/>
        <v>2777.7777777777778</v>
      </c>
      <c r="J252" s="23">
        <f t="shared" si="31"/>
        <v>3215.646494497646</v>
      </c>
      <c r="K252" s="23">
        <f t="shared" si="32"/>
        <v>5993.4242722754243</v>
      </c>
      <c r="L252" s="23">
        <f t="shared" si="40"/>
        <v>336111.11111111729</v>
      </c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spans="2:28" ht="16.5" customHeight="1">
      <c r="B253" s="22">
        <f t="shared" si="33"/>
        <v>240</v>
      </c>
      <c r="C253" s="23">
        <f t="shared" si="34"/>
        <v>3130.9240412793943</v>
      </c>
      <c r="D253" s="23">
        <f t="shared" si="35"/>
        <v>6685.5214641553894</v>
      </c>
      <c r="E253" s="23">
        <f t="shared" si="36"/>
        <v>9816.4455054347836</v>
      </c>
      <c r="F253" s="23">
        <f t="shared" si="37"/>
        <v>701439.35273114371</v>
      </c>
      <c r="G253" s="2"/>
      <c r="H253" s="22">
        <f t="shared" si="38"/>
        <v>240</v>
      </c>
      <c r="I253" s="23">
        <f t="shared" si="39"/>
        <v>2777.7777777777778</v>
      </c>
      <c r="J253" s="23">
        <f t="shared" si="31"/>
        <v>3189.2887363460268</v>
      </c>
      <c r="K253" s="23">
        <f t="shared" si="32"/>
        <v>5967.0665141238042</v>
      </c>
      <c r="L253" s="23">
        <f t="shared" si="40"/>
        <v>333333.33333333954</v>
      </c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spans="2:28" ht="16.5" customHeight="1">
      <c r="B254" s="22">
        <f t="shared" si="33"/>
        <v>241</v>
      </c>
      <c r="C254" s="23">
        <f t="shared" si="34"/>
        <v>3160.6327312010044</v>
      </c>
      <c r="D254" s="23">
        <f t="shared" si="35"/>
        <v>6655.8127742337811</v>
      </c>
      <c r="E254" s="23">
        <f t="shared" si="36"/>
        <v>9816.4455054347854</v>
      </c>
      <c r="F254" s="23">
        <f t="shared" si="37"/>
        <v>698278.7199999427</v>
      </c>
      <c r="G254" s="2"/>
      <c r="H254" s="22">
        <f t="shared" si="38"/>
        <v>241</v>
      </c>
      <c r="I254" s="23">
        <f t="shared" si="39"/>
        <v>2777.7777777777778</v>
      </c>
      <c r="J254" s="23">
        <f t="shared" si="31"/>
        <v>3162.9309781944075</v>
      </c>
      <c r="K254" s="23">
        <f t="shared" si="32"/>
        <v>5940.7087559721858</v>
      </c>
      <c r="L254" s="23">
        <f t="shared" si="40"/>
        <v>330555.55555556179</v>
      </c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spans="2:28" ht="16.5" customHeight="1">
      <c r="B255" s="22">
        <f t="shared" si="33"/>
        <v>242</v>
      </c>
      <c r="C255" s="23">
        <f t="shared" si="34"/>
        <v>3190.6233207296364</v>
      </c>
      <c r="D255" s="23">
        <f t="shared" si="35"/>
        <v>6625.8221847051491</v>
      </c>
      <c r="E255" s="23">
        <f t="shared" si="36"/>
        <v>9816.4455054347854</v>
      </c>
      <c r="F255" s="23">
        <f t="shared" si="37"/>
        <v>695088.09667921311</v>
      </c>
      <c r="G255" s="2"/>
      <c r="H255" s="22">
        <f t="shared" si="38"/>
        <v>242</v>
      </c>
      <c r="I255" s="23">
        <f t="shared" si="39"/>
        <v>2777.7777777777778</v>
      </c>
      <c r="J255" s="23">
        <f t="shared" si="31"/>
        <v>3136.5732200427883</v>
      </c>
      <c r="K255" s="23">
        <f t="shared" si="32"/>
        <v>5914.3509978205657</v>
      </c>
      <c r="L255" s="23">
        <f t="shared" si="40"/>
        <v>327777.77777778404</v>
      </c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spans="2:28" ht="16.5" customHeight="1">
      <c r="B256" s="22">
        <f t="shared" si="33"/>
        <v>243</v>
      </c>
      <c r="C256" s="23">
        <f t="shared" si="34"/>
        <v>3220.8984847522906</v>
      </c>
      <c r="D256" s="23">
        <f t="shared" si="35"/>
        <v>6595.5470206824948</v>
      </c>
      <c r="E256" s="23">
        <f t="shared" si="36"/>
        <v>9816.4455054347854</v>
      </c>
      <c r="F256" s="23">
        <f t="shared" si="37"/>
        <v>691867.19819446083</v>
      </c>
      <c r="G256" s="2"/>
      <c r="H256" s="22">
        <f t="shared" si="38"/>
        <v>243</v>
      </c>
      <c r="I256" s="23">
        <f t="shared" si="39"/>
        <v>2777.7777777777778</v>
      </c>
      <c r="J256" s="23">
        <f t="shared" si="31"/>
        <v>3110.2154618911686</v>
      </c>
      <c r="K256" s="23">
        <f t="shared" si="32"/>
        <v>5887.9932396689464</v>
      </c>
      <c r="L256" s="23">
        <f t="shared" si="40"/>
        <v>325000.00000000629</v>
      </c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spans="2:28" ht="16.5" customHeight="1">
      <c r="B257" s="22">
        <f t="shared" si="33"/>
        <v>244</v>
      </c>
      <c r="C257" s="23">
        <f t="shared" si="34"/>
        <v>3251.4609235374173</v>
      </c>
      <c r="D257" s="23">
        <f t="shared" si="35"/>
        <v>6564.9845818973681</v>
      </c>
      <c r="E257" s="23">
        <f t="shared" si="36"/>
        <v>9816.4455054347854</v>
      </c>
      <c r="F257" s="23">
        <f t="shared" si="37"/>
        <v>688615.73727092345</v>
      </c>
      <c r="G257" s="2"/>
      <c r="H257" s="22">
        <f t="shared" si="38"/>
        <v>244</v>
      </c>
      <c r="I257" s="23">
        <f t="shared" si="39"/>
        <v>2777.7777777777778</v>
      </c>
      <c r="J257" s="23">
        <f t="shared" si="31"/>
        <v>3083.8577037395494</v>
      </c>
      <c r="K257" s="23">
        <f t="shared" si="32"/>
        <v>5861.6354815173272</v>
      </c>
      <c r="L257" s="23">
        <f t="shared" si="40"/>
        <v>322222.22222222853</v>
      </c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spans="2:28" ht="16.5" customHeight="1">
      <c r="B258" s="22">
        <f t="shared" si="33"/>
        <v>245</v>
      </c>
      <c r="C258" s="23">
        <f t="shared" si="34"/>
        <v>3282.313362975754</v>
      </c>
      <c r="D258" s="23">
        <f t="shared" si="35"/>
        <v>6534.1321424590333</v>
      </c>
      <c r="E258" s="23">
        <f t="shared" si="36"/>
        <v>9816.4455054347873</v>
      </c>
      <c r="F258" s="23">
        <f t="shared" si="37"/>
        <v>685333.42390794773</v>
      </c>
      <c r="G258" s="2"/>
      <c r="H258" s="22">
        <f t="shared" si="38"/>
        <v>245</v>
      </c>
      <c r="I258" s="23">
        <f t="shared" si="39"/>
        <v>2777.7777777777778</v>
      </c>
      <c r="J258" s="23">
        <f t="shared" si="31"/>
        <v>3057.4999455879301</v>
      </c>
      <c r="K258" s="23">
        <f t="shared" si="32"/>
        <v>5835.277723365708</v>
      </c>
      <c r="L258" s="23">
        <f t="shared" si="40"/>
        <v>319444.44444445078</v>
      </c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spans="2:28" ht="16.5" customHeight="1">
      <c r="B259" s="22">
        <f t="shared" si="33"/>
        <v>246</v>
      </c>
      <c r="C259" s="23">
        <f t="shared" si="34"/>
        <v>3313.4585548234454</v>
      </c>
      <c r="D259" s="23">
        <f t="shared" si="35"/>
        <v>6502.9869506113419</v>
      </c>
      <c r="E259" s="23">
        <f t="shared" si="36"/>
        <v>9816.4455054347873</v>
      </c>
      <c r="F259" s="23">
        <f t="shared" si="37"/>
        <v>682019.96535312431</v>
      </c>
      <c r="G259" s="2"/>
      <c r="H259" s="22">
        <f t="shared" si="38"/>
        <v>246</v>
      </c>
      <c r="I259" s="23">
        <f t="shared" si="39"/>
        <v>2777.7777777777778</v>
      </c>
      <c r="J259" s="23">
        <f t="shared" si="31"/>
        <v>3031.1421874363109</v>
      </c>
      <c r="K259" s="23">
        <f t="shared" si="32"/>
        <v>5808.9199652140887</v>
      </c>
      <c r="L259" s="23">
        <f t="shared" si="40"/>
        <v>316666.66666667303</v>
      </c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spans="2:28" ht="16.5" customHeight="1">
      <c r="B260" s="22">
        <f t="shared" si="33"/>
        <v>247</v>
      </c>
      <c r="C260" s="23">
        <f t="shared" si="34"/>
        <v>3344.8992769474862</v>
      </c>
      <c r="D260" s="23">
        <f t="shared" si="35"/>
        <v>6471.5462284872992</v>
      </c>
      <c r="E260" s="23">
        <f t="shared" si="36"/>
        <v>9816.4455054347854</v>
      </c>
      <c r="F260" s="23">
        <f t="shared" si="37"/>
        <v>678675.06607617682</v>
      </c>
      <c r="G260" s="2"/>
      <c r="H260" s="22">
        <f t="shared" si="38"/>
        <v>247</v>
      </c>
      <c r="I260" s="23">
        <f t="shared" si="39"/>
        <v>2777.7777777777778</v>
      </c>
      <c r="J260" s="23">
        <f t="shared" si="31"/>
        <v>3004.7844292846917</v>
      </c>
      <c r="K260" s="23">
        <f t="shared" si="32"/>
        <v>5782.5622070624695</v>
      </c>
      <c r="L260" s="23">
        <f t="shared" si="40"/>
        <v>313888.88888889528</v>
      </c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spans="2:28" ht="16.5" customHeight="1">
      <c r="B261" s="22">
        <f t="shared" si="33"/>
        <v>248</v>
      </c>
      <c r="C261" s="23">
        <f t="shared" si="34"/>
        <v>3376.6383335734772</v>
      </c>
      <c r="D261" s="23">
        <f t="shared" si="35"/>
        <v>6439.8071718613082</v>
      </c>
      <c r="E261" s="23">
        <f t="shared" si="36"/>
        <v>9816.4455054347854</v>
      </c>
      <c r="F261" s="23">
        <f t="shared" si="37"/>
        <v>675298.42774260335</v>
      </c>
      <c r="G261" s="2"/>
      <c r="H261" s="22">
        <f t="shared" si="38"/>
        <v>248</v>
      </c>
      <c r="I261" s="23">
        <f t="shared" si="39"/>
        <v>2777.7777777777778</v>
      </c>
      <c r="J261" s="23">
        <f t="shared" si="31"/>
        <v>2978.4266711330724</v>
      </c>
      <c r="K261" s="23">
        <f t="shared" si="32"/>
        <v>5756.2044489108503</v>
      </c>
      <c r="L261" s="23">
        <f t="shared" si="40"/>
        <v>311111.11111111753</v>
      </c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spans="2:28" ht="16.5" customHeight="1">
      <c r="B262" s="22">
        <f t="shared" si="33"/>
        <v>249</v>
      </c>
      <c r="C262" s="23">
        <f t="shared" si="34"/>
        <v>3408.6785555357328</v>
      </c>
      <c r="D262" s="23">
        <f t="shared" si="35"/>
        <v>6407.7669498990545</v>
      </c>
      <c r="E262" s="23">
        <f t="shared" si="36"/>
        <v>9816.4455054347873</v>
      </c>
      <c r="F262" s="23">
        <f t="shared" si="37"/>
        <v>671889.74918706762</v>
      </c>
      <c r="G262" s="2"/>
      <c r="H262" s="22">
        <f t="shared" si="38"/>
        <v>249</v>
      </c>
      <c r="I262" s="23">
        <f t="shared" si="39"/>
        <v>2777.7777777777778</v>
      </c>
      <c r="J262" s="23">
        <f t="shared" si="31"/>
        <v>2952.0689129814527</v>
      </c>
      <c r="K262" s="23">
        <f t="shared" si="32"/>
        <v>5729.8466907592301</v>
      </c>
      <c r="L262" s="23">
        <f t="shared" si="40"/>
        <v>308333.33333333977</v>
      </c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spans="2:28" ht="16.5" customHeight="1">
      <c r="B263" s="22">
        <f t="shared" si="33"/>
        <v>250</v>
      </c>
      <c r="C263" s="23">
        <f t="shared" si="34"/>
        <v>3441.0228005297649</v>
      </c>
      <c r="D263" s="23">
        <f t="shared" si="35"/>
        <v>6375.4227049050223</v>
      </c>
      <c r="E263" s="23">
        <f t="shared" si="36"/>
        <v>9816.4455054347873</v>
      </c>
      <c r="F263" s="23">
        <f t="shared" si="37"/>
        <v>668448.72638653789</v>
      </c>
      <c r="G263" s="2"/>
      <c r="H263" s="22">
        <f t="shared" si="38"/>
        <v>250</v>
      </c>
      <c r="I263" s="23">
        <f t="shared" si="39"/>
        <v>2777.7777777777778</v>
      </c>
      <c r="J263" s="23">
        <f t="shared" si="31"/>
        <v>2925.7111548298335</v>
      </c>
      <c r="K263" s="23">
        <f t="shared" si="32"/>
        <v>5703.4889326076118</v>
      </c>
      <c r="L263" s="23">
        <f t="shared" si="40"/>
        <v>305555.55555556202</v>
      </c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spans="2:28" ht="16.5" customHeight="1">
      <c r="B264" s="22">
        <f t="shared" si="33"/>
        <v>251</v>
      </c>
      <c r="C264" s="23">
        <f t="shared" si="34"/>
        <v>3473.6739533671707</v>
      </c>
      <c r="D264" s="23">
        <f t="shared" si="35"/>
        <v>6342.7715520676165</v>
      </c>
      <c r="E264" s="23">
        <f t="shared" si="36"/>
        <v>9816.4455054347873</v>
      </c>
      <c r="F264" s="23">
        <f t="shared" si="37"/>
        <v>664975.05243317073</v>
      </c>
      <c r="G264" s="2"/>
      <c r="H264" s="22">
        <f t="shared" si="38"/>
        <v>251</v>
      </c>
      <c r="I264" s="23">
        <f t="shared" si="39"/>
        <v>2777.7777777777778</v>
      </c>
      <c r="J264" s="23">
        <f t="shared" si="31"/>
        <v>2899.3533966782143</v>
      </c>
      <c r="K264" s="23">
        <f t="shared" si="32"/>
        <v>5677.1311744559916</v>
      </c>
      <c r="L264" s="23">
        <f t="shared" si="40"/>
        <v>302777.77777778427</v>
      </c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spans="2:28" ht="16.5" customHeight="1">
      <c r="B265" s="22">
        <f t="shared" si="33"/>
        <v>252</v>
      </c>
      <c r="C265" s="23">
        <f t="shared" si="34"/>
        <v>3506.6349262329268</v>
      </c>
      <c r="D265" s="23">
        <f t="shared" si="35"/>
        <v>6309.8105792018605</v>
      </c>
      <c r="E265" s="23">
        <f t="shared" si="36"/>
        <v>9816.4455054347873</v>
      </c>
      <c r="F265" s="23">
        <f t="shared" si="37"/>
        <v>661468.41750693775</v>
      </c>
      <c r="G265" s="2"/>
      <c r="H265" s="22">
        <f t="shared" si="38"/>
        <v>252</v>
      </c>
      <c r="I265" s="23">
        <f t="shared" si="39"/>
        <v>2777.7777777777778</v>
      </c>
      <c r="J265" s="23">
        <f t="shared" si="31"/>
        <v>2872.995638526595</v>
      </c>
      <c r="K265" s="23">
        <f t="shared" si="32"/>
        <v>5650.7734163043733</v>
      </c>
      <c r="L265" s="23">
        <f t="shared" si="40"/>
        <v>300000.00000000652</v>
      </c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spans="2:28" ht="16.5" customHeight="1">
      <c r="B266" s="22">
        <f t="shared" si="33"/>
        <v>253</v>
      </c>
      <c r="C266" s="23">
        <f t="shared" si="34"/>
        <v>3539.9086589451263</v>
      </c>
      <c r="D266" s="23">
        <f t="shared" si="35"/>
        <v>6276.5368464896592</v>
      </c>
      <c r="E266" s="23">
        <f t="shared" si="36"/>
        <v>9816.4455054347854</v>
      </c>
      <c r="F266" s="23">
        <f t="shared" si="37"/>
        <v>657928.50884799263</v>
      </c>
      <c r="G266" s="2"/>
      <c r="H266" s="22">
        <f t="shared" si="38"/>
        <v>253</v>
      </c>
      <c r="I266" s="23">
        <f t="shared" si="39"/>
        <v>2777.7777777777778</v>
      </c>
      <c r="J266" s="23">
        <f t="shared" si="31"/>
        <v>2846.6378803749758</v>
      </c>
      <c r="K266" s="23">
        <f t="shared" si="32"/>
        <v>5624.4156581527532</v>
      </c>
      <c r="L266" s="23">
        <f t="shared" si="40"/>
        <v>297222.22222222877</v>
      </c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spans="2:28" ht="16.5" customHeight="1">
      <c r="B267" s="22">
        <f t="shared" si="33"/>
        <v>254</v>
      </c>
      <c r="C267" s="23">
        <f t="shared" si="34"/>
        <v>3573.4981192171945</v>
      </c>
      <c r="D267" s="23">
        <f t="shared" si="35"/>
        <v>6242.947386217591</v>
      </c>
      <c r="E267" s="23">
        <f t="shared" si="36"/>
        <v>9816.4455054347854</v>
      </c>
      <c r="F267" s="23">
        <f t="shared" si="37"/>
        <v>654355.01072877541</v>
      </c>
      <c r="G267" s="2"/>
      <c r="H267" s="22">
        <f t="shared" si="38"/>
        <v>254</v>
      </c>
      <c r="I267" s="23">
        <f t="shared" si="39"/>
        <v>2777.7777777777778</v>
      </c>
      <c r="J267" s="23">
        <f t="shared" si="31"/>
        <v>2820.2801222233561</v>
      </c>
      <c r="K267" s="23">
        <f t="shared" si="32"/>
        <v>5598.0579000011339</v>
      </c>
      <c r="L267" s="23">
        <f t="shared" si="40"/>
        <v>294444.44444445102</v>
      </c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spans="2:28" ht="16.5" customHeight="1">
      <c r="B268" s="22">
        <f t="shared" si="33"/>
        <v>255</v>
      </c>
      <c r="C268" s="23">
        <f t="shared" si="34"/>
        <v>3607.4063029225681</v>
      </c>
      <c r="D268" s="23">
        <f t="shared" si="35"/>
        <v>6209.0392025122173</v>
      </c>
      <c r="E268" s="23">
        <f t="shared" si="36"/>
        <v>9816.4455054347854</v>
      </c>
      <c r="F268" s="23">
        <f t="shared" si="37"/>
        <v>650747.60442585289</v>
      </c>
      <c r="G268" s="2"/>
      <c r="H268" s="22">
        <f t="shared" si="38"/>
        <v>255</v>
      </c>
      <c r="I268" s="23">
        <f t="shared" si="39"/>
        <v>2777.7777777777778</v>
      </c>
      <c r="J268" s="23">
        <f t="shared" si="31"/>
        <v>2793.9223640717369</v>
      </c>
      <c r="K268" s="23">
        <f t="shared" si="32"/>
        <v>5571.7001418495147</v>
      </c>
      <c r="L268" s="23">
        <f t="shared" si="40"/>
        <v>291666.66666667326</v>
      </c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spans="2:28" ht="16.5" customHeight="1">
      <c r="B269" s="22">
        <f t="shared" si="33"/>
        <v>256</v>
      </c>
      <c r="C269" s="23">
        <f t="shared" si="34"/>
        <v>3641.6362343619121</v>
      </c>
      <c r="D269" s="23">
        <f t="shared" si="35"/>
        <v>6174.8092710728752</v>
      </c>
      <c r="E269" s="23">
        <f t="shared" si="36"/>
        <v>9816.4455054347873</v>
      </c>
      <c r="F269" s="23">
        <f t="shared" si="37"/>
        <v>647105.96819149097</v>
      </c>
      <c r="G269" s="2"/>
      <c r="H269" s="22">
        <f t="shared" si="38"/>
        <v>256</v>
      </c>
      <c r="I269" s="23">
        <f t="shared" si="39"/>
        <v>2777.7777777777778</v>
      </c>
      <c r="J269" s="23">
        <f t="shared" si="31"/>
        <v>2767.5646059201176</v>
      </c>
      <c r="K269" s="23">
        <f t="shared" si="32"/>
        <v>5545.3423836978955</v>
      </c>
      <c r="L269" s="23">
        <f t="shared" si="40"/>
        <v>288888.88888889551</v>
      </c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spans="2:28" ht="16.5" customHeight="1">
      <c r="B270" s="22">
        <f t="shared" si="33"/>
        <v>257</v>
      </c>
      <c r="C270" s="23">
        <f t="shared" si="34"/>
        <v>3676.1909665328467</v>
      </c>
      <c r="D270" s="23">
        <f t="shared" si="35"/>
        <v>6140.2545389019406</v>
      </c>
      <c r="E270" s="23">
        <f t="shared" si="36"/>
        <v>9816.4455054347873</v>
      </c>
      <c r="F270" s="23">
        <f t="shared" si="37"/>
        <v>643429.77722495818</v>
      </c>
      <c r="G270" s="2"/>
      <c r="H270" s="22">
        <f t="shared" si="38"/>
        <v>257</v>
      </c>
      <c r="I270" s="23">
        <f t="shared" si="39"/>
        <v>2777.7777777777778</v>
      </c>
      <c r="J270" s="23">
        <f t="shared" ref="J270:J333" si="41">+L269*$E$9</f>
        <v>2741.2068477684984</v>
      </c>
      <c r="K270" s="23">
        <f t="shared" ref="K270:K333" si="42">I270+J270</f>
        <v>5518.9846255462762</v>
      </c>
      <c r="L270" s="23">
        <f t="shared" si="40"/>
        <v>286111.11111111776</v>
      </c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spans="2:28" ht="16.5" customHeight="1">
      <c r="B271" s="22">
        <f t="shared" ref="B271:B334" si="43">+B270+1</f>
        <v>258</v>
      </c>
      <c r="C271" s="23">
        <f t="shared" ref="C271:C334" si="44">IFERROR(E271-D271,0)</f>
        <v>3711.0735814022628</v>
      </c>
      <c r="D271" s="23">
        <f t="shared" ref="D271:D334" si="45">IFERROR(+F270*$E$9,0)</f>
        <v>6105.3719240325263</v>
      </c>
      <c r="E271" s="23">
        <f t="shared" ref="E271:E334" si="46">IFERROR(-PMT($E$9,$E$7-B270,F270),0)</f>
        <v>9816.4455054347891</v>
      </c>
      <c r="F271" s="23">
        <f t="shared" ref="F271:F334" si="47">IFERROR(F270-C271,0)</f>
        <v>639718.70364355587</v>
      </c>
      <c r="G271" s="2"/>
      <c r="H271" s="22">
        <f t="shared" ref="H271:H334" si="48">+H270+1</f>
        <v>258</v>
      </c>
      <c r="I271" s="23">
        <f t="shared" si="39"/>
        <v>2777.7777777777778</v>
      </c>
      <c r="J271" s="23">
        <f t="shared" si="41"/>
        <v>2714.8490896168792</v>
      </c>
      <c r="K271" s="23">
        <f t="shared" si="42"/>
        <v>5492.626867394657</v>
      </c>
      <c r="L271" s="23">
        <f t="shared" si="40"/>
        <v>283333.33333334001</v>
      </c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spans="2:28" ht="16.5" customHeight="1">
      <c r="B272" s="22">
        <f t="shared" si="43"/>
        <v>259</v>
      </c>
      <c r="C272" s="23">
        <f t="shared" si="44"/>
        <v>3746.2871901811886</v>
      </c>
      <c r="D272" s="23">
        <f t="shared" si="45"/>
        <v>6070.1583152535986</v>
      </c>
      <c r="E272" s="23">
        <f t="shared" si="46"/>
        <v>9816.4455054347873</v>
      </c>
      <c r="F272" s="23">
        <f t="shared" si="47"/>
        <v>635972.41645337467</v>
      </c>
      <c r="G272" s="2"/>
      <c r="H272" s="22">
        <f t="shared" si="48"/>
        <v>259</v>
      </c>
      <c r="I272" s="23">
        <f t="shared" ref="I272:I335" si="49">IF(H272&gt;$E$7,0,I271)</f>
        <v>2777.7777777777778</v>
      </c>
      <c r="J272" s="23">
        <f t="shared" si="41"/>
        <v>2688.4913314652595</v>
      </c>
      <c r="K272" s="23">
        <f t="shared" si="42"/>
        <v>5466.2691092430377</v>
      </c>
      <c r="L272" s="23">
        <f t="shared" si="40"/>
        <v>280555.55555556226</v>
      </c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spans="2:28" ht="16.5" customHeight="1">
      <c r="B273" s="22">
        <f t="shared" si="43"/>
        <v>260</v>
      </c>
      <c r="C273" s="23">
        <f t="shared" si="44"/>
        <v>3781.8349336022993</v>
      </c>
      <c r="D273" s="23">
        <f t="shared" si="45"/>
        <v>6034.6105718324879</v>
      </c>
      <c r="E273" s="23">
        <f t="shared" si="46"/>
        <v>9816.4455054347873</v>
      </c>
      <c r="F273" s="23">
        <f t="shared" si="47"/>
        <v>632190.58151977242</v>
      </c>
      <c r="G273" s="2"/>
      <c r="H273" s="22">
        <f t="shared" si="48"/>
        <v>260</v>
      </c>
      <c r="I273" s="23">
        <f t="shared" si="49"/>
        <v>2777.7777777777778</v>
      </c>
      <c r="J273" s="23">
        <f t="shared" si="41"/>
        <v>2662.1335733136402</v>
      </c>
      <c r="K273" s="23">
        <f t="shared" si="42"/>
        <v>5439.9113510914176</v>
      </c>
      <c r="L273" s="23">
        <f t="shared" si="40"/>
        <v>277777.7777777845</v>
      </c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spans="2:28" ht="16.5" customHeight="1">
      <c r="B274" s="22">
        <f t="shared" si="43"/>
        <v>261</v>
      </c>
      <c r="C274" s="23">
        <f t="shared" si="44"/>
        <v>3817.7199822000239</v>
      </c>
      <c r="D274" s="23">
        <f t="shared" si="45"/>
        <v>5998.7255232347634</v>
      </c>
      <c r="E274" s="23">
        <f t="shared" si="46"/>
        <v>9816.4455054347873</v>
      </c>
      <c r="F274" s="23">
        <f t="shared" si="47"/>
        <v>628372.86153757235</v>
      </c>
      <c r="G274" s="2"/>
      <c r="H274" s="22">
        <f t="shared" si="48"/>
        <v>261</v>
      </c>
      <c r="I274" s="23">
        <f t="shared" si="49"/>
        <v>2777.7777777777778</v>
      </c>
      <c r="J274" s="23">
        <f t="shared" si="41"/>
        <v>2635.775815162021</v>
      </c>
      <c r="K274" s="23">
        <f t="shared" si="42"/>
        <v>5413.5535929397993</v>
      </c>
      <c r="L274" s="23">
        <f t="shared" si="40"/>
        <v>275000.00000000675</v>
      </c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spans="2:28" ht="16.5" customHeight="1">
      <c r="B275" s="22">
        <f t="shared" si="43"/>
        <v>262</v>
      </c>
      <c r="C275" s="23">
        <f t="shared" si="44"/>
        <v>3853.9455365933381</v>
      </c>
      <c r="D275" s="23">
        <f t="shared" si="45"/>
        <v>5962.4999688414473</v>
      </c>
      <c r="E275" s="23">
        <f t="shared" si="46"/>
        <v>9816.4455054347854</v>
      </c>
      <c r="F275" s="23">
        <f t="shared" si="47"/>
        <v>624518.91600097902</v>
      </c>
      <c r="G275" s="2"/>
      <c r="H275" s="22">
        <f t="shared" si="48"/>
        <v>262</v>
      </c>
      <c r="I275" s="23">
        <f t="shared" si="49"/>
        <v>2777.7777777777778</v>
      </c>
      <c r="J275" s="23">
        <f t="shared" si="41"/>
        <v>2609.4180570104018</v>
      </c>
      <c r="K275" s="23">
        <f t="shared" si="42"/>
        <v>5387.1958347881791</v>
      </c>
      <c r="L275" s="23">
        <f t="shared" si="40"/>
        <v>272222.222222229</v>
      </c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spans="2:28" ht="16.5" customHeight="1">
      <c r="B276" s="22">
        <f t="shared" si="43"/>
        <v>263</v>
      </c>
      <c r="C276" s="23">
        <f t="shared" si="44"/>
        <v>3890.5148277712351</v>
      </c>
      <c r="D276" s="23">
        <f t="shared" si="45"/>
        <v>5925.9306776635522</v>
      </c>
      <c r="E276" s="23">
        <f t="shared" si="46"/>
        <v>9816.4455054347873</v>
      </c>
      <c r="F276" s="23">
        <f t="shared" si="47"/>
        <v>620628.40117320779</v>
      </c>
      <c r="G276" s="2"/>
      <c r="H276" s="22">
        <f t="shared" si="48"/>
        <v>263</v>
      </c>
      <c r="I276" s="23">
        <f t="shared" si="49"/>
        <v>2777.7777777777778</v>
      </c>
      <c r="J276" s="23">
        <f t="shared" si="41"/>
        <v>2583.0602988587825</v>
      </c>
      <c r="K276" s="23">
        <f t="shared" si="42"/>
        <v>5360.8380766365608</v>
      </c>
      <c r="L276" s="23">
        <f t="shared" si="40"/>
        <v>269444.44444445125</v>
      </c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spans="2:28" ht="16.5" customHeight="1">
      <c r="B277" s="22">
        <f t="shared" si="43"/>
        <v>264</v>
      </c>
      <c r="C277" s="23">
        <f t="shared" si="44"/>
        <v>3927.4311173808792</v>
      </c>
      <c r="D277" s="23">
        <f t="shared" si="45"/>
        <v>5889.0143880539063</v>
      </c>
      <c r="E277" s="23">
        <f t="shared" si="46"/>
        <v>9816.4455054347854</v>
      </c>
      <c r="F277" s="23">
        <f t="shared" si="47"/>
        <v>616700.97005582694</v>
      </c>
      <c r="G277" s="2"/>
      <c r="H277" s="22">
        <f t="shared" si="48"/>
        <v>264</v>
      </c>
      <c r="I277" s="23">
        <f t="shared" si="49"/>
        <v>2777.7777777777778</v>
      </c>
      <c r="J277" s="23">
        <f t="shared" si="41"/>
        <v>2556.7025407071628</v>
      </c>
      <c r="K277" s="23">
        <f t="shared" si="42"/>
        <v>5334.4803184849407</v>
      </c>
      <c r="L277" s="23">
        <f t="shared" si="40"/>
        <v>266666.6666666735</v>
      </c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spans="2:28" ht="16.5" customHeight="1">
      <c r="B278" s="22">
        <f t="shared" si="43"/>
        <v>265</v>
      </c>
      <c r="C278" s="23">
        <f t="shared" si="44"/>
        <v>3964.6976980185464</v>
      </c>
      <c r="D278" s="23">
        <f t="shared" si="45"/>
        <v>5851.7478074162409</v>
      </c>
      <c r="E278" s="23">
        <f t="shared" si="46"/>
        <v>9816.4455054347873</v>
      </c>
      <c r="F278" s="23">
        <f t="shared" si="47"/>
        <v>612736.27235780843</v>
      </c>
      <c r="G278" s="2"/>
      <c r="H278" s="22">
        <f t="shared" si="48"/>
        <v>265</v>
      </c>
      <c r="I278" s="23">
        <f t="shared" si="49"/>
        <v>2777.7777777777778</v>
      </c>
      <c r="J278" s="23">
        <f t="shared" si="41"/>
        <v>2530.3447825555436</v>
      </c>
      <c r="K278" s="23">
        <f t="shared" si="42"/>
        <v>5308.1225603333214</v>
      </c>
      <c r="L278" s="23">
        <f t="shared" si="40"/>
        <v>263888.88888889574</v>
      </c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spans="2:28" ht="16.5" customHeight="1">
      <c r="B279" s="22">
        <f t="shared" si="43"/>
        <v>266</v>
      </c>
      <c r="C279" s="23">
        <f t="shared" si="44"/>
        <v>4002.3178935232636</v>
      </c>
      <c r="D279" s="23">
        <f t="shared" si="45"/>
        <v>5814.1276119115255</v>
      </c>
      <c r="E279" s="23">
        <f t="shared" si="46"/>
        <v>9816.4455054347891</v>
      </c>
      <c r="F279" s="23">
        <f t="shared" si="47"/>
        <v>608733.95446428517</v>
      </c>
      <c r="G279" s="2"/>
      <c r="H279" s="22">
        <f t="shared" si="48"/>
        <v>266</v>
      </c>
      <c r="I279" s="23">
        <f t="shared" si="49"/>
        <v>2777.7777777777778</v>
      </c>
      <c r="J279" s="23">
        <f t="shared" si="41"/>
        <v>2503.9870244039244</v>
      </c>
      <c r="K279" s="23">
        <f t="shared" si="42"/>
        <v>5281.7648021817022</v>
      </c>
      <c r="L279" s="23">
        <f t="shared" si="40"/>
        <v>261111.11111111796</v>
      </c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spans="2:28" ht="16.5" customHeight="1">
      <c r="B280" s="22">
        <f t="shared" si="43"/>
        <v>267</v>
      </c>
      <c r="C280" s="23">
        <f t="shared" si="44"/>
        <v>4040.2950592732805</v>
      </c>
      <c r="D280" s="23">
        <f t="shared" si="45"/>
        <v>5776.1504461615068</v>
      </c>
      <c r="E280" s="23">
        <f t="shared" si="46"/>
        <v>9816.4455054347873</v>
      </c>
      <c r="F280" s="23">
        <f t="shared" si="47"/>
        <v>604693.65940501192</v>
      </c>
      <c r="G280" s="2"/>
      <c r="H280" s="22">
        <f t="shared" si="48"/>
        <v>267</v>
      </c>
      <c r="I280" s="23">
        <f t="shared" si="49"/>
        <v>2777.7777777777778</v>
      </c>
      <c r="J280" s="23">
        <f t="shared" si="41"/>
        <v>2477.6292662523047</v>
      </c>
      <c r="K280" s="23">
        <f t="shared" si="42"/>
        <v>5255.407044030082</v>
      </c>
      <c r="L280" s="23">
        <f t="shared" si="40"/>
        <v>258333.33333334018</v>
      </c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spans="2:28" ht="16.5" customHeight="1">
      <c r="B281" s="22">
        <f t="shared" si="43"/>
        <v>268</v>
      </c>
      <c r="C281" s="23">
        <f t="shared" si="44"/>
        <v>4078.6325824853457</v>
      </c>
      <c r="D281" s="23">
        <f t="shared" si="45"/>
        <v>5737.8129229494434</v>
      </c>
      <c r="E281" s="23">
        <f t="shared" si="46"/>
        <v>9816.4455054347891</v>
      </c>
      <c r="F281" s="23">
        <f t="shared" si="47"/>
        <v>600615.02682252659</v>
      </c>
      <c r="G281" s="2"/>
      <c r="H281" s="22">
        <f t="shared" si="48"/>
        <v>268</v>
      </c>
      <c r="I281" s="23">
        <f t="shared" si="49"/>
        <v>2777.7777777777778</v>
      </c>
      <c r="J281" s="23">
        <f t="shared" si="41"/>
        <v>2451.271508100685</v>
      </c>
      <c r="K281" s="23">
        <f t="shared" si="42"/>
        <v>5229.0492858784628</v>
      </c>
      <c r="L281" s="23">
        <f t="shared" si="40"/>
        <v>255555.5555555624</v>
      </c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spans="2:28" ht="16.5" customHeight="1">
      <c r="B282" s="22">
        <f t="shared" si="43"/>
        <v>269</v>
      </c>
      <c r="C282" s="23">
        <f t="shared" si="44"/>
        <v>4117.3338825167903</v>
      </c>
      <c r="D282" s="23">
        <f t="shared" si="45"/>
        <v>5699.111622917997</v>
      </c>
      <c r="E282" s="23">
        <f t="shared" si="46"/>
        <v>9816.4455054347873</v>
      </c>
      <c r="F282" s="23">
        <f t="shared" si="47"/>
        <v>596497.69294000976</v>
      </c>
      <c r="G282" s="2"/>
      <c r="H282" s="22">
        <f t="shared" si="48"/>
        <v>269</v>
      </c>
      <c r="I282" s="23">
        <f t="shared" si="49"/>
        <v>2777.7777777777778</v>
      </c>
      <c r="J282" s="23">
        <f t="shared" si="41"/>
        <v>2424.9137499490657</v>
      </c>
      <c r="K282" s="23">
        <f t="shared" si="42"/>
        <v>5202.6915277268436</v>
      </c>
      <c r="L282" s="23">
        <f t="shared" ref="L282:L345" si="50">IF(H282&gt;$E$7,0,IFERROR(L281-I282,0)-N282)</f>
        <v>252777.77777778462</v>
      </c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spans="2:28" ht="16.5" customHeight="1">
      <c r="B283" s="22">
        <f t="shared" si="43"/>
        <v>270</v>
      </c>
      <c r="C283" s="23">
        <f t="shared" si="44"/>
        <v>4156.4024111705376</v>
      </c>
      <c r="D283" s="23">
        <f t="shared" si="45"/>
        <v>5660.0430942642515</v>
      </c>
      <c r="E283" s="23">
        <f t="shared" si="46"/>
        <v>9816.4455054347891</v>
      </c>
      <c r="F283" s="23">
        <f t="shared" si="47"/>
        <v>592341.29052883922</v>
      </c>
      <c r="G283" s="2"/>
      <c r="H283" s="22">
        <f t="shared" si="48"/>
        <v>270</v>
      </c>
      <c r="I283" s="23">
        <f t="shared" si="49"/>
        <v>2777.7777777777778</v>
      </c>
      <c r="J283" s="23">
        <f t="shared" si="41"/>
        <v>2398.555991797446</v>
      </c>
      <c r="K283" s="23">
        <f t="shared" si="42"/>
        <v>5176.3337695752234</v>
      </c>
      <c r="L283" s="23">
        <f t="shared" si="50"/>
        <v>250000.00000000684</v>
      </c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spans="2:28" ht="16.5" customHeight="1">
      <c r="B284" s="22">
        <f t="shared" si="43"/>
        <v>271</v>
      </c>
      <c r="C284" s="23">
        <f t="shared" si="44"/>
        <v>4195.8416530029363</v>
      </c>
      <c r="D284" s="23">
        <f t="shared" si="45"/>
        <v>5620.6038524318528</v>
      </c>
      <c r="E284" s="23">
        <f t="shared" si="46"/>
        <v>9816.4455054347891</v>
      </c>
      <c r="F284" s="23">
        <f t="shared" si="47"/>
        <v>588145.44887583633</v>
      </c>
      <c r="G284" s="2"/>
      <c r="H284" s="22">
        <f t="shared" si="48"/>
        <v>271</v>
      </c>
      <c r="I284" s="23">
        <f t="shared" si="49"/>
        <v>2777.7777777777778</v>
      </c>
      <c r="J284" s="23">
        <f t="shared" si="41"/>
        <v>2372.1982336458263</v>
      </c>
      <c r="K284" s="23">
        <f t="shared" si="42"/>
        <v>5149.9760114236042</v>
      </c>
      <c r="L284" s="23">
        <f t="shared" si="50"/>
        <v>247222.22222222906</v>
      </c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spans="2:28" ht="16.5" customHeight="1">
      <c r="B285" s="22">
        <f t="shared" si="43"/>
        <v>272</v>
      </c>
      <c r="C285" s="23">
        <f t="shared" si="44"/>
        <v>4235.6551256345811</v>
      </c>
      <c r="D285" s="23">
        <f t="shared" si="45"/>
        <v>5580.7903798002098</v>
      </c>
      <c r="E285" s="23">
        <f t="shared" si="46"/>
        <v>9816.4455054347909</v>
      </c>
      <c r="F285" s="23">
        <f t="shared" si="47"/>
        <v>583909.7937502017</v>
      </c>
      <c r="G285" s="2"/>
      <c r="H285" s="22">
        <f t="shared" si="48"/>
        <v>272</v>
      </c>
      <c r="I285" s="23">
        <f t="shared" si="49"/>
        <v>2777.7777777777778</v>
      </c>
      <c r="J285" s="23">
        <f t="shared" si="41"/>
        <v>2345.8404754942067</v>
      </c>
      <c r="K285" s="23">
        <f t="shared" si="42"/>
        <v>5123.6182532719849</v>
      </c>
      <c r="L285" s="23">
        <f t="shared" si="50"/>
        <v>244444.44444445128</v>
      </c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spans="2:28" ht="16.5" customHeight="1">
      <c r="B286" s="22">
        <f t="shared" si="43"/>
        <v>273</v>
      </c>
      <c r="C286" s="23">
        <f t="shared" si="44"/>
        <v>4275.846380064032</v>
      </c>
      <c r="D286" s="23">
        <f t="shared" si="45"/>
        <v>5540.5991253707571</v>
      </c>
      <c r="E286" s="23">
        <f t="shared" si="46"/>
        <v>9816.4455054347891</v>
      </c>
      <c r="F286" s="23">
        <f t="shared" si="47"/>
        <v>579633.94737013767</v>
      </c>
      <c r="G286" s="2"/>
      <c r="H286" s="22">
        <f t="shared" si="48"/>
        <v>273</v>
      </c>
      <c r="I286" s="23">
        <f t="shared" si="49"/>
        <v>2777.7777777777778</v>
      </c>
      <c r="J286" s="23">
        <f t="shared" si="41"/>
        <v>2319.482717342587</v>
      </c>
      <c r="K286" s="23">
        <f t="shared" si="42"/>
        <v>5097.2604951203648</v>
      </c>
      <c r="L286" s="23">
        <f t="shared" si="50"/>
        <v>241666.6666666735</v>
      </c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spans="2:28" ht="16.5" customHeight="1">
      <c r="B287" s="22">
        <f t="shared" si="43"/>
        <v>274</v>
      </c>
      <c r="C287" s="23">
        <f t="shared" si="44"/>
        <v>4316.4190009845443</v>
      </c>
      <c r="D287" s="23">
        <f t="shared" si="45"/>
        <v>5500.026504450243</v>
      </c>
      <c r="E287" s="23">
        <f t="shared" si="46"/>
        <v>9816.4455054347873</v>
      </c>
      <c r="F287" s="23">
        <f t="shared" si="47"/>
        <v>575317.52836915315</v>
      </c>
      <c r="G287" s="2"/>
      <c r="H287" s="22">
        <f t="shared" si="48"/>
        <v>274</v>
      </c>
      <c r="I287" s="23">
        <f t="shared" si="49"/>
        <v>2777.7777777777778</v>
      </c>
      <c r="J287" s="23">
        <f t="shared" si="41"/>
        <v>2293.1249591909677</v>
      </c>
      <c r="K287" s="23">
        <f t="shared" si="42"/>
        <v>5070.9027369687456</v>
      </c>
      <c r="L287" s="23">
        <f t="shared" si="50"/>
        <v>238888.88888889572</v>
      </c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spans="2:28" ht="16.5" customHeight="1">
      <c r="B288" s="22">
        <f t="shared" si="43"/>
        <v>275</v>
      </c>
      <c r="C288" s="23">
        <f t="shared" si="44"/>
        <v>4357.3766071037862</v>
      </c>
      <c r="D288" s="23">
        <f t="shared" si="45"/>
        <v>5459.068898331001</v>
      </c>
      <c r="E288" s="23">
        <f t="shared" si="46"/>
        <v>9816.4455054347873</v>
      </c>
      <c r="F288" s="23">
        <f t="shared" si="47"/>
        <v>570960.15176204941</v>
      </c>
      <c r="G288" s="2"/>
      <c r="H288" s="22">
        <f t="shared" si="48"/>
        <v>275</v>
      </c>
      <c r="I288" s="23">
        <f t="shared" si="49"/>
        <v>2777.7777777777778</v>
      </c>
      <c r="J288" s="23">
        <f t="shared" si="41"/>
        <v>2266.767201039348</v>
      </c>
      <c r="K288" s="23">
        <f t="shared" si="42"/>
        <v>5044.5449788171263</v>
      </c>
      <c r="L288" s="23">
        <f t="shared" si="50"/>
        <v>236111.11111111793</v>
      </c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spans="2:28" ht="16.5" customHeight="1">
      <c r="B289" s="22">
        <f t="shared" si="43"/>
        <v>276</v>
      </c>
      <c r="C289" s="23">
        <f t="shared" si="44"/>
        <v>4398.7228514665912</v>
      </c>
      <c r="D289" s="23">
        <f t="shared" si="45"/>
        <v>5417.7226539681978</v>
      </c>
      <c r="E289" s="23">
        <f t="shared" si="46"/>
        <v>9816.4455054347891</v>
      </c>
      <c r="F289" s="23">
        <f t="shared" si="47"/>
        <v>566561.42891058279</v>
      </c>
      <c r="G289" s="2"/>
      <c r="H289" s="22">
        <f t="shared" si="48"/>
        <v>276</v>
      </c>
      <c r="I289" s="23">
        <f t="shared" si="49"/>
        <v>2777.7777777777778</v>
      </c>
      <c r="J289" s="23">
        <f t="shared" si="41"/>
        <v>2240.4094428877283</v>
      </c>
      <c r="K289" s="23">
        <f t="shared" si="42"/>
        <v>5018.1872206655062</v>
      </c>
      <c r="L289" s="23">
        <f t="shared" si="50"/>
        <v>233333.33333334015</v>
      </c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spans="2:28" ht="16.5" customHeight="1">
      <c r="B290" s="22">
        <f t="shared" si="43"/>
        <v>277</v>
      </c>
      <c r="C290" s="23">
        <f t="shared" si="44"/>
        <v>4440.4614217807748</v>
      </c>
      <c r="D290" s="23">
        <f t="shared" si="45"/>
        <v>5375.9840836540125</v>
      </c>
      <c r="E290" s="23">
        <f t="shared" si="46"/>
        <v>9816.4455054347873</v>
      </c>
      <c r="F290" s="23">
        <f t="shared" si="47"/>
        <v>562120.96748880204</v>
      </c>
      <c r="G290" s="2"/>
      <c r="H290" s="22">
        <f t="shared" si="48"/>
        <v>277</v>
      </c>
      <c r="I290" s="23">
        <f t="shared" si="49"/>
        <v>2777.7777777777778</v>
      </c>
      <c r="J290" s="23">
        <f t="shared" si="41"/>
        <v>2214.0516847361087</v>
      </c>
      <c r="K290" s="23">
        <f t="shared" si="42"/>
        <v>4991.829462513886</v>
      </c>
      <c r="L290" s="23">
        <f t="shared" si="50"/>
        <v>230555.55555556237</v>
      </c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spans="2:28" ht="16.5" customHeight="1">
      <c r="B291" s="22">
        <f t="shared" si="43"/>
        <v>278</v>
      </c>
      <c r="C291" s="23">
        <f t="shared" si="44"/>
        <v>4482.5960407460598</v>
      </c>
      <c r="D291" s="23">
        <f t="shared" si="45"/>
        <v>5333.8494646887311</v>
      </c>
      <c r="E291" s="23">
        <f t="shared" si="46"/>
        <v>9816.4455054347909</v>
      </c>
      <c r="F291" s="23">
        <f t="shared" si="47"/>
        <v>557638.37144805596</v>
      </c>
      <c r="G291" s="2"/>
      <c r="H291" s="22">
        <f t="shared" si="48"/>
        <v>278</v>
      </c>
      <c r="I291" s="23">
        <f t="shared" si="49"/>
        <v>2777.7777777777778</v>
      </c>
      <c r="J291" s="23">
        <f t="shared" si="41"/>
        <v>2187.693926584489</v>
      </c>
      <c r="K291" s="23">
        <f t="shared" si="42"/>
        <v>4965.4717043622668</v>
      </c>
      <c r="L291" s="23">
        <f t="shared" si="50"/>
        <v>227777.77777778459</v>
      </c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spans="2:28" ht="16.5" customHeight="1">
      <c r="B292" s="22">
        <f t="shared" si="43"/>
        <v>279</v>
      </c>
      <c r="C292" s="23">
        <f t="shared" si="44"/>
        <v>4525.1304663860801</v>
      </c>
      <c r="D292" s="23">
        <f t="shared" si="45"/>
        <v>5291.315039048709</v>
      </c>
      <c r="E292" s="23">
        <f t="shared" si="46"/>
        <v>9816.4455054347891</v>
      </c>
      <c r="F292" s="23">
        <f t="shared" si="47"/>
        <v>553113.24098166986</v>
      </c>
      <c r="G292" s="2"/>
      <c r="H292" s="22">
        <f t="shared" si="48"/>
        <v>279</v>
      </c>
      <c r="I292" s="23">
        <f t="shared" si="49"/>
        <v>2777.7777777777778</v>
      </c>
      <c r="J292" s="23">
        <f t="shared" si="41"/>
        <v>2161.3361684328697</v>
      </c>
      <c r="K292" s="23">
        <f t="shared" si="42"/>
        <v>4939.1139462106476</v>
      </c>
      <c r="L292" s="23">
        <f t="shared" si="50"/>
        <v>225000.00000000681</v>
      </c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spans="2:28" ht="16.5" customHeight="1">
      <c r="B293" s="22">
        <f t="shared" si="43"/>
        <v>280</v>
      </c>
      <c r="C293" s="23">
        <f t="shared" si="44"/>
        <v>4568.0684923835906</v>
      </c>
      <c r="D293" s="23">
        <f t="shared" si="45"/>
        <v>5248.3770130511984</v>
      </c>
      <c r="E293" s="23">
        <f t="shared" si="46"/>
        <v>9816.4455054347891</v>
      </c>
      <c r="F293" s="23">
        <f t="shared" si="47"/>
        <v>548545.17248928628</v>
      </c>
      <c r="G293" s="2"/>
      <c r="H293" s="22">
        <f t="shared" si="48"/>
        <v>280</v>
      </c>
      <c r="I293" s="23">
        <f t="shared" si="49"/>
        <v>2777.7777777777778</v>
      </c>
      <c r="J293" s="23">
        <f t="shared" si="41"/>
        <v>2134.97841028125</v>
      </c>
      <c r="K293" s="23">
        <f t="shared" si="42"/>
        <v>4912.7561880590274</v>
      </c>
      <c r="L293" s="23">
        <f t="shared" si="50"/>
        <v>222222.22222222903</v>
      </c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spans="2:28" ht="16.5" customHeight="1">
      <c r="B294" s="22">
        <f t="shared" si="43"/>
        <v>281</v>
      </c>
      <c r="C294" s="23">
        <f t="shared" si="44"/>
        <v>4611.4139484188108</v>
      </c>
      <c r="D294" s="23">
        <f t="shared" si="45"/>
        <v>5205.0315570159783</v>
      </c>
      <c r="E294" s="23">
        <f t="shared" si="46"/>
        <v>9816.4455054347891</v>
      </c>
      <c r="F294" s="23">
        <f t="shared" si="47"/>
        <v>543933.75854086748</v>
      </c>
      <c r="G294" s="2"/>
      <c r="H294" s="22">
        <f t="shared" si="48"/>
        <v>281</v>
      </c>
      <c r="I294" s="23">
        <f t="shared" si="49"/>
        <v>2777.7777777777778</v>
      </c>
      <c r="J294" s="23">
        <f t="shared" si="41"/>
        <v>2108.6206521296303</v>
      </c>
      <c r="K294" s="23">
        <f t="shared" si="42"/>
        <v>4886.3984299074082</v>
      </c>
      <c r="L294" s="23">
        <f t="shared" si="50"/>
        <v>219444.44444445125</v>
      </c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spans="2:28" ht="16.5" customHeight="1">
      <c r="B295" s="22">
        <f t="shared" si="43"/>
        <v>282</v>
      </c>
      <c r="C295" s="23">
        <f t="shared" si="44"/>
        <v>4655.1707005110056</v>
      </c>
      <c r="D295" s="23">
        <f t="shared" si="45"/>
        <v>5161.2748049237834</v>
      </c>
      <c r="E295" s="23">
        <f t="shared" si="46"/>
        <v>9816.4455054347891</v>
      </c>
      <c r="F295" s="23">
        <f t="shared" si="47"/>
        <v>539278.58784035651</v>
      </c>
      <c r="G295" s="2"/>
      <c r="H295" s="22">
        <f t="shared" si="48"/>
        <v>282</v>
      </c>
      <c r="I295" s="23">
        <f t="shared" si="49"/>
        <v>2777.7777777777778</v>
      </c>
      <c r="J295" s="23">
        <f t="shared" si="41"/>
        <v>2082.2628939780107</v>
      </c>
      <c r="K295" s="23">
        <f t="shared" si="42"/>
        <v>4860.0406717557889</v>
      </c>
      <c r="L295" s="23">
        <f t="shared" si="50"/>
        <v>216666.66666667347</v>
      </c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spans="2:28" ht="16.5" customHeight="1">
      <c r="B296" s="22">
        <f t="shared" si="43"/>
        <v>283</v>
      </c>
      <c r="C296" s="23">
        <f t="shared" si="44"/>
        <v>4699.342651363294</v>
      </c>
      <c r="D296" s="23">
        <f t="shared" si="45"/>
        <v>5117.1028540714969</v>
      </c>
      <c r="E296" s="23">
        <f t="shared" si="46"/>
        <v>9816.4455054347909</v>
      </c>
      <c r="F296" s="23">
        <f t="shared" si="47"/>
        <v>534579.24518899317</v>
      </c>
      <c r="G296" s="2"/>
      <c r="H296" s="22">
        <f t="shared" si="48"/>
        <v>283</v>
      </c>
      <c r="I296" s="23">
        <f t="shared" si="49"/>
        <v>2777.7777777777778</v>
      </c>
      <c r="J296" s="23">
        <f t="shared" si="41"/>
        <v>2055.905135826391</v>
      </c>
      <c r="K296" s="23">
        <f t="shared" si="42"/>
        <v>4833.6829136041688</v>
      </c>
      <c r="L296" s="23">
        <f t="shared" si="50"/>
        <v>213888.88888889569</v>
      </c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spans="2:28" ht="16.5" customHeight="1">
      <c r="B297" s="22">
        <f t="shared" si="43"/>
        <v>284</v>
      </c>
      <c r="C297" s="23">
        <f t="shared" si="44"/>
        <v>4743.9337407107332</v>
      </c>
      <c r="D297" s="23">
        <f t="shared" si="45"/>
        <v>5072.5117647240559</v>
      </c>
      <c r="E297" s="23">
        <f t="shared" si="46"/>
        <v>9816.4455054347891</v>
      </c>
      <c r="F297" s="23">
        <f t="shared" si="47"/>
        <v>529835.31144828245</v>
      </c>
      <c r="G297" s="2"/>
      <c r="H297" s="22">
        <f t="shared" si="48"/>
        <v>284</v>
      </c>
      <c r="I297" s="23">
        <f t="shared" si="49"/>
        <v>2777.7777777777778</v>
      </c>
      <c r="J297" s="23">
        <f t="shared" si="41"/>
        <v>2029.5473776747715</v>
      </c>
      <c r="K297" s="23">
        <f t="shared" si="42"/>
        <v>4807.3251554525496</v>
      </c>
      <c r="L297" s="23">
        <f t="shared" si="50"/>
        <v>211111.11111111791</v>
      </c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spans="2:28" ht="16.5" customHeight="1">
      <c r="B298" s="22">
        <f t="shared" si="43"/>
        <v>285</v>
      </c>
      <c r="C298" s="23">
        <f t="shared" si="44"/>
        <v>4788.947945671719</v>
      </c>
      <c r="D298" s="23">
        <f t="shared" si="45"/>
        <v>5027.4975597630701</v>
      </c>
      <c r="E298" s="23">
        <f t="shared" si="46"/>
        <v>9816.4455054347891</v>
      </c>
      <c r="F298" s="23">
        <f t="shared" si="47"/>
        <v>525046.36350261071</v>
      </c>
      <c r="G298" s="2"/>
      <c r="H298" s="22">
        <f t="shared" si="48"/>
        <v>285</v>
      </c>
      <c r="I298" s="23">
        <f t="shared" si="49"/>
        <v>2777.7777777777778</v>
      </c>
      <c r="J298" s="23">
        <f t="shared" si="41"/>
        <v>2003.1896195231518</v>
      </c>
      <c r="K298" s="23">
        <f t="shared" si="42"/>
        <v>4780.9673973009294</v>
      </c>
      <c r="L298" s="23">
        <f t="shared" si="50"/>
        <v>208333.33333334012</v>
      </c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spans="2:28" ht="16.5" customHeight="1">
      <c r="B299" s="22">
        <f t="shared" si="43"/>
        <v>286</v>
      </c>
      <c r="C299" s="23">
        <f t="shared" si="44"/>
        <v>4834.3892811026935</v>
      </c>
      <c r="D299" s="23">
        <f t="shared" si="45"/>
        <v>4982.0562243320937</v>
      </c>
      <c r="E299" s="23">
        <f t="shared" si="46"/>
        <v>9816.4455054347873</v>
      </c>
      <c r="F299" s="23">
        <f t="shared" si="47"/>
        <v>520211.97422150802</v>
      </c>
      <c r="G299" s="2"/>
      <c r="H299" s="22">
        <f t="shared" si="48"/>
        <v>286</v>
      </c>
      <c r="I299" s="23">
        <f t="shared" si="49"/>
        <v>2777.7777777777778</v>
      </c>
      <c r="J299" s="23">
        <f t="shared" si="41"/>
        <v>1976.8318613715323</v>
      </c>
      <c r="K299" s="23">
        <f t="shared" si="42"/>
        <v>4754.6096391493102</v>
      </c>
      <c r="L299" s="23">
        <f t="shared" si="50"/>
        <v>205555.55555556234</v>
      </c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spans="2:28" ht="16.5" customHeight="1">
      <c r="B300" s="22">
        <f t="shared" si="43"/>
        <v>287</v>
      </c>
      <c r="C300" s="23">
        <f t="shared" si="44"/>
        <v>4880.2617999562444</v>
      </c>
      <c r="D300" s="23">
        <f t="shared" si="45"/>
        <v>4936.1837054785428</v>
      </c>
      <c r="E300" s="23">
        <f t="shared" si="46"/>
        <v>9816.4455054347873</v>
      </c>
      <c r="F300" s="23">
        <f t="shared" si="47"/>
        <v>515331.71242155175</v>
      </c>
      <c r="G300" s="2"/>
      <c r="H300" s="22">
        <f t="shared" si="48"/>
        <v>287</v>
      </c>
      <c r="I300" s="23">
        <f t="shared" si="49"/>
        <v>2777.7777777777778</v>
      </c>
      <c r="J300" s="23">
        <f t="shared" si="41"/>
        <v>1950.4741032199126</v>
      </c>
      <c r="K300" s="23">
        <f t="shared" si="42"/>
        <v>4728.25188099769</v>
      </c>
      <c r="L300" s="23">
        <f t="shared" si="50"/>
        <v>202777.77777778456</v>
      </c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spans="2:28" ht="16.5" customHeight="1">
      <c r="B301" s="22">
        <f t="shared" si="43"/>
        <v>288</v>
      </c>
      <c r="C301" s="23">
        <f t="shared" si="44"/>
        <v>4926.5695936425846</v>
      </c>
      <c r="D301" s="23">
        <f t="shared" si="45"/>
        <v>4889.8759117922027</v>
      </c>
      <c r="E301" s="23">
        <f t="shared" si="46"/>
        <v>9816.4455054347873</v>
      </c>
      <c r="F301" s="23">
        <f t="shared" si="47"/>
        <v>510405.14282790915</v>
      </c>
      <c r="G301" s="2"/>
      <c r="H301" s="22">
        <f t="shared" si="48"/>
        <v>288</v>
      </c>
      <c r="I301" s="23">
        <f t="shared" si="49"/>
        <v>2777.7777777777778</v>
      </c>
      <c r="J301" s="23">
        <f t="shared" si="41"/>
        <v>1924.1163450682932</v>
      </c>
      <c r="K301" s="23">
        <f t="shared" si="42"/>
        <v>4701.8941228460708</v>
      </c>
      <c r="L301" s="23">
        <f t="shared" si="50"/>
        <v>200000.00000000678</v>
      </c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spans="2:28" ht="16.5" customHeight="1">
      <c r="B302" s="22">
        <f t="shared" si="43"/>
        <v>289</v>
      </c>
      <c r="C302" s="23">
        <f t="shared" si="44"/>
        <v>4973.3167923944748</v>
      </c>
      <c r="D302" s="23">
        <f t="shared" si="45"/>
        <v>4843.1287130403143</v>
      </c>
      <c r="E302" s="23">
        <f t="shared" si="46"/>
        <v>9816.4455054347891</v>
      </c>
      <c r="F302" s="23">
        <f t="shared" si="47"/>
        <v>505431.82603551465</v>
      </c>
      <c r="G302" s="2"/>
      <c r="H302" s="22">
        <f t="shared" si="48"/>
        <v>289</v>
      </c>
      <c r="I302" s="23">
        <f t="shared" si="49"/>
        <v>2777.7777777777778</v>
      </c>
      <c r="J302" s="23">
        <f t="shared" si="41"/>
        <v>1897.7585869166735</v>
      </c>
      <c r="K302" s="23">
        <f t="shared" si="42"/>
        <v>4675.5363646944515</v>
      </c>
      <c r="L302" s="23">
        <f t="shared" si="50"/>
        <v>197222.222222229</v>
      </c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spans="2:28" ht="16.5" customHeight="1">
      <c r="B303" s="22">
        <f t="shared" si="43"/>
        <v>290</v>
      </c>
      <c r="C303" s="23">
        <f t="shared" si="44"/>
        <v>5020.5075656355884</v>
      </c>
      <c r="D303" s="23">
        <f t="shared" si="45"/>
        <v>4795.9379397991988</v>
      </c>
      <c r="E303" s="23">
        <f t="shared" si="46"/>
        <v>9816.4455054347873</v>
      </c>
      <c r="F303" s="23">
        <f t="shared" si="47"/>
        <v>500411.31846987904</v>
      </c>
      <c r="G303" s="2"/>
      <c r="H303" s="22">
        <f t="shared" si="48"/>
        <v>290</v>
      </c>
      <c r="I303" s="23">
        <f t="shared" si="49"/>
        <v>2777.7777777777778</v>
      </c>
      <c r="J303" s="23">
        <f t="shared" si="41"/>
        <v>1871.4008287650538</v>
      </c>
      <c r="K303" s="23">
        <f t="shared" si="42"/>
        <v>4649.1786065428314</v>
      </c>
      <c r="L303" s="23">
        <f t="shared" si="50"/>
        <v>194444.44444445122</v>
      </c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spans="2:28" ht="16.5" customHeight="1">
      <c r="B304" s="22">
        <f t="shared" si="43"/>
        <v>291</v>
      </c>
      <c r="C304" s="23">
        <f t="shared" si="44"/>
        <v>5068.1461223524129</v>
      </c>
      <c r="D304" s="23">
        <f t="shared" si="45"/>
        <v>4748.2993830823743</v>
      </c>
      <c r="E304" s="23">
        <f t="shared" si="46"/>
        <v>9816.4455054347873</v>
      </c>
      <c r="F304" s="23">
        <f t="shared" si="47"/>
        <v>495343.17234752665</v>
      </c>
      <c r="G304" s="2"/>
      <c r="H304" s="22">
        <f t="shared" si="48"/>
        <v>291</v>
      </c>
      <c r="I304" s="23">
        <f t="shared" si="49"/>
        <v>2777.7777777777778</v>
      </c>
      <c r="J304" s="23">
        <f t="shared" si="41"/>
        <v>1845.0430706134343</v>
      </c>
      <c r="K304" s="23">
        <f t="shared" si="42"/>
        <v>4622.8208483912122</v>
      </c>
      <c r="L304" s="23">
        <f t="shared" si="50"/>
        <v>191666.66666667344</v>
      </c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spans="2:28" ht="16.5" customHeight="1">
      <c r="B305" s="22">
        <f t="shared" si="43"/>
        <v>292</v>
      </c>
      <c r="C305" s="23">
        <f t="shared" si="44"/>
        <v>5116.2367114696244</v>
      </c>
      <c r="D305" s="23">
        <f t="shared" si="45"/>
        <v>4700.2087939651628</v>
      </c>
      <c r="E305" s="23">
        <f t="shared" si="46"/>
        <v>9816.4455054347873</v>
      </c>
      <c r="F305" s="23">
        <f t="shared" si="47"/>
        <v>490226.93563605705</v>
      </c>
      <c r="G305" s="2"/>
      <c r="H305" s="22">
        <f t="shared" si="48"/>
        <v>292</v>
      </c>
      <c r="I305" s="23">
        <f t="shared" si="49"/>
        <v>2777.7777777777778</v>
      </c>
      <c r="J305" s="23">
        <f t="shared" si="41"/>
        <v>1818.6853124618146</v>
      </c>
      <c r="K305" s="23">
        <f t="shared" si="42"/>
        <v>4596.4630902395929</v>
      </c>
      <c r="L305" s="23">
        <f t="shared" si="50"/>
        <v>188888.88888889566</v>
      </c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spans="2:28" ht="16.5" customHeight="1">
      <c r="B306" s="22">
        <f t="shared" si="43"/>
        <v>293</v>
      </c>
      <c r="C306" s="23">
        <f t="shared" si="44"/>
        <v>5164.7836222290734</v>
      </c>
      <c r="D306" s="23">
        <f t="shared" si="45"/>
        <v>4651.6618832057156</v>
      </c>
      <c r="E306" s="23">
        <f t="shared" si="46"/>
        <v>9816.4455054347891</v>
      </c>
      <c r="F306" s="23">
        <f t="shared" si="47"/>
        <v>485062.15201382799</v>
      </c>
      <c r="G306" s="2"/>
      <c r="H306" s="22">
        <f t="shared" si="48"/>
        <v>293</v>
      </c>
      <c r="I306" s="23">
        <f t="shared" si="49"/>
        <v>2777.7777777777778</v>
      </c>
      <c r="J306" s="23">
        <f t="shared" si="41"/>
        <v>1792.3275543101952</v>
      </c>
      <c r="K306" s="23">
        <f t="shared" si="42"/>
        <v>4570.1053320879728</v>
      </c>
      <c r="L306" s="23">
        <f t="shared" si="50"/>
        <v>186111.11111111788</v>
      </c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spans="2:28" ht="16.5" customHeight="1">
      <c r="B307" s="22">
        <f t="shared" si="43"/>
        <v>294</v>
      </c>
      <c r="C307" s="23">
        <f t="shared" si="44"/>
        <v>5213.7911845723311</v>
      </c>
      <c r="D307" s="23">
        <f t="shared" si="45"/>
        <v>4602.654320862458</v>
      </c>
      <c r="E307" s="23">
        <f t="shared" si="46"/>
        <v>9816.4455054347891</v>
      </c>
      <c r="F307" s="23">
        <f t="shared" si="47"/>
        <v>479848.36082925566</v>
      </c>
      <c r="G307" s="2"/>
      <c r="H307" s="22">
        <f t="shared" si="48"/>
        <v>294</v>
      </c>
      <c r="I307" s="23">
        <f t="shared" si="49"/>
        <v>2777.7777777777778</v>
      </c>
      <c r="J307" s="23">
        <f t="shared" si="41"/>
        <v>1765.9697961585755</v>
      </c>
      <c r="K307" s="23">
        <f t="shared" si="42"/>
        <v>4543.7475739363535</v>
      </c>
      <c r="L307" s="23">
        <f t="shared" si="50"/>
        <v>183333.3333333401</v>
      </c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spans="2:28" ht="16.5" customHeight="1">
      <c r="B308" s="22">
        <f t="shared" si="43"/>
        <v>295</v>
      </c>
      <c r="C308" s="23">
        <f t="shared" si="44"/>
        <v>5263.2637695268904</v>
      </c>
      <c r="D308" s="23">
        <f t="shared" si="45"/>
        <v>4553.1817359078968</v>
      </c>
      <c r="E308" s="23">
        <f t="shared" si="46"/>
        <v>9816.4455054347873</v>
      </c>
      <c r="F308" s="23">
        <f t="shared" si="47"/>
        <v>474585.09705972875</v>
      </c>
      <c r="G308" s="2"/>
      <c r="H308" s="22">
        <f t="shared" si="48"/>
        <v>295</v>
      </c>
      <c r="I308" s="23">
        <f t="shared" si="49"/>
        <v>2777.7777777777778</v>
      </c>
      <c r="J308" s="23">
        <f t="shared" si="41"/>
        <v>1739.6120380069558</v>
      </c>
      <c r="K308" s="23">
        <f t="shared" si="42"/>
        <v>4517.3898157847334</v>
      </c>
      <c r="L308" s="23">
        <f t="shared" si="50"/>
        <v>180555.55555556231</v>
      </c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spans="2:28" ht="16.5" customHeight="1">
      <c r="B309" s="22">
        <f t="shared" si="43"/>
        <v>296</v>
      </c>
      <c r="C309" s="23">
        <f t="shared" si="44"/>
        <v>5313.2057895960243</v>
      </c>
      <c r="D309" s="23">
        <f t="shared" si="45"/>
        <v>4503.239715838763</v>
      </c>
      <c r="E309" s="23">
        <f t="shared" si="46"/>
        <v>9816.4455054347873</v>
      </c>
      <c r="F309" s="23">
        <f t="shared" si="47"/>
        <v>469271.89127013274</v>
      </c>
      <c r="G309" s="2"/>
      <c r="H309" s="22">
        <f t="shared" si="48"/>
        <v>296</v>
      </c>
      <c r="I309" s="23">
        <f t="shared" si="49"/>
        <v>2777.7777777777778</v>
      </c>
      <c r="J309" s="23">
        <f t="shared" si="41"/>
        <v>1713.2542798553363</v>
      </c>
      <c r="K309" s="23">
        <f t="shared" si="42"/>
        <v>4491.0320576331142</v>
      </c>
      <c r="L309" s="23">
        <f t="shared" si="50"/>
        <v>177777.77777778453</v>
      </c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spans="2:28" ht="16.5" customHeight="1">
      <c r="B310" s="22">
        <f t="shared" si="43"/>
        <v>297</v>
      </c>
      <c r="C310" s="23">
        <f t="shared" si="44"/>
        <v>5363.6216991523306</v>
      </c>
      <c r="D310" s="23">
        <f t="shared" si="45"/>
        <v>4452.8238062824585</v>
      </c>
      <c r="E310" s="23">
        <f t="shared" si="46"/>
        <v>9816.4455054347891</v>
      </c>
      <c r="F310" s="23">
        <f t="shared" si="47"/>
        <v>463908.2695709804</v>
      </c>
      <c r="G310" s="2"/>
      <c r="H310" s="22">
        <f t="shared" si="48"/>
        <v>297</v>
      </c>
      <c r="I310" s="23">
        <f t="shared" si="49"/>
        <v>2777.7777777777778</v>
      </c>
      <c r="J310" s="23">
        <f t="shared" si="41"/>
        <v>1686.8965217037166</v>
      </c>
      <c r="K310" s="23">
        <f t="shared" si="42"/>
        <v>4464.674299481494</v>
      </c>
      <c r="L310" s="23">
        <f t="shared" si="50"/>
        <v>175000.00000000675</v>
      </c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spans="2:28" ht="16.5" customHeight="1">
      <c r="B311" s="22">
        <f t="shared" si="43"/>
        <v>298</v>
      </c>
      <c r="C311" s="23">
        <f t="shared" si="44"/>
        <v>5414.515994835022</v>
      </c>
      <c r="D311" s="23">
        <f t="shared" si="45"/>
        <v>4401.9295105997653</v>
      </c>
      <c r="E311" s="23">
        <f t="shared" si="46"/>
        <v>9816.4455054347873</v>
      </c>
      <c r="F311" s="23">
        <f t="shared" si="47"/>
        <v>458493.75357614539</v>
      </c>
      <c r="G311" s="2"/>
      <c r="H311" s="22">
        <f t="shared" si="48"/>
        <v>298</v>
      </c>
      <c r="I311" s="23">
        <f t="shared" si="49"/>
        <v>2777.7777777777778</v>
      </c>
      <c r="J311" s="23">
        <f t="shared" si="41"/>
        <v>1660.5387635520972</v>
      </c>
      <c r="K311" s="23">
        <f t="shared" si="42"/>
        <v>4438.3165413298748</v>
      </c>
      <c r="L311" s="23">
        <f t="shared" si="50"/>
        <v>172222.22222222897</v>
      </c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spans="2:28" ht="16.5" customHeight="1">
      <c r="B312" s="22">
        <f t="shared" si="43"/>
        <v>299</v>
      </c>
      <c r="C312" s="23">
        <f t="shared" si="44"/>
        <v>5465.8932159510005</v>
      </c>
      <c r="D312" s="23">
        <f t="shared" si="45"/>
        <v>4350.5522894837886</v>
      </c>
      <c r="E312" s="23">
        <f t="shared" si="46"/>
        <v>9816.4455054347891</v>
      </c>
      <c r="F312" s="23">
        <f t="shared" si="47"/>
        <v>453027.86036019441</v>
      </c>
      <c r="G312" s="2"/>
      <c r="H312" s="22">
        <f t="shared" si="48"/>
        <v>299</v>
      </c>
      <c r="I312" s="23">
        <f t="shared" si="49"/>
        <v>2777.7777777777778</v>
      </c>
      <c r="J312" s="23">
        <f t="shared" si="41"/>
        <v>1634.1810054004775</v>
      </c>
      <c r="K312" s="23">
        <f t="shared" si="42"/>
        <v>4411.9587831782555</v>
      </c>
      <c r="L312" s="23">
        <f t="shared" si="50"/>
        <v>169444.44444445119</v>
      </c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spans="2:28" ht="16.5" customHeight="1">
      <c r="B313" s="22">
        <f t="shared" si="43"/>
        <v>300</v>
      </c>
      <c r="C313" s="23">
        <f t="shared" si="44"/>
        <v>5517.7579448796996</v>
      </c>
      <c r="D313" s="23">
        <f t="shared" si="45"/>
        <v>4298.6875605550877</v>
      </c>
      <c r="E313" s="23">
        <f t="shared" si="46"/>
        <v>9816.4455054347873</v>
      </c>
      <c r="F313" s="23">
        <f t="shared" si="47"/>
        <v>447510.1024153147</v>
      </c>
      <c r="G313" s="2"/>
      <c r="H313" s="22">
        <f t="shared" si="48"/>
        <v>300</v>
      </c>
      <c r="I313" s="23">
        <f t="shared" si="49"/>
        <v>2777.7777777777778</v>
      </c>
      <c r="J313" s="23">
        <f t="shared" si="41"/>
        <v>1607.8232472488578</v>
      </c>
      <c r="K313" s="23">
        <f t="shared" si="42"/>
        <v>4385.6010250266354</v>
      </c>
      <c r="L313" s="23">
        <f t="shared" si="50"/>
        <v>166666.66666667341</v>
      </c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spans="2:28" ht="16.5" customHeight="1">
      <c r="B314" s="22">
        <f t="shared" si="43"/>
        <v>301</v>
      </c>
      <c r="C314" s="23">
        <f t="shared" si="44"/>
        <v>5570.1148074818157</v>
      </c>
      <c r="D314" s="23">
        <f t="shared" si="45"/>
        <v>4246.3306979529734</v>
      </c>
      <c r="E314" s="23">
        <f t="shared" si="46"/>
        <v>9816.4455054347891</v>
      </c>
      <c r="F314" s="23">
        <f t="shared" si="47"/>
        <v>441939.98760783288</v>
      </c>
      <c r="G314" s="2"/>
      <c r="H314" s="22">
        <f t="shared" si="48"/>
        <v>301</v>
      </c>
      <c r="I314" s="23">
        <f t="shared" si="49"/>
        <v>2777.7777777777778</v>
      </c>
      <c r="J314" s="23">
        <f t="shared" si="41"/>
        <v>1581.4654890972383</v>
      </c>
      <c r="K314" s="23">
        <f t="shared" si="42"/>
        <v>4359.2432668750162</v>
      </c>
      <c r="L314" s="23">
        <f t="shared" si="50"/>
        <v>163888.88888889563</v>
      </c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spans="2:28" ht="16.5" customHeight="1">
      <c r="B315" s="22">
        <f t="shared" si="43"/>
        <v>302</v>
      </c>
      <c r="C315" s="23">
        <f t="shared" si="44"/>
        <v>5622.9684735118653</v>
      </c>
      <c r="D315" s="23">
        <f t="shared" si="45"/>
        <v>4193.4770319229237</v>
      </c>
      <c r="E315" s="23">
        <f t="shared" si="46"/>
        <v>9816.4455054347891</v>
      </c>
      <c r="F315" s="23">
        <f t="shared" si="47"/>
        <v>436317.01913432102</v>
      </c>
      <c r="G315" s="2"/>
      <c r="H315" s="22">
        <f t="shared" si="48"/>
        <v>302</v>
      </c>
      <c r="I315" s="23">
        <f t="shared" si="49"/>
        <v>2777.7777777777778</v>
      </c>
      <c r="J315" s="23">
        <f t="shared" si="41"/>
        <v>1555.1077309456186</v>
      </c>
      <c r="K315" s="23">
        <f t="shared" si="42"/>
        <v>4332.8855087233969</v>
      </c>
      <c r="L315" s="23">
        <f t="shared" si="50"/>
        <v>161111.11111111785</v>
      </c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spans="2:28" ht="16.5" customHeight="1">
      <c r="B316" s="22">
        <f t="shared" si="43"/>
        <v>303</v>
      </c>
      <c r="C316" s="23">
        <f t="shared" si="44"/>
        <v>5676.3236570347099</v>
      </c>
      <c r="D316" s="23">
        <f t="shared" si="45"/>
        <v>4140.121848400081</v>
      </c>
      <c r="E316" s="23">
        <f t="shared" si="46"/>
        <v>9816.4455054347909</v>
      </c>
      <c r="F316" s="23">
        <f t="shared" si="47"/>
        <v>430640.6954772863</v>
      </c>
      <c r="G316" s="2"/>
      <c r="H316" s="22">
        <f t="shared" si="48"/>
        <v>303</v>
      </c>
      <c r="I316" s="23">
        <f t="shared" si="49"/>
        <v>2777.7777777777778</v>
      </c>
      <c r="J316" s="23">
        <f t="shared" si="41"/>
        <v>1528.7499727939989</v>
      </c>
      <c r="K316" s="23">
        <f t="shared" si="42"/>
        <v>4306.5277505717768</v>
      </c>
      <c r="L316" s="23">
        <f t="shared" si="50"/>
        <v>158333.33333334007</v>
      </c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spans="2:28" ht="16.5" customHeight="1">
      <c r="B317" s="22">
        <f t="shared" si="43"/>
        <v>304</v>
      </c>
      <c r="C317" s="23">
        <f t="shared" si="44"/>
        <v>5730.1851168459834</v>
      </c>
      <c r="D317" s="23">
        <f t="shared" si="45"/>
        <v>4086.2603885888034</v>
      </c>
      <c r="E317" s="23">
        <f t="shared" si="46"/>
        <v>9816.4455054347873</v>
      </c>
      <c r="F317" s="23">
        <f t="shared" si="47"/>
        <v>424910.5103604403</v>
      </c>
      <c r="G317" s="2"/>
      <c r="H317" s="22">
        <f t="shared" si="48"/>
        <v>304</v>
      </c>
      <c r="I317" s="23">
        <f t="shared" si="49"/>
        <v>2777.7777777777778</v>
      </c>
      <c r="J317" s="23">
        <f t="shared" si="41"/>
        <v>1502.3922146423795</v>
      </c>
      <c r="K317" s="23">
        <f t="shared" si="42"/>
        <v>4280.1699924201575</v>
      </c>
      <c r="L317" s="23">
        <f t="shared" si="50"/>
        <v>155555.55555556229</v>
      </c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spans="2:28" ht="16.5" customHeight="1">
      <c r="B318" s="22">
        <f t="shared" si="43"/>
        <v>305</v>
      </c>
      <c r="C318" s="23">
        <f t="shared" si="44"/>
        <v>5784.5576568965671</v>
      </c>
      <c r="D318" s="23">
        <f t="shared" si="45"/>
        <v>4031.887848538222</v>
      </c>
      <c r="E318" s="23">
        <f t="shared" si="46"/>
        <v>9816.4455054347891</v>
      </c>
      <c r="F318" s="23">
        <f t="shared" si="47"/>
        <v>419125.95270354371</v>
      </c>
      <c r="G318" s="2"/>
      <c r="H318" s="22">
        <f t="shared" si="48"/>
        <v>305</v>
      </c>
      <c r="I318" s="23">
        <f t="shared" si="49"/>
        <v>2777.7777777777778</v>
      </c>
      <c r="J318" s="23">
        <f t="shared" si="41"/>
        <v>1476.0344564907598</v>
      </c>
      <c r="K318" s="23">
        <f t="shared" si="42"/>
        <v>4253.8122342685374</v>
      </c>
      <c r="L318" s="23">
        <f t="shared" si="50"/>
        <v>152777.7777777845</v>
      </c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spans="2:28" ht="16.5" customHeight="1">
      <c r="B319" s="22">
        <f t="shared" si="43"/>
        <v>306</v>
      </c>
      <c r="C319" s="23">
        <f t="shared" si="44"/>
        <v>5839.4461267210154</v>
      </c>
      <c r="D319" s="23">
        <f t="shared" si="45"/>
        <v>3976.9993787137732</v>
      </c>
      <c r="E319" s="23">
        <f t="shared" si="46"/>
        <v>9816.4455054347891</v>
      </c>
      <c r="F319" s="23">
        <f t="shared" si="47"/>
        <v>413286.50657682266</v>
      </c>
      <c r="G319" s="2"/>
      <c r="H319" s="22">
        <f t="shared" si="48"/>
        <v>306</v>
      </c>
      <c r="I319" s="23">
        <f t="shared" si="49"/>
        <v>2777.7777777777778</v>
      </c>
      <c r="J319" s="23">
        <f t="shared" si="41"/>
        <v>1449.6766983391403</v>
      </c>
      <c r="K319" s="23">
        <f t="shared" si="42"/>
        <v>4227.4544761169182</v>
      </c>
      <c r="L319" s="23">
        <f t="shared" si="50"/>
        <v>150000.00000000672</v>
      </c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spans="2:28" ht="16.5" customHeight="1">
      <c r="B320" s="22">
        <f t="shared" si="43"/>
        <v>307</v>
      </c>
      <c r="C320" s="23">
        <f t="shared" si="44"/>
        <v>5894.8554218701229</v>
      </c>
      <c r="D320" s="23">
        <f t="shared" si="45"/>
        <v>3921.5900835646644</v>
      </c>
      <c r="E320" s="23">
        <f t="shared" si="46"/>
        <v>9816.4455054347873</v>
      </c>
      <c r="F320" s="23">
        <f t="shared" si="47"/>
        <v>407391.65115495253</v>
      </c>
      <c r="G320" s="2"/>
      <c r="H320" s="22">
        <f t="shared" si="48"/>
        <v>307</v>
      </c>
      <c r="I320" s="23">
        <f t="shared" si="49"/>
        <v>2777.7777777777778</v>
      </c>
      <c r="J320" s="23">
        <f t="shared" si="41"/>
        <v>1423.3189401875206</v>
      </c>
      <c r="K320" s="23">
        <f t="shared" si="42"/>
        <v>4201.096717965298</v>
      </c>
      <c r="L320" s="23">
        <f t="shared" si="50"/>
        <v>147222.22222222894</v>
      </c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spans="2:28" ht="16.5" customHeight="1">
      <c r="B321" s="22">
        <f t="shared" si="43"/>
        <v>308</v>
      </c>
      <c r="C321" s="23">
        <f t="shared" si="44"/>
        <v>5950.7904843475526</v>
      </c>
      <c r="D321" s="23">
        <f t="shared" si="45"/>
        <v>3865.6550210872347</v>
      </c>
      <c r="E321" s="23">
        <f t="shared" si="46"/>
        <v>9816.4455054347873</v>
      </c>
      <c r="F321" s="23">
        <f t="shared" si="47"/>
        <v>401440.86067060498</v>
      </c>
      <c r="G321" s="2"/>
      <c r="H321" s="22">
        <f t="shared" si="48"/>
        <v>308</v>
      </c>
      <c r="I321" s="23">
        <f t="shared" si="49"/>
        <v>2777.7777777777778</v>
      </c>
      <c r="J321" s="23">
        <f t="shared" si="41"/>
        <v>1396.9611820359009</v>
      </c>
      <c r="K321" s="23">
        <f t="shared" si="42"/>
        <v>4174.7389598136788</v>
      </c>
      <c r="L321" s="23">
        <f t="shared" si="50"/>
        <v>144444.44444445116</v>
      </c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spans="2:28" ht="16.5" customHeight="1">
      <c r="B322" s="22">
        <f t="shared" si="43"/>
        <v>309</v>
      </c>
      <c r="C322" s="23">
        <f t="shared" si="44"/>
        <v>6007.2563030506135</v>
      </c>
      <c r="D322" s="23">
        <f t="shared" si="45"/>
        <v>3809.1892023841733</v>
      </c>
      <c r="E322" s="23">
        <f t="shared" si="46"/>
        <v>9816.4455054347873</v>
      </c>
      <c r="F322" s="23">
        <f t="shared" si="47"/>
        <v>395433.60436755436</v>
      </c>
      <c r="G322" s="2"/>
      <c r="H322" s="22">
        <f t="shared" si="48"/>
        <v>309</v>
      </c>
      <c r="I322" s="23">
        <f t="shared" si="49"/>
        <v>2777.7777777777778</v>
      </c>
      <c r="J322" s="23">
        <f t="shared" si="41"/>
        <v>1370.6034238842815</v>
      </c>
      <c r="K322" s="23">
        <f t="shared" si="42"/>
        <v>4148.3812016620595</v>
      </c>
      <c r="L322" s="23">
        <f t="shared" si="50"/>
        <v>141666.66666667338</v>
      </c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spans="2:28" ht="16.5" customHeight="1">
      <c r="B323" s="22">
        <f t="shared" si="43"/>
        <v>310</v>
      </c>
      <c r="C323" s="23">
        <f t="shared" si="44"/>
        <v>6064.2579142152281</v>
      </c>
      <c r="D323" s="23">
        <f t="shared" si="45"/>
        <v>3752.1875912195574</v>
      </c>
      <c r="E323" s="23">
        <f t="shared" si="46"/>
        <v>9816.4455054347854</v>
      </c>
      <c r="F323" s="23">
        <f t="shared" si="47"/>
        <v>389369.34645333915</v>
      </c>
      <c r="G323" s="2"/>
      <c r="H323" s="22">
        <f t="shared" si="48"/>
        <v>310</v>
      </c>
      <c r="I323" s="23">
        <f t="shared" si="49"/>
        <v>2777.7777777777778</v>
      </c>
      <c r="J323" s="23">
        <f t="shared" si="41"/>
        <v>1344.2456657326618</v>
      </c>
      <c r="K323" s="23">
        <f t="shared" si="42"/>
        <v>4122.0234435104394</v>
      </c>
      <c r="L323" s="23">
        <f t="shared" si="50"/>
        <v>138888.8888888956</v>
      </c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spans="2:28" ht="16.5" customHeight="1">
      <c r="B324" s="22">
        <f t="shared" si="43"/>
        <v>311</v>
      </c>
      <c r="C324" s="23">
        <f t="shared" si="44"/>
        <v>6121.8004018651245</v>
      </c>
      <c r="D324" s="23">
        <f t="shared" si="45"/>
        <v>3694.6451035696628</v>
      </c>
      <c r="E324" s="23">
        <f t="shared" si="46"/>
        <v>9816.4455054347873</v>
      </c>
      <c r="F324" s="23">
        <f t="shared" si="47"/>
        <v>383247.54605147406</v>
      </c>
      <c r="G324" s="2"/>
      <c r="H324" s="22">
        <f t="shared" si="48"/>
        <v>311</v>
      </c>
      <c r="I324" s="23">
        <f t="shared" si="49"/>
        <v>2777.7777777777778</v>
      </c>
      <c r="J324" s="23">
        <f t="shared" si="41"/>
        <v>1317.8879075810423</v>
      </c>
      <c r="K324" s="23">
        <f t="shared" si="42"/>
        <v>4095.6656853588202</v>
      </c>
      <c r="L324" s="23">
        <f t="shared" si="50"/>
        <v>136111.11111111782</v>
      </c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spans="2:28" ht="16.5" customHeight="1">
      <c r="B325" s="22">
        <f t="shared" si="43"/>
        <v>312</v>
      </c>
      <c r="C325" s="23">
        <f t="shared" si="44"/>
        <v>6179.8888982652697</v>
      </c>
      <c r="D325" s="23">
        <f t="shared" si="45"/>
        <v>3636.5566071695175</v>
      </c>
      <c r="E325" s="23">
        <f t="shared" si="46"/>
        <v>9816.4455054347873</v>
      </c>
      <c r="F325" s="23">
        <f t="shared" si="47"/>
        <v>377067.6571532088</v>
      </c>
      <c r="G325" s="2"/>
      <c r="H325" s="22">
        <f t="shared" si="48"/>
        <v>312</v>
      </c>
      <c r="I325" s="23">
        <f t="shared" si="49"/>
        <v>2777.7777777777778</v>
      </c>
      <c r="J325" s="23">
        <f t="shared" si="41"/>
        <v>1291.5301494294226</v>
      </c>
      <c r="K325" s="23">
        <f t="shared" si="42"/>
        <v>4069.3079272072005</v>
      </c>
      <c r="L325" s="23">
        <f t="shared" si="50"/>
        <v>133333.33333334004</v>
      </c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spans="2:28" ht="16.5" customHeight="1">
      <c r="B326" s="22">
        <f t="shared" si="43"/>
        <v>313</v>
      </c>
      <c r="C326" s="23">
        <f t="shared" si="44"/>
        <v>6238.5285843796373</v>
      </c>
      <c r="D326" s="23">
        <f t="shared" si="45"/>
        <v>3577.9169210551499</v>
      </c>
      <c r="E326" s="23">
        <f t="shared" si="46"/>
        <v>9816.4455054347873</v>
      </c>
      <c r="F326" s="23">
        <f t="shared" si="47"/>
        <v>370829.12856882915</v>
      </c>
      <c r="G326" s="2"/>
      <c r="H326" s="22">
        <f t="shared" si="48"/>
        <v>313</v>
      </c>
      <c r="I326" s="23">
        <f t="shared" si="49"/>
        <v>2777.7777777777778</v>
      </c>
      <c r="J326" s="23">
        <f t="shared" si="41"/>
        <v>1265.1723912778029</v>
      </c>
      <c r="K326" s="23">
        <f t="shared" si="42"/>
        <v>4042.9501690555808</v>
      </c>
      <c r="L326" s="23">
        <f t="shared" si="50"/>
        <v>130555.55555556226</v>
      </c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spans="2:28" ht="16.5" customHeight="1">
      <c r="B327" s="22">
        <f t="shared" si="43"/>
        <v>314</v>
      </c>
      <c r="C327" s="23">
        <f t="shared" si="44"/>
        <v>6297.7246903332934</v>
      </c>
      <c r="D327" s="23">
        <f t="shared" si="45"/>
        <v>3518.7208151014938</v>
      </c>
      <c r="E327" s="23">
        <f t="shared" si="46"/>
        <v>9816.4455054347873</v>
      </c>
      <c r="F327" s="23">
        <f t="shared" si="47"/>
        <v>364531.40387849585</v>
      </c>
      <c r="G327" s="2"/>
      <c r="H327" s="22">
        <f t="shared" si="48"/>
        <v>314</v>
      </c>
      <c r="I327" s="23">
        <f t="shared" si="49"/>
        <v>2777.7777777777778</v>
      </c>
      <c r="J327" s="23">
        <f t="shared" si="41"/>
        <v>1238.8146331261835</v>
      </c>
      <c r="K327" s="23">
        <f t="shared" si="42"/>
        <v>4016.5924109039615</v>
      </c>
      <c r="L327" s="23">
        <f t="shared" si="50"/>
        <v>127777.77777778447</v>
      </c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spans="2:28" ht="16.5" customHeight="1">
      <c r="B328" s="22">
        <f t="shared" si="43"/>
        <v>315</v>
      </c>
      <c r="C328" s="23">
        <f t="shared" si="44"/>
        <v>6357.4824958788777</v>
      </c>
      <c r="D328" s="23">
        <f t="shared" si="45"/>
        <v>3458.96300955591</v>
      </c>
      <c r="E328" s="23">
        <f t="shared" si="46"/>
        <v>9816.4455054347873</v>
      </c>
      <c r="F328" s="23">
        <f t="shared" si="47"/>
        <v>358173.92138261697</v>
      </c>
      <c r="G328" s="2"/>
      <c r="H328" s="22">
        <f t="shared" si="48"/>
        <v>315</v>
      </c>
      <c r="I328" s="23">
        <f t="shared" si="49"/>
        <v>2777.7777777777778</v>
      </c>
      <c r="J328" s="23">
        <f t="shared" si="41"/>
        <v>1212.4568749745638</v>
      </c>
      <c r="K328" s="23">
        <f t="shared" si="42"/>
        <v>3990.2346527523414</v>
      </c>
      <c r="L328" s="23">
        <f t="shared" si="50"/>
        <v>125000.00000000669</v>
      </c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spans="2:28" ht="16.5" customHeight="1">
      <c r="B329" s="22">
        <f t="shared" si="43"/>
        <v>316</v>
      </c>
      <c r="C329" s="23">
        <f t="shared" si="44"/>
        <v>6417.8073308675084</v>
      </c>
      <c r="D329" s="23">
        <f t="shared" si="45"/>
        <v>3398.6381745672793</v>
      </c>
      <c r="E329" s="23">
        <f t="shared" si="46"/>
        <v>9816.4455054347873</v>
      </c>
      <c r="F329" s="23">
        <f t="shared" si="47"/>
        <v>351756.11405174946</v>
      </c>
      <c r="G329" s="2"/>
      <c r="H329" s="22">
        <f t="shared" si="48"/>
        <v>316</v>
      </c>
      <c r="I329" s="23">
        <f t="shared" si="49"/>
        <v>2777.7777777777778</v>
      </c>
      <c r="J329" s="23">
        <f t="shared" si="41"/>
        <v>1186.0991168229443</v>
      </c>
      <c r="K329" s="23">
        <f t="shared" si="42"/>
        <v>3963.8768946007222</v>
      </c>
      <c r="L329" s="23">
        <f t="shared" si="50"/>
        <v>122222.22222222891</v>
      </c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spans="2:28" ht="16.5" customHeight="1">
      <c r="B330" s="22">
        <f t="shared" si="43"/>
        <v>317</v>
      </c>
      <c r="C330" s="23">
        <f t="shared" si="44"/>
        <v>6478.7045757241613</v>
      </c>
      <c r="D330" s="23">
        <f t="shared" si="45"/>
        <v>3337.7409297106283</v>
      </c>
      <c r="E330" s="23">
        <f t="shared" si="46"/>
        <v>9816.4455054347891</v>
      </c>
      <c r="F330" s="23">
        <f t="shared" si="47"/>
        <v>345277.40947602532</v>
      </c>
      <c r="G330" s="2"/>
      <c r="H330" s="22">
        <f t="shared" si="48"/>
        <v>317</v>
      </c>
      <c r="I330" s="23">
        <f t="shared" si="49"/>
        <v>2777.7777777777778</v>
      </c>
      <c r="J330" s="23">
        <f t="shared" si="41"/>
        <v>1159.7413586713246</v>
      </c>
      <c r="K330" s="23">
        <f t="shared" si="42"/>
        <v>3937.5191364491025</v>
      </c>
      <c r="L330" s="23">
        <f t="shared" si="50"/>
        <v>119444.44444445113</v>
      </c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spans="2:28" ht="16.5" customHeight="1">
      <c r="B331" s="22">
        <f t="shared" si="43"/>
        <v>318</v>
      </c>
      <c r="C331" s="23">
        <f t="shared" si="44"/>
        <v>6540.179661927541</v>
      </c>
      <c r="D331" s="23">
        <f t="shared" si="45"/>
        <v>3276.2658435072462</v>
      </c>
      <c r="E331" s="23">
        <f t="shared" si="46"/>
        <v>9816.4455054347873</v>
      </c>
      <c r="F331" s="23">
        <f t="shared" si="47"/>
        <v>338737.22981409775</v>
      </c>
      <c r="G331" s="2"/>
      <c r="H331" s="22">
        <f t="shared" si="48"/>
        <v>318</v>
      </c>
      <c r="I331" s="23">
        <f t="shared" si="49"/>
        <v>2777.7777777777778</v>
      </c>
      <c r="J331" s="23">
        <f t="shared" si="41"/>
        <v>1133.3836005197049</v>
      </c>
      <c r="K331" s="23">
        <f t="shared" si="42"/>
        <v>3911.1613782974828</v>
      </c>
      <c r="L331" s="23">
        <f t="shared" si="50"/>
        <v>116666.66666667335</v>
      </c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spans="2:28" ht="16.5" customHeight="1">
      <c r="B332" s="22">
        <f t="shared" si="43"/>
        <v>319</v>
      </c>
      <c r="C332" s="23">
        <f t="shared" si="44"/>
        <v>6602.2380724945433</v>
      </c>
      <c r="D332" s="23">
        <f t="shared" si="45"/>
        <v>3214.207432940244</v>
      </c>
      <c r="E332" s="23">
        <f t="shared" si="46"/>
        <v>9816.4455054347873</v>
      </c>
      <c r="F332" s="23">
        <f t="shared" si="47"/>
        <v>332134.99174160318</v>
      </c>
      <c r="G332" s="2"/>
      <c r="H332" s="22">
        <f t="shared" si="48"/>
        <v>319</v>
      </c>
      <c r="I332" s="23">
        <f t="shared" si="49"/>
        <v>2777.7777777777778</v>
      </c>
      <c r="J332" s="23">
        <f t="shared" si="41"/>
        <v>1107.0258423680855</v>
      </c>
      <c r="K332" s="23">
        <f t="shared" si="42"/>
        <v>3884.8036201458635</v>
      </c>
      <c r="L332" s="23">
        <f t="shared" si="50"/>
        <v>113888.88888889557</v>
      </c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spans="2:28" ht="16.5" customHeight="1">
      <c r="B333" s="22">
        <f t="shared" si="43"/>
        <v>320</v>
      </c>
      <c r="C333" s="23">
        <f t="shared" si="44"/>
        <v>6664.8853424692625</v>
      </c>
      <c r="D333" s="23">
        <f t="shared" si="45"/>
        <v>3151.5601629655225</v>
      </c>
      <c r="E333" s="23">
        <f t="shared" si="46"/>
        <v>9816.4455054347854</v>
      </c>
      <c r="F333" s="23">
        <f t="shared" si="47"/>
        <v>325470.10639913392</v>
      </c>
      <c r="G333" s="2"/>
      <c r="H333" s="22">
        <f t="shared" si="48"/>
        <v>320</v>
      </c>
      <c r="I333" s="23">
        <f t="shared" si="49"/>
        <v>2777.7777777777778</v>
      </c>
      <c r="J333" s="23">
        <f t="shared" si="41"/>
        <v>1080.6680842164658</v>
      </c>
      <c r="K333" s="23">
        <f t="shared" si="42"/>
        <v>3858.4458619942434</v>
      </c>
      <c r="L333" s="23">
        <f t="shared" si="50"/>
        <v>111111.11111111779</v>
      </c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spans="2:28" ht="16.5" customHeight="1">
      <c r="B334" s="22">
        <f t="shared" si="43"/>
        <v>321</v>
      </c>
      <c r="C334" s="23">
        <f t="shared" si="44"/>
        <v>6728.1270594166926</v>
      </c>
      <c r="D334" s="23">
        <f t="shared" si="45"/>
        <v>3088.3184460180942</v>
      </c>
      <c r="E334" s="23">
        <f t="shared" si="46"/>
        <v>9816.4455054347873</v>
      </c>
      <c r="F334" s="23">
        <f t="shared" si="47"/>
        <v>318741.97933971725</v>
      </c>
      <c r="G334" s="2"/>
      <c r="H334" s="22">
        <f t="shared" si="48"/>
        <v>321</v>
      </c>
      <c r="I334" s="23">
        <f t="shared" si="49"/>
        <v>2777.7777777777778</v>
      </c>
      <c r="J334" s="23">
        <f t="shared" ref="J334:J397" si="51">+L333*$E$9</f>
        <v>1054.3103260648463</v>
      </c>
      <c r="K334" s="23">
        <f t="shared" ref="K334:K397" si="52">I334+J334</f>
        <v>3832.0881038426242</v>
      </c>
      <c r="L334" s="23">
        <f t="shared" si="50"/>
        <v>108333.33333334001</v>
      </c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spans="2:28" ht="16.5" customHeight="1">
      <c r="B335" s="22">
        <f t="shared" ref="B335:B398" si="53">+B334+1</f>
        <v>322</v>
      </c>
      <c r="C335" s="23">
        <f t="shared" ref="C335:C398" si="54">IFERROR(E335-D335,0)</f>
        <v>6791.9688639210635</v>
      </c>
      <c r="D335" s="23">
        <f t="shared" ref="D335:D398" si="55">IFERROR(+F334*$E$9,0)</f>
        <v>3024.4766415137242</v>
      </c>
      <c r="E335" s="23">
        <f t="shared" ref="E335:E398" si="56">IFERROR(-PMT($E$9,$E$7-B334,F334),0)</f>
        <v>9816.4455054347873</v>
      </c>
      <c r="F335" s="23">
        <f t="shared" ref="F335:F398" si="57">IFERROR(F334-C335,0)</f>
        <v>311950.01047579618</v>
      </c>
      <c r="G335" s="2"/>
      <c r="H335" s="22">
        <f t="shared" ref="H335:H398" si="58">+H334+1</f>
        <v>322</v>
      </c>
      <c r="I335" s="23">
        <f t="shared" si="49"/>
        <v>2777.7777777777778</v>
      </c>
      <c r="J335" s="23">
        <f t="shared" si="51"/>
        <v>1027.9525679132266</v>
      </c>
      <c r="K335" s="23">
        <f t="shared" si="52"/>
        <v>3805.7303456910045</v>
      </c>
      <c r="L335" s="23">
        <f t="shared" si="50"/>
        <v>105555.55555556223</v>
      </c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spans="2:28" ht="16.5" customHeight="1">
      <c r="B336" s="22">
        <f t="shared" si="53"/>
        <v>323</v>
      </c>
      <c r="C336" s="23">
        <f t="shared" si="54"/>
        <v>6856.4164500889456</v>
      </c>
      <c r="D336" s="23">
        <f t="shared" si="55"/>
        <v>2960.0290553458417</v>
      </c>
      <c r="E336" s="23">
        <f t="shared" si="56"/>
        <v>9816.4455054347873</v>
      </c>
      <c r="F336" s="23">
        <f t="shared" si="57"/>
        <v>305093.59402570722</v>
      </c>
      <c r="G336" s="2"/>
      <c r="H336" s="22">
        <f t="shared" si="58"/>
        <v>323</v>
      </c>
      <c r="I336" s="23">
        <f t="shared" ref="I336:I399" si="59">IF(H336&gt;$E$7,0,I335)</f>
        <v>2777.7777777777778</v>
      </c>
      <c r="J336" s="23">
        <f t="shared" si="51"/>
        <v>1001.5948097616071</v>
      </c>
      <c r="K336" s="23">
        <f t="shared" si="52"/>
        <v>3779.3725875393848</v>
      </c>
      <c r="L336" s="23">
        <f t="shared" si="50"/>
        <v>102777.77777778445</v>
      </c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spans="2:28" ht="16.5" customHeight="1">
      <c r="B337" s="22">
        <f t="shared" si="53"/>
        <v>324</v>
      </c>
      <c r="C337" s="23">
        <f t="shared" si="54"/>
        <v>6921.4755660571082</v>
      </c>
      <c r="D337" s="23">
        <f t="shared" si="55"/>
        <v>2894.9699393776787</v>
      </c>
      <c r="E337" s="23">
        <f t="shared" si="56"/>
        <v>9816.4455054347873</v>
      </c>
      <c r="F337" s="23">
        <f t="shared" si="57"/>
        <v>298172.11845965014</v>
      </c>
      <c r="G337" s="2"/>
      <c r="H337" s="22">
        <f t="shared" si="58"/>
        <v>324</v>
      </c>
      <c r="I337" s="23">
        <f t="shared" si="59"/>
        <v>2777.7777777777778</v>
      </c>
      <c r="J337" s="23">
        <f t="shared" si="51"/>
        <v>975.23705160998736</v>
      </c>
      <c r="K337" s="23">
        <f t="shared" si="52"/>
        <v>3753.0148293877651</v>
      </c>
      <c r="L337" s="23">
        <f t="shared" si="50"/>
        <v>100000.00000000666</v>
      </c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spans="2:28" ht="16.5" customHeight="1">
      <c r="B338" s="22">
        <f t="shared" si="53"/>
        <v>325</v>
      </c>
      <c r="C338" s="23">
        <f t="shared" si="54"/>
        <v>6987.1520145052</v>
      </c>
      <c r="D338" s="23">
        <f t="shared" si="55"/>
        <v>2829.2934909295873</v>
      </c>
      <c r="E338" s="23">
        <f t="shared" si="56"/>
        <v>9816.4455054347873</v>
      </c>
      <c r="F338" s="23">
        <f t="shared" si="57"/>
        <v>291184.96644514496</v>
      </c>
      <c r="G338" s="2"/>
      <c r="H338" s="22">
        <f t="shared" si="58"/>
        <v>325</v>
      </c>
      <c r="I338" s="23">
        <f t="shared" si="59"/>
        <v>2777.7777777777778</v>
      </c>
      <c r="J338" s="23">
        <f t="shared" si="51"/>
        <v>948.87929345836778</v>
      </c>
      <c r="K338" s="23">
        <f t="shared" si="52"/>
        <v>3726.6570712361454</v>
      </c>
      <c r="L338" s="23">
        <f t="shared" si="50"/>
        <v>97222.222222228884</v>
      </c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spans="2:28" ht="16.5" customHeight="1">
      <c r="B339" s="22">
        <f t="shared" si="53"/>
        <v>326</v>
      </c>
      <c r="C339" s="23">
        <f t="shared" si="54"/>
        <v>7053.4516531732943</v>
      </c>
      <c r="D339" s="23">
        <f t="shared" si="55"/>
        <v>2762.993852261493</v>
      </c>
      <c r="E339" s="23">
        <f t="shared" si="56"/>
        <v>9816.4455054347873</v>
      </c>
      <c r="F339" s="23">
        <f t="shared" si="57"/>
        <v>284131.51479197165</v>
      </c>
      <c r="G339" s="2"/>
      <c r="H339" s="22">
        <f t="shared" si="58"/>
        <v>326</v>
      </c>
      <c r="I339" s="23">
        <f t="shared" si="59"/>
        <v>2777.7777777777778</v>
      </c>
      <c r="J339" s="23">
        <f t="shared" si="51"/>
        <v>922.52153530674821</v>
      </c>
      <c r="K339" s="23">
        <f t="shared" si="52"/>
        <v>3700.2993130845261</v>
      </c>
      <c r="L339" s="23">
        <f t="shared" si="50"/>
        <v>94444.444444451103</v>
      </c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spans="2:28" ht="16.5" customHeight="1">
      <c r="B340" s="22">
        <f t="shared" si="53"/>
        <v>327</v>
      </c>
      <c r="C340" s="23">
        <f t="shared" si="54"/>
        <v>7120.3803953843508</v>
      </c>
      <c r="D340" s="23">
        <f t="shared" si="55"/>
        <v>2696.0651100504388</v>
      </c>
      <c r="E340" s="23">
        <f t="shared" si="56"/>
        <v>9816.4455054347891</v>
      </c>
      <c r="F340" s="23">
        <f t="shared" si="57"/>
        <v>277011.13439658732</v>
      </c>
      <c r="G340" s="2"/>
      <c r="H340" s="22">
        <f t="shared" si="58"/>
        <v>327</v>
      </c>
      <c r="I340" s="23">
        <f t="shared" si="59"/>
        <v>2777.7777777777778</v>
      </c>
      <c r="J340" s="23">
        <f t="shared" si="51"/>
        <v>896.16377715512863</v>
      </c>
      <c r="K340" s="23">
        <f t="shared" si="52"/>
        <v>3673.9415549329065</v>
      </c>
      <c r="L340" s="23">
        <f t="shared" si="50"/>
        <v>91666.666666673322</v>
      </c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spans="2:28" ht="16.5" customHeight="1">
      <c r="B341" s="22">
        <f t="shared" si="53"/>
        <v>328</v>
      </c>
      <c r="C341" s="23">
        <f t="shared" si="54"/>
        <v>7187.9442105716171</v>
      </c>
      <c r="D341" s="23">
        <f t="shared" si="55"/>
        <v>2628.5012948631725</v>
      </c>
      <c r="E341" s="23">
        <f t="shared" si="56"/>
        <v>9816.4455054347891</v>
      </c>
      <c r="F341" s="23">
        <f t="shared" si="57"/>
        <v>269823.19018601568</v>
      </c>
      <c r="G341" s="2"/>
      <c r="H341" s="22">
        <f t="shared" si="58"/>
        <v>328</v>
      </c>
      <c r="I341" s="23">
        <f t="shared" si="59"/>
        <v>2777.7777777777778</v>
      </c>
      <c r="J341" s="23">
        <f t="shared" si="51"/>
        <v>869.80601900350905</v>
      </c>
      <c r="K341" s="23">
        <f t="shared" si="52"/>
        <v>3647.5837967812868</v>
      </c>
      <c r="L341" s="23">
        <f t="shared" si="50"/>
        <v>88888.888888895541</v>
      </c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spans="2:28" ht="16.5" customHeight="1">
      <c r="B342" s="22">
        <f t="shared" si="53"/>
        <v>329</v>
      </c>
      <c r="C342" s="23">
        <f t="shared" si="54"/>
        <v>7256.1491248110642</v>
      </c>
      <c r="D342" s="23">
        <f t="shared" si="55"/>
        <v>2560.2963806237231</v>
      </c>
      <c r="E342" s="23">
        <f t="shared" si="56"/>
        <v>9816.4455054347873</v>
      </c>
      <c r="F342" s="23">
        <f t="shared" si="57"/>
        <v>262567.04106120463</v>
      </c>
      <c r="G342" s="2"/>
      <c r="H342" s="22">
        <f t="shared" si="58"/>
        <v>329</v>
      </c>
      <c r="I342" s="23">
        <f t="shared" si="59"/>
        <v>2777.7777777777778</v>
      </c>
      <c r="J342" s="23">
        <f t="shared" si="51"/>
        <v>843.44826085188936</v>
      </c>
      <c r="K342" s="23">
        <f t="shared" si="52"/>
        <v>3621.2260386296671</v>
      </c>
      <c r="L342" s="23">
        <f t="shared" si="50"/>
        <v>86111.11111111776</v>
      </c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spans="2:28" ht="16.5" customHeight="1">
      <c r="B343" s="22">
        <f t="shared" si="53"/>
        <v>330</v>
      </c>
      <c r="C343" s="23">
        <f t="shared" si="54"/>
        <v>7325.0012213588525</v>
      </c>
      <c r="D343" s="23">
        <f t="shared" si="55"/>
        <v>2491.4442840759348</v>
      </c>
      <c r="E343" s="23">
        <f t="shared" si="56"/>
        <v>9816.4455054347873</v>
      </c>
      <c r="F343" s="23">
        <f t="shared" si="57"/>
        <v>255242.03983984576</v>
      </c>
      <c r="G343" s="2"/>
      <c r="H343" s="22">
        <f t="shared" si="58"/>
        <v>330</v>
      </c>
      <c r="I343" s="23">
        <f t="shared" si="59"/>
        <v>2777.7777777777778</v>
      </c>
      <c r="J343" s="23">
        <f t="shared" si="51"/>
        <v>817.09050270026978</v>
      </c>
      <c r="K343" s="23">
        <f t="shared" si="52"/>
        <v>3594.8682804780474</v>
      </c>
      <c r="L343" s="23">
        <f t="shared" si="50"/>
        <v>83333.333333339979</v>
      </c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spans="2:28" ht="16.5" customHeight="1">
      <c r="B344" s="22">
        <f t="shared" si="53"/>
        <v>331</v>
      </c>
      <c r="C344" s="23">
        <f t="shared" si="54"/>
        <v>7394.5066411938951</v>
      </c>
      <c r="D344" s="23">
        <f t="shared" si="55"/>
        <v>2421.9388642408926</v>
      </c>
      <c r="E344" s="23">
        <f t="shared" si="56"/>
        <v>9816.4455054347873</v>
      </c>
      <c r="F344" s="23">
        <f t="shared" si="57"/>
        <v>247847.53319865186</v>
      </c>
      <c r="G344" s="2"/>
      <c r="H344" s="22">
        <f t="shared" si="58"/>
        <v>331</v>
      </c>
      <c r="I344" s="23">
        <f t="shared" si="59"/>
        <v>2777.7777777777778</v>
      </c>
      <c r="J344" s="23">
        <f t="shared" si="51"/>
        <v>790.7327445486502</v>
      </c>
      <c r="K344" s="23">
        <f t="shared" si="52"/>
        <v>3568.5105223264281</v>
      </c>
      <c r="L344" s="23">
        <f t="shared" si="50"/>
        <v>80555.555555562198</v>
      </c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spans="2:28" ht="16.5" customHeight="1">
      <c r="B345" s="22">
        <f t="shared" si="53"/>
        <v>332</v>
      </c>
      <c r="C345" s="23">
        <f t="shared" si="54"/>
        <v>7464.6715835655832</v>
      </c>
      <c r="D345" s="23">
        <f t="shared" si="55"/>
        <v>2351.7739218692045</v>
      </c>
      <c r="E345" s="23">
        <f t="shared" si="56"/>
        <v>9816.4455054347873</v>
      </c>
      <c r="F345" s="23">
        <f t="shared" si="57"/>
        <v>240382.86161508627</v>
      </c>
      <c r="G345" s="2"/>
      <c r="H345" s="22">
        <f t="shared" si="58"/>
        <v>332</v>
      </c>
      <c r="I345" s="23">
        <f t="shared" si="59"/>
        <v>2777.7777777777778</v>
      </c>
      <c r="J345" s="23">
        <f t="shared" si="51"/>
        <v>764.37498639703063</v>
      </c>
      <c r="K345" s="23">
        <f t="shared" si="52"/>
        <v>3542.1527641748085</v>
      </c>
      <c r="L345" s="23">
        <f t="shared" si="50"/>
        <v>77777.777777784417</v>
      </c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spans="2:28" ht="16.5" customHeight="1">
      <c r="B346" s="22">
        <f t="shared" si="53"/>
        <v>333</v>
      </c>
      <c r="C346" s="23">
        <f t="shared" si="54"/>
        <v>7535.502306546703</v>
      </c>
      <c r="D346" s="23">
        <f t="shared" si="55"/>
        <v>2280.9431988880847</v>
      </c>
      <c r="E346" s="23">
        <f t="shared" si="56"/>
        <v>9816.4455054347873</v>
      </c>
      <c r="F346" s="23">
        <f t="shared" si="57"/>
        <v>232847.35930853957</v>
      </c>
      <c r="G346" s="2"/>
      <c r="H346" s="22">
        <f t="shared" si="58"/>
        <v>333</v>
      </c>
      <c r="I346" s="23">
        <f t="shared" si="59"/>
        <v>2777.7777777777778</v>
      </c>
      <c r="J346" s="23">
        <f t="shared" si="51"/>
        <v>738.01722824541105</v>
      </c>
      <c r="K346" s="23">
        <f t="shared" si="52"/>
        <v>3515.7950060231888</v>
      </c>
      <c r="L346" s="23">
        <f t="shared" ref="L346:L409" si="60">IF(H346&gt;$E$7,0,IFERROR(L345-I346,0)-N346)</f>
        <v>75000.000000006636</v>
      </c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spans="2:28" ht="16.5" customHeight="1">
      <c r="B347" s="22">
        <f t="shared" si="53"/>
        <v>334</v>
      </c>
      <c r="C347" s="23">
        <f t="shared" si="54"/>
        <v>7607.0051275915976</v>
      </c>
      <c r="D347" s="23">
        <f t="shared" si="55"/>
        <v>2209.4403778431902</v>
      </c>
      <c r="E347" s="23">
        <f t="shared" si="56"/>
        <v>9816.4455054347873</v>
      </c>
      <c r="F347" s="23">
        <f t="shared" si="57"/>
        <v>225240.35418094796</v>
      </c>
      <c r="G347" s="2"/>
      <c r="H347" s="22">
        <f t="shared" si="58"/>
        <v>334</v>
      </c>
      <c r="I347" s="23">
        <f t="shared" si="59"/>
        <v>2777.7777777777778</v>
      </c>
      <c r="J347" s="23">
        <f t="shared" si="51"/>
        <v>711.65947009379136</v>
      </c>
      <c r="K347" s="23">
        <f t="shared" si="52"/>
        <v>3489.4372478715691</v>
      </c>
      <c r="L347" s="23">
        <f t="shared" si="60"/>
        <v>72222.222222228855</v>
      </c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spans="2:28" ht="16.5" customHeight="1">
      <c r="B348" s="22">
        <f t="shared" si="53"/>
        <v>335</v>
      </c>
      <c r="C348" s="23">
        <f t="shared" si="54"/>
        <v>7679.1864240996256</v>
      </c>
      <c r="D348" s="23">
        <f t="shared" si="55"/>
        <v>2137.2590813351617</v>
      </c>
      <c r="E348" s="23">
        <f t="shared" si="56"/>
        <v>9816.4455054347873</v>
      </c>
      <c r="F348" s="23">
        <f t="shared" si="57"/>
        <v>217561.16775684833</v>
      </c>
      <c r="G348" s="2"/>
      <c r="H348" s="22">
        <f t="shared" si="58"/>
        <v>335</v>
      </c>
      <c r="I348" s="23">
        <f t="shared" si="59"/>
        <v>2777.7777777777778</v>
      </c>
      <c r="J348" s="23">
        <f t="shared" si="51"/>
        <v>685.30171194217178</v>
      </c>
      <c r="K348" s="23">
        <f t="shared" si="52"/>
        <v>3463.0794897199494</v>
      </c>
      <c r="L348" s="23">
        <f t="shared" si="60"/>
        <v>69444.444444451074</v>
      </c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spans="2:28" ht="16.5" customHeight="1">
      <c r="B349" s="22">
        <f t="shared" si="53"/>
        <v>336</v>
      </c>
      <c r="C349" s="23">
        <f t="shared" si="54"/>
        <v>7752.052633983968</v>
      </c>
      <c r="D349" s="23">
        <f t="shared" si="55"/>
        <v>2064.3928714508193</v>
      </c>
      <c r="E349" s="23">
        <f t="shared" si="56"/>
        <v>9816.4455054347873</v>
      </c>
      <c r="F349" s="23">
        <f t="shared" si="57"/>
        <v>209809.11512286437</v>
      </c>
      <c r="G349" s="2"/>
      <c r="H349" s="22">
        <f t="shared" si="58"/>
        <v>336</v>
      </c>
      <c r="I349" s="23">
        <f t="shared" si="59"/>
        <v>2777.7777777777778</v>
      </c>
      <c r="J349" s="23">
        <f t="shared" si="51"/>
        <v>658.9439537905522</v>
      </c>
      <c r="K349" s="23">
        <f t="shared" si="52"/>
        <v>3436.7217315683301</v>
      </c>
      <c r="L349" s="23">
        <f t="shared" si="60"/>
        <v>66666.666666673293</v>
      </c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spans="2:28" ht="16.5" customHeight="1">
      <c r="B350" s="22">
        <f t="shared" si="53"/>
        <v>337</v>
      </c>
      <c r="C350" s="23">
        <f t="shared" si="54"/>
        <v>7825.6102562458309</v>
      </c>
      <c r="D350" s="23">
        <f t="shared" si="55"/>
        <v>1990.8352491889564</v>
      </c>
      <c r="E350" s="23">
        <f t="shared" si="56"/>
        <v>9816.4455054347873</v>
      </c>
      <c r="F350" s="23">
        <f t="shared" si="57"/>
        <v>201983.50486661855</v>
      </c>
      <c r="G350" s="2"/>
      <c r="H350" s="22">
        <f t="shared" si="58"/>
        <v>337</v>
      </c>
      <c r="I350" s="23">
        <f t="shared" si="59"/>
        <v>2777.7777777777778</v>
      </c>
      <c r="J350" s="23">
        <f t="shared" si="51"/>
        <v>632.58619563893262</v>
      </c>
      <c r="K350" s="23">
        <f t="shared" si="52"/>
        <v>3410.3639734167105</v>
      </c>
      <c r="L350" s="23">
        <f t="shared" si="60"/>
        <v>63888.888888895512</v>
      </c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spans="2:28" ht="16.5" customHeight="1">
      <c r="B351" s="22">
        <f t="shared" si="53"/>
        <v>338</v>
      </c>
      <c r="C351" s="23">
        <f t="shared" si="54"/>
        <v>7899.8658515540974</v>
      </c>
      <c r="D351" s="23">
        <f t="shared" si="55"/>
        <v>1916.5796538806903</v>
      </c>
      <c r="E351" s="23">
        <f t="shared" si="56"/>
        <v>9816.4455054347873</v>
      </c>
      <c r="F351" s="23">
        <f t="shared" si="57"/>
        <v>194083.63901506446</v>
      </c>
      <c r="G351" s="2"/>
      <c r="H351" s="22">
        <f t="shared" si="58"/>
        <v>338</v>
      </c>
      <c r="I351" s="23">
        <f t="shared" si="59"/>
        <v>2777.7777777777778</v>
      </c>
      <c r="J351" s="23">
        <f t="shared" si="51"/>
        <v>606.22843748731293</v>
      </c>
      <c r="K351" s="23">
        <f t="shared" si="52"/>
        <v>3384.0062152650908</v>
      </c>
      <c r="L351" s="23">
        <f t="shared" si="60"/>
        <v>61111.111111117731</v>
      </c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spans="2:28" ht="16.5" customHeight="1">
      <c r="B352" s="22">
        <f t="shared" si="53"/>
        <v>339</v>
      </c>
      <c r="C352" s="23">
        <f t="shared" si="54"/>
        <v>7974.8260428304775</v>
      </c>
      <c r="D352" s="23">
        <f t="shared" si="55"/>
        <v>1841.61946260431</v>
      </c>
      <c r="E352" s="23">
        <f t="shared" si="56"/>
        <v>9816.4455054347873</v>
      </c>
      <c r="F352" s="23">
        <f t="shared" si="57"/>
        <v>186108.81297223398</v>
      </c>
      <c r="G352" s="2"/>
      <c r="H352" s="22">
        <f t="shared" si="58"/>
        <v>339</v>
      </c>
      <c r="I352" s="23">
        <f t="shared" si="59"/>
        <v>2777.7777777777778</v>
      </c>
      <c r="J352" s="23">
        <f t="shared" si="51"/>
        <v>579.87067933569335</v>
      </c>
      <c r="K352" s="23">
        <f t="shared" si="52"/>
        <v>3357.6484571134711</v>
      </c>
      <c r="L352" s="23">
        <f t="shared" si="60"/>
        <v>58333.33333333995</v>
      </c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spans="2:28" ht="16.5" customHeight="1">
      <c r="B353" s="22">
        <f t="shared" si="53"/>
        <v>340</v>
      </c>
      <c r="C353" s="23">
        <f t="shared" si="54"/>
        <v>8050.4975158402158</v>
      </c>
      <c r="D353" s="23">
        <f t="shared" si="55"/>
        <v>1765.9479895945713</v>
      </c>
      <c r="E353" s="23">
        <f t="shared" si="56"/>
        <v>9816.4455054347873</v>
      </c>
      <c r="F353" s="23">
        <f t="shared" si="57"/>
        <v>178058.31545639376</v>
      </c>
      <c r="G353" s="2"/>
      <c r="H353" s="22">
        <f t="shared" si="58"/>
        <v>340</v>
      </c>
      <c r="I353" s="23">
        <f t="shared" si="59"/>
        <v>2777.7777777777778</v>
      </c>
      <c r="J353" s="23">
        <f t="shared" si="51"/>
        <v>553.51292118407378</v>
      </c>
      <c r="K353" s="23">
        <f t="shared" si="52"/>
        <v>3331.2906989618514</v>
      </c>
      <c r="L353" s="23">
        <f t="shared" si="60"/>
        <v>55555.555555562169</v>
      </c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spans="2:28" ht="16.5" customHeight="1">
      <c r="B354" s="22">
        <f t="shared" si="53"/>
        <v>341</v>
      </c>
      <c r="C354" s="23">
        <f t="shared" si="54"/>
        <v>8126.8870197883989</v>
      </c>
      <c r="D354" s="23">
        <f t="shared" si="55"/>
        <v>1689.5584856463881</v>
      </c>
      <c r="E354" s="23">
        <f t="shared" si="56"/>
        <v>9816.4455054347873</v>
      </c>
      <c r="F354" s="23">
        <f t="shared" si="57"/>
        <v>169931.42843660535</v>
      </c>
      <c r="G354" s="2"/>
      <c r="H354" s="22">
        <f t="shared" si="58"/>
        <v>341</v>
      </c>
      <c r="I354" s="23">
        <f t="shared" si="59"/>
        <v>2777.7777777777778</v>
      </c>
      <c r="J354" s="23">
        <f t="shared" si="51"/>
        <v>527.1551630324542</v>
      </c>
      <c r="K354" s="23">
        <f t="shared" si="52"/>
        <v>3304.9329408102321</v>
      </c>
      <c r="L354" s="23">
        <f t="shared" si="60"/>
        <v>52777.777777784388</v>
      </c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spans="2:28" ht="16.5" customHeight="1">
      <c r="B355" s="22">
        <f t="shared" si="53"/>
        <v>342</v>
      </c>
      <c r="C355" s="23">
        <f t="shared" si="54"/>
        <v>8204.0013679219228</v>
      </c>
      <c r="D355" s="23">
        <f t="shared" si="55"/>
        <v>1612.4441375128654</v>
      </c>
      <c r="E355" s="23">
        <f t="shared" si="56"/>
        <v>9816.4455054347873</v>
      </c>
      <c r="F355" s="23">
        <f t="shared" si="57"/>
        <v>161727.42706868344</v>
      </c>
      <c r="G355" s="2"/>
      <c r="H355" s="22">
        <f t="shared" si="58"/>
        <v>342</v>
      </c>
      <c r="I355" s="23">
        <f t="shared" si="59"/>
        <v>2777.7777777777778</v>
      </c>
      <c r="J355" s="23">
        <f t="shared" si="51"/>
        <v>500.79740488083456</v>
      </c>
      <c r="K355" s="23">
        <f t="shared" si="52"/>
        <v>3278.5751826586124</v>
      </c>
      <c r="L355" s="23">
        <f t="shared" si="60"/>
        <v>50000.000000006607</v>
      </c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spans="2:28" ht="16.5" customHeight="1">
      <c r="B356" s="22">
        <f t="shared" si="53"/>
        <v>343</v>
      </c>
      <c r="C356" s="23">
        <f t="shared" si="54"/>
        <v>8281.8474381371689</v>
      </c>
      <c r="D356" s="23">
        <f t="shared" si="55"/>
        <v>1534.5980672976182</v>
      </c>
      <c r="E356" s="23">
        <f t="shared" si="56"/>
        <v>9816.4455054347873</v>
      </c>
      <c r="F356" s="23">
        <f t="shared" si="57"/>
        <v>153445.57963054627</v>
      </c>
      <c r="G356" s="2"/>
      <c r="H356" s="22">
        <f t="shared" si="58"/>
        <v>343</v>
      </c>
      <c r="I356" s="23">
        <f t="shared" si="59"/>
        <v>2777.7777777777778</v>
      </c>
      <c r="J356" s="23">
        <f t="shared" si="51"/>
        <v>474.43964672921499</v>
      </c>
      <c r="K356" s="23">
        <f t="shared" si="52"/>
        <v>3252.2174245069928</v>
      </c>
      <c r="L356" s="23">
        <f t="shared" si="60"/>
        <v>47222.222222228826</v>
      </c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spans="2:28" ht="16.5" customHeight="1">
      <c r="B357" s="22">
        <f t="shared" si="53"/>
        <v>344</v>
      </c>
      <c r="C357" s="23">
        <f t="shared" si="54"/>
        <v>8360.4321735934609</v>
      </c>
      <c r="D357" s="23">
        <f t="shared" si="55"/>
        <v>1456.0133318413275</v>
      </c>
      <c r="E357" s="23">
        <f t="shared" si="56"/>
        <v>9816.4455054347891</v>
      </c>
      <c r="F357" s="23">
        <f t="shared" si="57"/>
        <v>145085.14745695281</v>
      </c>
      <c r="G357" s="2"/>
      <c r="H357" s="22">
        <f t="shared" si="58"/>
        <v>344</v>
      </c>
      <c r="I357" s="23">
        <f t="shared" si="59"/>
        <v>2777.7777777777778</v>
      </c>
      <c r="J357" s="23">
        <f t="shared" si="51"/>
        <v>448.08188857759535</v>
      </c>
      <c r="K357" s="23">
        <f t="shared" si="52"/>
        <v>3225.8596663553731</v>
      </c>
      <c r="L357" s="23">
        <f t="shared" si="60"/>
        <v>44444.444444451045</v>
      </c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spans="2:28" ht="16.5" customHeight="1">
      <c r="B358" s="22">
        <f t="shared" si="53"/>
        <v>345</v>
      </c>
      <c r="C358" s="23">
        <f t="shared" si="54"/>
        <v>8439.7625833323145</v>
      </c>
      <c r="D358" s="23">
        <f t="shared" si="55"/>
        <v>1376.6829221024732</v>
      </c>
      <c r="E358" s="23">
        <f t="shared" si="56"/>
        <v>9816.4455054347873</v>
      </c>
      <c r="F358" s="23">
        <f t="shared" si="57"/>
        <v>136645.3848736205</v>
      </c>
      <c r="G358" s="2"/>
      <c r="H358" s="22">
        <f t="shared" si="58"/>
        <v>345</v>
      </c>
      <c r="I358" s="23">
        <f t="shared" si="59"/>
        <v>2777.7777777777778</v>
      </c>
      <c r="J358" s="23">
        <f t="shared" si="51"/>
        <v>421.72413042597577</v>
      </c>
      <c r="K358" s="23">
        <f t="shared" si="52"/>
        <v>3199.5019082037534</v>
      </c>
      <c r="L358" s="23">
        <f t="shared" si="60"/>
        <v>41666.666666673264</v>
      </c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spans="2:28" ht="16.5" customHeight="1">
      <c r="B359" s="22">
        <f t="shared" si="53"/>
        <v>346</v>
      </c>
      <c r="C359" s="23">
        <f t="shared" si="54"/>
        <v>8519.8457429025966</v>
      </c>
      <c r="D359" s="23">
        <f t="shared" si="55"/>
        <v>1296.5997625321911</v>
      </c>
      <c r="E359" s="23">
        <f t="shared" si="56"/>
        <v>9816.4455054347873</v>
      </c>
      <c r="F359" s="23">
        <f t="shared" si="57"/>
        <v>128125.53913071789</v>
      </c>
      <c r="G359" s="2"/>
      <c r="H359" s="22">
        <f t="shared" si="58"/>
        <v>346</v>
      </c>
      <c r="I359" s="23">
        <f t="shared" si="59"/>
        <v>2777.7777777777778</v>
      </c>
      <c r="J359" s="23">
        <f t="shared" si="51"/>
        <v>395.36637227435619</v>
      </c>
      <c r="K359" s="23">
        <f t="shared" si="52"/>
        <v>3173.1441500521341</v>
      </c>
      <c r="L359" s="23">
        <f t="shared" si="60"/>
        <v>38888.888888895483</v>
      </c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spans="2:28" ht="16.5" customHeight="1">
      <c r="B360" s="22">
        <f t="shared" si="53"/>
        <v>347</v>
      </c>
      <c r="C360" s="23">
        <f t="shared" si="54"/>
        <v>8600.688794991589</v>
      </c>
      <c r="D360" s="23">
        <f t="shared" si="55"/>
        <v>1215.7567104431996</v>
      </c>
      <c r="E360" s="23">
        <f t="shared" si="56"/>
        <v>9816.4455054347891</v>
      </c>
      <c r="F360" s="23">
        <f t="shared" si="57"/>
        <v>119524.85033572631</v>
      </c>
      <c r="G360" s="2"/>
      <c r="H360" s="22">
        <f t="shared" si="58"/>
        <v>347</v>
      </c>
      <c r="I360" s="23">
        <f t="shared" si="59"/>
        <v>2777.7777777777778</v>
      </c>
      <c r="J360" s="23">
        <f t="shared" si="51"/>
        <v>369.00861412273656</v>
      </c>
      <c r="K360" s="23">
        <f t="shared" si="52"/>
        <v>3146.7863919005144</v>
      </c>
      <c r="L360" s="23">
        <f t="shared" si="60"/>
        <v>36111.111111117702</v>
      </c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spans="2:28" ht="16.5" customHeight="1">
      <c r="B361" s="22">
        <f t="shared" si="53"/>
        <v>348</v>
      </c>
      <c r="C361" s="23">
        <f t="shared" si="54"/>
        <v>8682.2989500620515</v>
      </c>
      <c r="D361" s="23">
        <f t="shared" si="55"/>
        <v>1134.1465553727357</v>
      </c>
      <c r="E361" s="23">
        <f t="shared" si="56"/>
        <v>9816.4455054347873</v>
      </c>
      <c r="F361" s="23">
        <f t="shared" si="57"/>
        <v>110842.55138566426</v>
      </c>
      <c r="G361" s="2"/>
      <c r="H361" s="22">
        <f t="shared" si="58"/>
        <v>348</v>
      </c>
      <c r="I361" s="23">
        <f t="shared" si="59"/>
        <v>2777.7777777777778</v>
      </c>
      <c r="J361" s="23">
        <f t="shared" si="51"/>
        <v>342.65085597111698</v>
      </c>
      <c r="K361" s="23">
        <f t="shared" si="52"/>
        <v>3120.4286337488948</v>
      </c>
      <c r="L361" s="23">
        <f t="shared" si="60"/>
        <v>33333.333333339921</v>
      </c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spans="2:28" ht="16.5" customHeight="1">
      <c r="B362" s="22">
        <f t="shared" si="53"/>
        <v>349</v>
      </c>
      <c r="C362" s="23">
        <f t="shared" si="54"/>
        <v>8764.68348699534</v>
      </c>
      <c r="D362" s="23">
        <f t="shared" si="55"/>
        <v>1051.7620184394493</v>
      </c>
      <c r="E362" s="23">
        <f t="shared" si="56"/>
        <v>9816.4455054347891</v>
      </c>
      <c r="F362" s="23">
        <f t="shared" si="57"/>
        <v>102077.86789866892</v>
      </c>
      <c r="G362" s="2"/>
      <c r="H362" s="22">
        <f t="shared" si="58"/>
        <v>349</v>
      </c>
      <c r="I362" s="23">
        <f t="shared" si="59"/>
        <v>2777.7777777777778</v>
      </c>
      <c r="J362" s="23">
        <f t="shared" si="51"/>
        <v>316.29309781949735</v>
      </c>
      <c r="K362" s="23">
        <f t="shared" si="52"/>
        <v>3094.0708755972751</v>
      </c>
      <c r="L362" s="23">
        <f t="shared" si="60"/>
        <v>30555.555555562143</v>
      </c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spans="2:28" ht="16.5" customHeight="1">
      <c r="B363" s="22">
        <f t="shared" si="53"/>
        <v>350</v>
      </c>
      <c r="C363" s="23">
        <f t="shared" si="54"/>
        <v>8847.8497537405965</v>
      </c>
      <c r="D363" s="23">
        <f t="shared" si="55"/>
        <v>968.59575169419111</v>
      </c>
      <c r="E363" s="23">
        <f t="shared" si="56"/>
        <v>9816.4455054347873</v>
      </c>
      <c r="F363" s="23">
        <f t="shared" si="57"/>
        <v>93230.018144928326</v>
      </c>
      <c r="G363" s="2"/>
      <c r="H363" s="22">
        <f t="shared" si="58"/>
        <v>350</v>
      </c>
      <c r="I363" s="23">
        <f t="shared" si="59"/>
        <v>2777.7777777777778</v>
      </c>
      <c r="J363" s="23">
        <f t="shared" si="51"/>
        <v>289.93533966787777</v>
      </c>
      <c r="K363" s="23">
        <f t="shared" si="52"/>
        <v>3067.7131174456554</v>
      </c>
      <c r="L363" s="23">
        <f t="shared" si="60"/>
        <v>27777.777777784366</v>
      </c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spans="2:28" ht="16.5" customHeight="1">
      <c r="B364" s="22">
        <f t="shared" si="53"/>
        <v>351</v>
      </c>
      <c r="C364" s="23">
        <f t="shared" si="54"/>
        <v>8931.8051679701421</v>
      </c>
      <c r="D364" s="23">
        <f t="shared" si="55"/>
        <v>884.64033746464509</v>
      </c>
      <c r="E364" s="23">
        <f t="shared" si="56"/>
        <v>9816.4455054347873</v>
      </c>
      <c r="F364" s="23">
        <f t="shared" si="57"/>
        <v>84298.212976958181</v>
      </c>
      <c r="G364" s="2"/>
      <c r="H364" s="22">
        <f t="shared" si="58"/>
        <v>351</v>
      </c>
      <c r="I364" s="23">
        <f t="shared" si="59"/>
        <v>2777.7777777777778</v>
      </c>
      <c r="J364" s="23">
        <f t="shared" si="51"/>
        <v>263.57758151625825</v>
      </c>
      <c r="K364" s="23">
        <f t="shared" si="52"/>
        <v>3041.3553592940361</v>
      </c>
      <c r="L364" s="23">
        <f t="shared" si="60"/>
        <v>25000.000000006588</v>
      </c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spans="2:28" ht="16.5" customHeight="1">
      <c r="B365" s="22">
        <f t="shared" si="53"/>
        <v>352</v>
      </c>
      <c r="C365" s="23">
        <f t="shared" si="54"/>
        <v>9016.5572177410522</v>
      </c>
      <c r="D365" s="23">
        <f t="shared" si="55"/>
        <v>799.88828769373765</v>
      </c>
      <c r="E365" s="23">
        <f t="shared" si="56"/>
        <v>9816.4455054347891</v>
      </c>
      <c r="F365" s="23">
        <f t="shared" si="57"/>
        <v>75281.65575921713</v>
      </c>
      <c r="G365" s="2"/>
      <c r="H365" s="22">
        <f t="shared" si="58"/>
        <v>352</v>
      </c>
      <c r="I365" s="23">
        <f t="shared" si="59"/>
        <v>2777.7777777777778</v>
      </c>
      <c r="J365" s="23">
        <f t="shared" si="51"/>
        <v>237.21982336463867</v>
      </c>
      <c r="K365" s="23">
        <f t="shared" si="52"/>
        <v>3014.9976011424164</v>
      </c>
      <c r="L365" s="23">
        <f t="shared" si="60"/>
        <v>22222.222222228811</v>
      </c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spans="2:28" ht="16.5" customHeight="1">
      <c r="B366" s="22">
        <f t="shared" si="53"/>
        <v>353</v>
      </c>
      <c r="C366" s="23">
        <f t="shared" si="54"/>
        <v>9102.113462163019</v>
      </c>
      <c r="D366" s="23">
        <f t="shared" si="55"/>
        <v>714.33204327177259</v>
      </c>
      <c r="E366" s="23">
        <f t="shared" si="56"/>
        <v>9816.4455054347909</v>
      </c>
      <c r="F366" s="23">
        <f t="shared" si="57"/>
        <v>66179.542297054111</v>
      </c>
      <c r="G366" s="2"/>
      <c r="H366" s="22">
        <f t="shared" si="58"/>
        <v>353</v>
      </c>
      <c r="I366" s="23">
        <f t="shared" si="59"/>
        <v>2777.7777777777778</v>
      </c>
      <c r="J366" s="23">
        <f t="shared" si="51"/>
        <v>210.86206521301909</v>
      </c>
      <c r="K366" s="23">
        <f t="shared" si="52"/>
        <v>2988.6398429907968</v>
      </c>
      <c r="L366" s="23">
        <f t="shared" si="60"/>
        <v>19444.444444451034</v>
      </c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spans="2:28" ht="16.5" customHeight="1">
      <c r="B367" s="22">
        <f t="shared" si="53"/>
        <v>354</v>
      </c>
      <c r="C367" s="23">
        <f t="shared" si="54"/>
        <v>9188.4815320725647</v>
      </c>
      <c r="D367" s="23">
        <f t="shared" si="55"/>
        <v>627.96397336222685</v>
      </c>
      <c r="E367" s="23">
        <f t="shared" si="56"/>
        <v>9816.4455054347909</v>
      </c>
      <c r="F367" s="23">
        <f t="shared" si="57"/>
        <v>56991.06076498155</v>
      </c>
      <c r="G367" s="2"/>
      <c r="H367" s="22">
        <f t="shared" si="58"/>
        <v>354</v>
      </c>
      <c r="I367" s="23">
        <f t="shared" si="59"/>
        <v>2777.7777777777778</v>
      </c>
      <c r="J367" s="23">
        <f t="shared" si="51"/>
        <v>184.50430706139952</v>
      </c>
      <c r="K367" s="23">
        <f t="shared" si="52"/>
        <v>2962.2820848391775</v>
      </c>
      <c r="L367" s="23">
        <f t="shared" si="60"/>
        <v>16666.666666673256</v>
      </c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spans="2:28" ht="16.5" customHeight="1">
      <c r="B368" s="22">
        <f t="shared" si="53"/>
        <v>355</v>
      </c>
      <c r="C368" s="23">
        <f t="shared" si="54"/>
        <v>9275.6691307136407</v>
      </c>
      <c r="D368" s="23">
        <f t="shared" si="55"/>
        <v>540.77637472114998</v>
      </c>
      <c r="E368" s="23">
        <f t="shared" si="56"/>
        <v>9816.4455054347909</v>
      </c>
      <c r="F368" s="23">
        <f t="shared" si="57"/>
        <v>47715.391634267908</v>
      </c>
      <c r="G368" s="2"/>
      <c r="H368" s="22">
        <f t="shared" si="58"/>
        <v>355</v>
      </c>
      <c r="I368" s="23">
        <f t="shared" si="59"/>
        <v>2777.7777777777778</v>
      </c>
      <c r="J368" s="23">
        <f t="shared" si="51"/>
        <v>158.14654890977997</v>
      </c>
      <c r="K368" s="23">
        <f t="shared" si="52"/>
        <v>2935.9243266875578</v>
      </c>
      <c r="L368" s="23">
        <f t="shared" si="60"/>
        <v>13888.888888895479</v>
      </c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spans="2:28" ht="16.5" customHeight="1">
      <c r="B369" s="22">
        <f t="shared" si="53"/>
        <v>356</v>
      </c>
      <c r="C369" s="23">
        <f t="shared" si="54"/>
        <v>9363.684034424683</v>
      </c>
      <c r="D369" s="23">
        <f t="shared" si="55"/>
        <v>452.76147101010429</v>
      </c>
      <c r="E369" s="23">
        <f t="shared" si="56"/>
        <v>9816.4455054347873</v>
      </c>
      <c r="F369" s="23">
        <f t="shared" si="57"/>
        <v>38351.707599843226</v>
      </c>
      <c r="G369" s="2"/>
      <c r="H369" s="22">
        <f t="shared" si="58"/>
        <v>356</v>
      </c>
      <c r="I369" s="23">
        <f t="shared" si="59"/>
        <v>2777.7777777777778</v>
      </c>
      <c r="J369" s="23">
        <f t="shared" si="51"/>
        <v>131.78879075816039</v>
      </c>
      <c r="K369" s="23">
        <f t="shared" si="52"/>
        <v>2909.5665685359381</v>
      </c>
      <c r="L369" s="23">
        <f t="shared" si="60"/>
        <v>11111.111111117702</v>
      </c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spans="2:28" ht="16.5" customHeight="1">
      <c r="B370" s="22">
        <f t="shared" si="53"/>
        <v>357</v>
      </c>
      <c r="C370" s="23">
        <f t="shared" si="54"/>
        <v>9452.5340933322059</v>
      </c>
      <c r="D370" s="23">
        <f t="shared" si="55"/>
        <v>363.91141210258729</v>
      </c>
      <c r="E370" s="23">
        <f t="shared" si="56"/>
        <v>9816.4455054347927</v>
      </c>
      <c r="F370" s="23">
        <f t="shared" si="57"/>
        <v>28899.173506511019</v>
      </c>
      <c r="G370" s="2"/>
      <c r="H370" s="22">
        <f t="shared" si="58"/>
        <v>357</v>
      </c>
      <c r="I370" s="23">
        <f t="shared" si="59"/>
        <v>2777.7777777777778</v>
      </c>
      <c r="J370" s="23">
        <f t="shared" si="51"/>
        <v>105.43103260654082</v>
      </c>
      <c r="K370" s="23">
        <f t="shared" si="52"/>
        <v>2883.2088103843184</v>
      </c>
      <c r="L370" s="23">
        <f t="shared" si="60"/>
        <v>8333.3333333399241</v>
      </c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spans="2:28" ht="16.5" customHeight="1">
      <c r="B371" s="22">
        <f t="shared" si="53"/>
        <v>358</v>
      </c>
      <c r="C371" s="23">
        <f t="shared" si="54"/>
        <v>9542.2272320509201</v>
      </c>
      <c r="D371" s="23">
        <f t="shared" si="55"/>
        <v>274.21827338387129</v>
      </c>
      <c r="E371" s="23">
        <f t="shared" si="56"/>
        <v>9816.4455054347909</v>
      </c>
      <c r="F371" s="23">
        <f t="shared" si="57"/>
        <v>19356.946274460097</v>
      </c>
      <c r="G371" s="2"/>
      <c r="H371" s="22">
        <f t="shared" si="58"/>
        <v>358</v>
      </c>
      <c r="I371" s="23">
        <f t="shared" si="59"/>
        <v>2777.7777777777778</v>
      </c>
      <c r="J371" s="23">
        <f t="shared" si="51"/>
        <v>79.073274454921247</v>
      </c>
      <c r="K371" s="23">
        <f t="shared" si="52"/>
        <v>2856.8510522326992</v>
      </c>
      <c r="L371" s="23">
        <f t="shared" si="60"/>
        <v>5555.5555555621468</v>
      </c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spans="2:28" ht="16.5" customHeight="1">
      <c r="B372" s="22">
        <f t="shared" si="53"/>
        <v>359</v>
      </c>
      <c r="C372" s="23">
        <f t="shared" si="54"/>
        <v>9632.7714503905863</v>
      </c>
      <c r="D372" s="23">
        <f t="shared" si="55"/>
        <v>183.67405504420057</v>
      </c>
      <c r="E372" s="23">
        <f t="shared" si="56"/>
        <v>9816.4455054347873</v>
      </c>
      <c r="F372" s="23">
        <f t="shared" si="57"/>
        <v>9724.1748240695106</v>
      </c>
      <c r="G372" s="2"/>
      <c r="H372" s="22">
        <f t="shared" si="58"/>
        <v>359</v>
      </c>
      <c r="I372" s="23">
        <f t="shared" si="59"/>
        <v>2777.7777777777778</v>
      </c>
      <c r="J372" s="23">
        <f t="shared" si="51"/>
        <v>52.715516303301683</v>
      </c>
      <c r="K372" s="23">
        <f t="shared" si="52"/>
        <v>2830.4932940810795</v>
      </c>
      <c r="L372" s="23">
        <f t="shared" si="60"/>
        <v>2777.7777777843689</v>
      </c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spans="2:28" ht="16.5" customHeight="1">
      <c r="B373" s="22">
        <f t="shared" si="53"/>
        <v>360</v>
      </c>
      <c r="C373" s="23">
        <f t="shared" si="54"/>
        <v>9724.1748240695106</v>
      </c>
      <c r="D373" s="23">
        <f t="shared" si="55"/>
        <v>92.270681365281106</v>
      </c>
      <c r="E373" s="23">
        <f t="shared" si="56"/>
        <v>9816.4455054347909</v>
      </c>
      <c r="F373" s="23">
        <f t="shared" si="57"/>
        <v>0</v>
      </c>
      <c r="G373" s="2"/>
      <c r="H373" s="22">
        <f t="shared" si="58"/>
        <v>360</v>
      </c>
      <c r="I373" s="23">
        <f t="shared" si="59"/>
        <v>2777.7777777777778</v>
      </c>
      <c r="J373" s="23">
        <f t="shared" si="51"/>
        <v>26.357758151682113</v>
      </c>
      <c r="K373" s="23">
        <f t="shared" si="52"/>
        <v>2804.1355359294598</v>
      </c>
      <c r="L373" s="23">
        <f t="shared" si="60"/>
        <v>6.5911081037484109E-9</v>
      </c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spans="2:28" ht="16.5" customHeight="1">
      <c r="B374" s="22">
        <f t="shared" si="53"/>
        <v>361</v>
      </c>
      <c r="C374" s="23">
        <f t="shared" si="54"/>
        <v>0</v>
      </c>
      <c r="D374" s="23">
        <f t="shared" si="55"/>
        <v>0</v>
      </c>
      <c r="E374" s="23">
        <f t="shared" si="56"/>
        <v>0</v>
      </c>
      <c r="F374" s="23">
        <f t="shared" si="57"/>
        <v>0</v>
      </c>
      <c r="G374" s="2"/>
      <c r="H374" s="22">
        <f t="shared" si="58"/>
        <v>361</v>
      </c>
      <c r="I374" s="23">
        <f t="shared" si="59"/>
        <v>0</v>
      </c>
      <c r="J374" s="23">
        <f t="shared" si="51"/>
        <v>6.2541660005920985E-11</v>
      </c>
      <c r="K374" s="23">
        <f t="shared" si="52"/>
        <v>6.2541660005920985E-11</v>
      </c>
      <c r="L374" s="23">
        <f t="shared" si="60"/>
        <v>0</v>
      </c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spans="2:28" ht="16.5" customHeight="1">
      <c r="B375" s="22">
        <f t="shared" si="53"/>
        <v>362</v>
      </c>
      <c r="C375" s="23">
        <f t="shared" si="54"/>
        <v>0</v>
      </c>
      <c r="D375" s="23">
        <f t="shared" si="55"/>
        <v>0</v>
      </c>
      <c r="E375" s="23">
        <f t="shared" si="56"/>
        <v>0</v>
      </c>
      <c r="F375" s="23">
        <f t="shared" si="57"/>
        <v>0</v>
      </c>
      <c r="G375" s="2"/>
      <c r="H375" s="22">
        <f t="shared" si="58"/>
        <v>362</v>
      </c>
      <c r="I375" s="23">
        <f t="shared" si="59"/>
        <v>0</v>
      </c>
      <c r="J375" s="23">
        <f t="shared" si="51"/>
        <v>0</v>
      </c>
      <c r="K375" s="23">
        <f t="shared" si="52"/>
        <v>0</v>
      </c>
      <c r="L375" s="23">
        <f t="shared" si="60"/>
        <v>0</v>
      </c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spans="2:28" ht="16.5" customHeight="1">
      <c r="B376" s="22">
        <f t="shared" si="53"/>
        <v>363</v>
      </c>
      <c r="C376" s="23">
        <f t="shared" si="54"/>
        <v>0</v>
      </c>
      <c r="D376" s="23">
        <f t="shared" si="55"/>
        <v>0</v>
      </c>
      <c r="E376" s="23">
        <f t="shared" si="56"/>
        <v>0</v>
      </c>
      <c r="F376" s="23">
        <f t="shared" si="57"/>
        <v>0</v>
      </c>
      <c r="G376" s="2"/>
      <c r="H376" s="22">
        <f t="shared" si="58"/>
        <v>363</v>
      </c>
      <c r="I376" s="23">
        <f t="shared" si="59"/>
        <v>0</v>
      </c>
      <c r="J376" s="23">
        <f t="shared" si="51"/>
        <v>0</v>
      </c>
      <c r="K376" s="23">
        <f t="shared" si="52"/>
        <v>0</v>
      </c>
      <c r="L376" s="23">
        <f t="shared" si="60"/>
        <v>0</v>
      </c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spans="2:28" ht="16.5" customHeight="1">
      <c r="B377" s="22">
        <f t="shared" si="53"/>
        <v>364</v>
      </c>
      <c r="C377" s="23">
        <f t="shared" si="54"/>
        <v>0</v>
      </c>
      <c r="D377" s="23">
        <f t="shared" si="55"/>
        <v>0</v>
      </c>
      <c r="E377" s="23">
        <f t="shared" si="56"/>
        <v>0</v>
      </c>
      <c r="F377" s="23">
        <f t="shared" si="57"/>
        <v>0</v>
      </c>
      <c r="G377" s="2"/>
      <c r="H377" s="22">
        <f t="shared" si="58"/>
        <v>364</v>
      </c>
      <c r="I377" s="23">
        <f t="shared" si="59"/>
        <v>0</v>
      </c>
      <c r="J377" s="23">
        <f t="shared" si="51"/>
        <v>0</v>
      </c>
      <c r="K377" s="23">
        <f t="shared" si="52"/>
        <v>0</v>
      </c>
      <c r="L377" s="23">
        <f t="shared" si="60"/>
        <v>0</v>
      </c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spans="2:28" ht="16.5" customHeight="1">
      <c r="B378" s="22">
        <f t="shared" si="53"/>
        <v>365</v>
      </c>
      <c r="C378" s="23">
        <f t="shared" si="54"/>
        <v>0</v>
      </c>
      <c r="D378" s="23">
        <f t="shared" si="55"/>
        <v>0</v>
      </c>
      <c r="E378" s="23">
        <f t="shared" si="56"/>
        <v>0</v>
      </c>
      <c r="F378" s="23">
        <f t="shared" si="57"/>
        <v>0</v>
      </c>
      <c r="G378" s="2"/>
      <c r="H378" s="22">
        <f t="shared" si="58"/>
        <v>365</v>
      </c>
      <c r="I378" s="23">
        <f t="shared" si="59"/>
        <v>0</v>
      </c>
      <c r="J378" s="23">
        <f t="shared" si="51"/>
        <v>0</v>
      </c>
      <c r="K378" s="23">
        <f t="shared" si="52"/>
        <v>0</v>
      </c>
      <c r="L378" s="23">
        <f t="shared" si="60"/>
        <v>0</v>
      </c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spans="2:28" ht="16.5" customHeight="1">
      <c r="B379" s="22">
        <f t="shared" si="53"/>
        <v>366</v>
      </c>
      <c r="C379" s="23">
        <f t="shared" si="54"/>
        <v>0</v>
      </c>
      <c r="D379" s="23">
        <f t="shared" si="55"/>
        <v>0</v>
      </c>
      <c r="E379" s="23">
        <f t="shared" si="56"/>
        <v>0</v>
      </c>
      <c r="F379" s="23">
        <f t="shared" si="57"/>
        <v>0</v>
      </c>
      <c r="G379" s="2"/>
      <c r="H379" s="22">
        <f t="shared" si="58"/>
        <v>366</v>
      </c>
      <c r="I379" s="23">
        <f t="shared" si="59"/>
        <v>0</v>
      </c>
      <c r="J379" s="23">
        <f t="shared" si="51"/>
        <v>0</v>
      </c>
      <c r="K379" s="23">
        <f t="shared" si="52"/>
        <v>0</v>
      </c>
      <c r="L379" s="23">
        <f t="shared" si="60"/>
        <v>0</v>
      </c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spans="2:28" ht="16.5" customHeight="1">
      <c r="B380" s="22">
        <f t="shared" si="53"/>
        <v>367</v>
      </c>
      <c r="C380" s="23">
        <f t="shared" si="54"/>
        <v>0</v>
      </c>
      <c r="D380" s="23">
        <f t="shared" si="55"/>
        <v>0</v>
      </c>
      <c r="E380" s="23">
        <f t="shared" si="56"/>
        <v>0</v>
      </c>
      <c r="F380" s="23">
        <f t="shared" si="57"/>
        <v>0</v>
      </c>
      <c r="G380" s="2"/>
      <c r="H380" s="22">
        <f t="shared" si="58"/>
        <v>367</v>
      </c>
      <c r="I380" s="23">
        <f t="shared" si="59"/>
        <v>0</v>
      </c>
      <c r="J380" s="23">
        <f t="shared" si="51"/>
        <v>0</v>
      </c>
      <c r="K380" s="23">
        <f t="shared" si="52"/>
        <v>0</v>
      </c>
      <c r="L380" s="23">
        <f t="shared" si="60"/>
        <v>0</v>
      </c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spans="2:28" ht="16.5" customHeight="1">
      <c r="B381" s="22">
        <f t="shared" si="53"/>
        <v>368</v>
      </c>
      <c r="C381" s="23">
        <f t="shared" si="54"/>
        <v>0</v>
      </c>
      <c r="D381" s="23">
        <f t="shared" si="55"/>
        <v>0</v>
      </c>
      <c r="E381" s="23">
        <f t="shared" si="56"/>
        <v>0</v>
      </c>
      <c r="F381" s="23">
        <f t="shared" si="57"/>
        <v>0</v>
      </c>
      <c r="G381" s="2"/>
      <c r="H381" s="22">
        <f t="shared" si="58"/>
        <v>368</v>
      </c>
      <c r="I381" s="23">
        <f t="shared" si="59"/>
        <v>0</v>
      </c>
      <c r="J381" s="23">
        <f t="shared" si="51"/>
        <v>0</v>
      </c>
      <c r="K381" s="23">
        <f t="shared" si="52"/>
        <v>0</v>
      </c>
      <c r="L381" s="23">
        <f t="shared" si="60"/>
        <v>0</v>
      </c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spans="2:28" ht="16.5" customHeight="1">
      <c r="B382" s="22">
        <f t="shared" si="53"/>
        <v>369</v>
      </c>
      <c r="C382" s="23">
        <f t="shared" si="54"/>
        <v>0</v>
      </c>
      <c r="D382" s="23">
        <f t="shared" si="55"/>
        <v>0</v>
      </c>
      <c r="E382" s="23">
        <f t="shared" si="56"/>
        <v>0</v>
      </c>
      <c r="F382" s="23">
        <f t="shared" si="57"/>
        <v>0</v>
      </c>
      <c r="G382" s="2"/>
      <c r="H382" s="22">
        <f t="shared" si="58"/>
        <v>369</v>
      </c>
      <c r="I382" s="23">
        <f t="shared" si="59"/>
        <v>0</v>
      </c>
      <c r="J382" s="23">
        <f t="shared" si="51"/>
        <v>0</v>
      </c>
      <c r="K382" s="23">
        <f t="shared" si="52"/>
        <v>0</v>
      </c>
      <c r="L382" s="23">
        <f t="shared" si="60"/>
        <v>0</v>
      </c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spans="2:28" ht="16.5" customHeight="1">
      <c r="B383" s="22">
        <f t="shared" si="53"/>
        <v>370</v>
      </c>
      <c r="C383" s="23">
        <f t="shared" si="54"/>
        <v>0</v>
      </c>
      <c r="D383" s="23">
        <f t="shared" si="55"/>
        <v>0</v>
      </c>
      <c r="E383" s="23">
        <f t="shared" si="56"/>
        <v>0</v>
      </c>
      <c r="F383" s="23">
        <f t="shared" si="57"/>
        <v>0</v>
      </c>
      <c r="G383" s="2"/>
      <c r="H383" s="22">
        <f t="shared" si="58"/>
        <v>370</v>
      </c>
      <c r="I383" s="23">
        <f t="shared" si="59"/>
        <v>0</v>
      </c>
      <c r="J383" s="23">
        <f t="shared" si="51"/>
        <v>0</v>
      </c>
      <c r="K383" s="23">
        <f t="shared" si="52"/>
        <v>0</v>
      </c>
      <c r="L383" s="23">
        <f t="shared" si="60"/>
        <v>0</v>
      </c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spans="2:28" ht="16.5" customHeight="1">
      <c r="B384" s="22">
        <f t="shared" si="53"/>
        <v>371</v>
      </c>
      <c r="C384" s="23">
        <f t="shared" si="54"/>
        <v>0</v>
      </c>
      <c r="D384" s="23">
        <f t="shared" si="55"/>
        <v>0</v>
      </c>
      <c r="E384" s="23">
        <f t="shared" si="56"/>
        <v>0</v>
      </c>
      <c r="F384" s="23">
        <f t="shared" si="57"/>
        <v>0</v>
      </c>
      <c r="G384" s="2"/>
      <c r="H384" s="22">
        <f t="shared" si="58"/>
        <v>371</v>
      </c>
      <c r="I384" s="23">
        <f t="shared" si="59"/>
        <v>0</v>
      </c>
      <c r="J384" s="23">
        <f t="shared" si="51"/>
        <v>0</v>
      </c>
      <c r="K384" s="23">
        <f t="shared" si="52"/>
        <v>0</v>
      </c>
      <c r="L384" s="23">
        <f t="shared" si="60"/>
        <v>0</v>
      </c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spans="2:28" ht="16.5" customHeight="1">
      <c r="B385" s="22">
        <f t="shared" si="53"/>
        <v>372</v>
      </c>
      <c r="C385" s="23">
        <f t="shared" si="54"/>
        <v>0</v>
      </c>
      <c r="D385" s="23">
        <f t="shared" si="55"/>
        <v>0</v>
      </c>
      <c r="E385" s="23">
        <f t="shared" si="56"/>
        <v>0</v>
      </c>
      <c r="F385" s="23">
        <f t="shared" si="57"/>
        <v>0</v>
      </c>
      <c r="G385" s="2"/>
      <c r="H385" s="22">
        <f t="shared" si="58"/>
        <v>372</v>
      </c>
      <c r="I385" s="23">
        <f t="shared" si="59"/>
        <v>0</v>
      </c>
      <c r="J385" s="23">
        <f t="shared" si="51"/>
        <v>0</v>
      </c>
      <c r="K385" s="23">
        <f t="shared" si="52"/>
        <v>0</v>
      </c>
      <c r="L385" s="23">
        <f t="shared" si="60"/>
        <v>0</v>
      </c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spans="2:28" ht="16.5" customHeight="1">
      <c r="B386" s="22">
        <f t="shared" si="53"/>
        <v>373</v>
      </c>
      <c r="C386" s="23">
        <f t="shared" si="54"/>
        <v>0</v>
      </c>
      <c r="D386" s="23">
        <f t="shared" si="55"/>
        <v>0</v>
      </c>
      <c r="E386" s="23">
        <f t="shared" si="56"/>
        <v>0</v>
      </c>
      <c r="F386" s="23">
        <f t="shared" si="57"/>
        <v>0</v>
      </c>
      <c r="G386" s="2"/>
      <c r="H386" s="22">
        <f t="shared" si="58"/>
        <v>373</v>
      </c>
      <c r="I386" s="23">
        <f t="shared" si="59"/>
        <v>0</v>
      </c>
      <c r="J386" s="23">
        <f t="shared" si="51"/>
        <v>0</v>
      </c>
      <c r="K386" s="23">
        <f t="shared" si="52"/>
        <v>0</v>
      </c>
      <c r="L386" s="23">
        <f t="shared" si="60"/>
        <v>0</v>
      </c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spans="2:28" ht="16.5" customHeight="1">
      <c r="B387" s="22">
        <f t="shared" si="53"/>
        <v>374</v>
      </c>
      <c r="C387" s="23">
        <f t="shared" si="54"/>
        <v>0</v>
      </c>
      <c r="D387" s="23">
        <f t="shared" si="55"/>
        <v>0</v>
      </c>
      <c r="E387" s="23">
        <f t="shared" si="56"/>
        <v>0</v>
      </c>
      <c r="F387" s="23">
        <f t="shared" si="57"/>
        <v>0</v>
      </c>
      <c r="G387" s="2"/>
      <c r="H387" s="22">
        <f t="shared" si="58"/>
        <v>374</v>
      </c>
      <c r="I387" s="23">
        <f t="shared" si="59"/>
        <v>0</v>
      </c>
      <c r="J387" s="23">
        <f t="shared" si="51"/>
        <v>0</v>
      </c>
      <c r="K387" s="23">
        <f t="shared" si="52"/>
        <v>0</v>
      </c>
      <c r="L387" s="23">
        <f t="shared" si="60"/>
        <v>0</v>
      </c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spans="2:28" ht="16.5" customHeight="1">
      <c r="B388" s="22">
        <f t="shared" si="53"/>
        <v>375</v>
      </c>
      <c r="C388" s="23">
        <f t="shared" si="54"/>
        <v>0</v>
      </c>
      <c r="D388" s="23">
        <f t="shared" si="55"/>
        <v>0</v>
      </c>
      <c r="E388" s="23">
        <f t="shared" si="56"/>
        <v>0</v>
      </c>
      <c r="F388" s="23">
        <f t="shared" si="57"/>
        <v>0</v>
      </c>
      <c r="G388" s="2"/>
      <c r="H388" s="22">
        <f t="shared" si="58"/>
        <v>375</v>
      </c>
      <c r="I388" s="23">
        <f t="shared" si="59"/>
        <v>0</v>
      </c>
      <c r="J388" s="23">
        <f t="shared" si="51"/>
        <v>0</v>
      </c>
      <c r="K388" s="23">
        <f t="shared" si="52"/>
        <v>0</v>
      </c>
      <c r="L388" s="23">
        <f t="shared" si="60"/>
        <v>0</v>
      </c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spans="2:28" ht="16.5" customHeight="1">
      <c r="B389" s="22">
        <f t="shared" si="53"/>
        <v>376</v>
      </c>
      <c r="C389" s="23">
        <f t="shared" si="54"/>
        <v>0</v>
      </c>
      <c r="D389" s="23">
        <f t="shared" si="55"/>
        <v>0</v>
      </c>
      <c r="E389" s="23">
        <f t="shared" si="56"/>
        <v>0</v>
      </c>
      <c r="F389" s="23">
        <f t="shared" si="57"/>
        <v>0</v>
      </c>
      <c r="G389" s="2"/>
      <c r="H389" s="22">
        <f t="shared" si="58"/>
        <v>376</v>
      </c>
      <c r="I389" s="23">
        <f t="shared" si="59"/>
        <v>0</v>
      </c>
      <c r="J389" s="23">
        <f t="shared" si="51"/>
        <v>0</v>
      </c>
      <c r="K389" s="23">
        <f t="shared" si="52"/>
        <v>0</v>
      </c>
      <c r="L389" s="23">
        <f t="shared" si="60"/>
        <v>0</v>
      </c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spans="2:28" ht="16.5" customHeight="1">
      <c r="B390" s="22">
        <f t="shared" si="53"/>
        <v>377</v>
      </c>
      <c r="C390" s="23">
        <f t="shared" si="54"/>
        <v>0</v>
      </c>
      <c r="D390" s="23">
        <f t="shared" si="55"/>
        <v>0</v>
      </c>
      <c r="E390" s="23">
        <f t="shared" si="56"/>
        <v>0</v>
      </c>
      <c r="F390" s="23">
        <f t="shared" si="57"/>
        <v>0</v>
      </c>
      <c r="G390" s="2"/>
      <c r="H390" s="22">
        <f t="shared" si="58"/>
        <v>377</v>
      </c>
      <c r="I390" s="23">
        <f t="shared" si="59"/>
        <v>0</v>
      </c>
      <c r="J390" s="23">
        <f t="shared" si="51"/>
        <v>0</v>
      </c>
      <c r="K390" s="23">
        <f t="shared" si="52"/>
        <v>0</v>
      </c>
      <c r="L390" s="23">
        <f t="shared" si="60"/>
        <v>0</v>
      </c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spans="2:28" ht="16.5" customHeight="1">
      <c r="B391" s="22">
        <f t="shared" si="53"/>
        <v>378</v>
      </c>
      <c r="C391" s="23">
        <f t="shared" si="54"/>
        <v>0</v>
      </c>
      <c r="D391" s="23">
        <f t="shared" si="55"/>
        <v>0</v>
      </c>
      <c r="E391" s="23">
        <f t="shared" si="56"/>
        <v>0</v>
      </c>
      <c r="F391" s="23">
        <f t="shared" si="57"/>
        <v>0</v>
      </c>
      <c r="G391" s="2"/>
      <c r="H391" s="22">
        <f t="shared" si="58"/>
        <v>378</v>
      </c>
      <c r="I391" s="23">
        <f t="shared" si="59"/>
        <v>0</v>
      </c>
      <c r="J391" s="23">
        <f t="shared" si="51"/>
        <v>0</v>
      </c>
      <c r="K391" s="23">
        <f t="shared" si="52"/>
        <v>0</v>
      </c>
      <c r="L391" s="23">
        <f t="shared" si="60"/>
        <v>0</v>
      </c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spans="2:28" ht="16.5" customHeight="1">
      <c r="B392" s="22">
        <f t="shared" si="53"/>
        <v>379</v>
      </c>
      <c r="C392" s="23">
        <f t="shared" si="54"/>
        <v>0</v>
      </c>
      <c r="D392" s="23">
        <f t="shared" si="55"/>
        <v>0</v>
      </c>
      <c r="E392" s="23">
        <f t="shared" si="56"/>
        <v>0</v>
      </c>
      <c r="F392" s="23">
        <f t="shared" si="57"/>
        <v>0</v>
      </c>
      <c r="G392" s="2"/>
      <c r="H392" s="22">
        <f t="shared" si="58"/>
        <v>379</v>
      </c>
      <c r="I392" s="23">
        <f t="shared" si="59"/>
        <v>0</v>
      </c>
      <c r="J392" s="23">
        <f t="shared" si="51"/>
        <v>0</v>
      </c>
      <c r="K392" s="23">
        <f t="shared" si="52"/>
        <v>0</v>
      </c>
      <c r="L392" s="23">
        <f t="shared" si="60"/>
        <v>0</v>
      </c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spans="2:28" ht="16.5" customHeight="1">
      <c r="B393" s="22">
        <f t="shared" si="53"/>
        <v>380</v>
      </c>
      <c r="C393" s="23">
        <f t="shared" si="54"/>
        <v>0</v>
      </c>
      <c r="D393" s="23">
        <f t="shared" si="55"/>
        <v>0</v>
      </c>
      <c r="E393" s="23">
        <f t="shared" si="56"/>
        <v>0</v>
      </c>
      <c r="F393" s="23">
        <f t="shared" si="57"/>
        <v>0</v>
      </c>
      <c r="G393" s="2"/>
      <c r="H393" s="22">
        <f t="shared" si="58"/>
        <v>380</v>
      </c>
      <c r="I393" s="23">
        <f t="shared" si="59"/>
        <v>0</v>
      </c>
      <c r="J393" s="23">
        <f t="shared" si="51"/>
        <v>0</v>
      </c>
      <c r="K393" s="23">
        <f t="shared" si="52"/>
        <v>0</v>
      </c>
      <c r="L393" s="23">
        <f t="shared" si="60"/>
        <v>0</v>
      </c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spans="2:28" ht="16.5" customHeight="1">
      <c r="B394" s="22">
        <f t="shared" si="53"/>
        <v>381</v>
      </c>
      <c r="C394" s="23">
        <f t="shared" si="54"/>
        <v>0</v>
      </c>
      <c r="D394" s="23">
        <f t="shared" si="55"/>
        <v>0</v>
      </c>
      <c r="E394" s="23">
        <f t="shared" si="56"/>
        <v>0</v>
      </c>
      <c r="F394" s="23">
        <f t="shared" si="57"/>
        <v>0</v>
      </c>
      <c r="G394" s="2"/>
      <c r="H394" s="22">
        <f t="shared" si="58"/>
        <v>381</v>
      </c>
      <c r="I394" s="23">
        <f t="shared" si="59"/>
        <v>0</v>
      </c>
      <c r="J394" s="23">
        <f t="shared" si="51"/>
        <v>0</v>
      </c>
      <c r="K394" s="23">
        <f t="shared" si="52"/>
        <v>0</v>
      </c>
      <c r="L394" s="23">
        <f t="shared" si="60"/>
        <v>0</v>
      </c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spans="2:28" ht="16.5" customHeight="1">
      <c r="B395" s="22">
        <f t="shared" si="53"/>
        <v>382</v>
      </c>
      <c r="C395" s="23">
        <f t="shared" si="54"/>
        <v>0</v>
      </c>
      <c r="D395" s="23">
        <f t="shared" si="55"/>
        <v>0</v>
      </c>
      <c r="E395" s="23">
        <f t="shared" si="56"/>
        <v>0</v>
      </c>
      <c r="F395" s="23">
        <f t="shared" si="57"/>
        <v>0</v>
      </c>
      <c r="G395" s="2"/>
      <c r="H395" s="22">
        <f t="shared" si="58"/>
        <v>382</v>
      </c>
      <c r="I395" s="23">
        <f t="shared" si="59"/>
        <v>0</v>
      </c>
      <c r="J395" s="23">
        <f t="shared" si="51"/>
        <v>0</v>
      </c>
      <c r="K395" s="23">
        <f t="shared" si="52"/>
        <v>0</v>
      </c>
      <c r="L395" s="23">
        <f t="shared" si="60"/>
        <v>0</v>
      </c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spans="2:28" ht="16.5" customHeight="1">
      <c r="B396" s="22">
        <f t="shared" si="53"/>
        <v>383</v>
      </c>
      <c r="C396" s="23">
        <f t="shared" si="54"/>
        <v>0</v>
      </c>
      <c r="D396" s="23">
        <f t="shared" si="55"/>
        <v>0</v>
      </c>
      <c r="E396" s="23">
        <f t="shared" si="56"/>
        <v>0</v>
      </c>
      <c r="F396" s="23">
        <f t="shared" si="57"/>
        <v>0</v>
      </c>
      <c r="G396" s="2"/>
      <c r="H396" s="22">
        <f t="shared" si="58"/>
        <v>383</v>
      </c>
      <c r="I396" s="23">
        <f t="shared" si="59"/>
        <v>0</v>
      </c>
      <c r="J396" s="23">
        <f t="shared" si="51"/>
        <v>0</v>
      </c>
      <c r="K396" s="23">
        <f t="shared" si="52"/>
        <v>0</v>
      </c>
      <c r="L396" s="23">
        <f t="shared" si="60"/>
        <v>0</v>
      </c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spans="2:28" ht="16.5" customHeight="1">
      <c r="B397" s="22">
        <f t="shared" si="53"/>
        <v>384</v>
      </c>
      <c r="C397" s="23">
        <f t="shared" si="54"/>
        <v>0</v>
      </c>
      <c r="D397" s="23">
        <f t="shared" si="55"/>
        <v>0</v>
      </c>
      <c r="E397" s="23">
        <f t="shared" si="56"/>
        <v>0</v>
      </c>
      <c r="F397" s="23">
        <f t="shared" si="57"/>
        <v>0</v>
      </c>
      <c r="G397" s="2"/>
      <c r="H397" s="22">
        <f t="shared" si="58"/>
        <v>384</v>
      </c>
      <c r="I397" s="23">
        <f t="shared" si="59"/>
        <v>0</v>
      </c>
      <c r="J397" s="23">
        <f t="shared" si="51"/>
        <v>0</v>
      </c>
      <c r="K397" s="23">
        <f t="shared" si="52"/>
        <v>0</v>
      </c>
      <c r="L397" s="23">
        <f t="shared" si="60"/>
        <v>0</v>
      </c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spans="2:28" ht="16.5" customHeight="1">
      <c r="B398" s="22">
        <f t="shared" si="53"/>
        <v>385</v>
      </c>
      <c r="C398" s="23">
        <f t="shared" si="54"/>
        <v>0</v>
      </c>
      <c r="D398" s="23">
        <f t="shared" si="55"/>
        <v>0</v>
      </c>
      <c r="E398" s="23">
        <f t="shared" si="56"/>
        <v>0</v>
      </c>
      <c r="F398" s="23">
        <f t="shared" si="57"/>
        <v>0</v>
      </c>
      <c r="G398" s="2"/>
      <c r="H398" s="22">
        <f t="shared" si="58"/>
        <v>385</v>
      </c>
      <c r="I398" s="23">
        <f t="shared" si="59"/>
        <v>0</v>
      </c>
      <c r="J398" s="23">
        <f t="shared" ref="J398:J433" si="61">+L397*$E$9</f>
        <v>0</v>
      </c>
      <c r="K398" s="23">
        <f t="shared" ref="K398:K433" si="62">I398+J398</f>
        <v>0</v>
      </c>
      <c r="L398" s="23">
        <f t="shared" si="60"/>
        <v>0</v>
      </c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spans="2:28" ht="16.5" customHeight="1">
      <c r="B399" s="22">
        <f t="shared" ref="B399:B433" si="63">+B398+1</f>
        <v>386</v>
      </c>
      <c r="C399" s="23">
        <f t="shared" ref="C399:C433" si="64">IFERROR(E399-D399,0)</f>
        <v>0</v>
      </c>
      <c r="D399" s="23">
        <f t="shared" ref="D399:D433" si="65">IFERROR(+F398*$E$9,0)</f>
        <v>0</v>
      </c>
      <c r="E399" s="23">
        <f t="shared" ref="E399:E433" si="66">IFERROR(-PMT($E$9,$E$7-B398,F398),0)</f>
        <v>0</v>
      </c>
      <c r="F399" s="23">
        <f t="shared" ref="F399:F433" si="67">IFERROR(F398-C399,0)</f>
        <v>0</v>
      </c>
      <c r="G399" s="2"/>
      <c r="H399" s="22">
        <f t="shared" ref="H399:H433" si="68">+H398+1</f>
        <v>386</v>
      </c>
      <c r="I399" s="23">
        <f t="shared" si="59"/>
        <v>0</v>
      </c>
      <c r="J399" s="23">
        <f t="shared" si="61"/>
        <v>0</v>
      </c>
      <c r="K399" s="23">
        <f t="shared" si="62"/>
        <v>0</v>
      </c>
      <c r="L399" s="23">
        <f t="shared" si="60"/>
        <v>0</v>
      </c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spans="2:28" ht="16.5" customHeight="1">
      <c r="B400" s="22">
        <f t="shared" si="63"/>
        <v>387</v>
      </c>
      <c r="C400" s="23">
        <f t="shared" si="64"/>
        <v>0</v>
      </c>
      <c r="D400" s="23">
        <f t="shared" si="65"/>
        <v>0</v>
      </c>
      <c r="E400" s="23">
        <f t="shared" si="66"/>
        <v>0</v>
      </c>
      <c r="F400" s="23">
        <f t="shared" si="67"/>
        <v>0</v>
      </c>
      <c r="G400" s="2"/>
      <c r="H400" s="22">
        <f t="shared" si="68"/>
        <v>387</v>
      </c>
      <c r="I400" s="23">
        <f t="shared" ref="I400:I433" si="69">IF(H400&gt;$E$7,0,I399)</f>
        <v>0</v>
      </c>
      <c r="J400" s="23">
        <f t="shared" si="61"/>
        <v>0</v>
      </c>
      <c r="K400" s="23">
        <f t="shared" si="62"/>
        <v>0</v>
      </c>
      <c r="L400" s="23">
        <f t="shared" si="60"/>
        <v>0</v>
      </c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spans="2:28" ht="16.5" customHeight="1">
      <c r="B401" s="22">
        <f t="shared" si="63"/>
        <v>388</v>
      </c>
      <c r="C401" s="23">
        <f t="shared" si="64"/>
        <v>0</v>
      </c>
      <c r="D401" s="23">
        <f t="shared" si="65"/>
        <v>0</v>
      </c>
      <c r="E401" s="23">
        <f t="shared" si="66"/>
        <v>0</v>
      </c>
      <c r="F401" s="23">
        <f t="shared" si="67"/>
        <v>0</v>
      </c>
      <c r="G401" s="2"/>
      <c r="H401" s="22">
        <f t="shared" si="68"/>
        <v>388</v>
      </c>
      <c r="I401" s="23">
        <f t="shared" si="69"/>
        <v>0</v>
      </c>
      <c r="J401" s="23">
        <f t="shared" si="61"/>
        <v>0</v>
      </c>
      <c r="K401" s="23">
        <f t="shared" si="62"/>
        <v>0</v>
      </c>
      <c r="L401" s="23">
        <f t="shared" si="60"/>
        <v>0</v>
      </c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spans="2:28" ht="16.5" customHeight="1">
      <c r="B402" s="22">
        <f t="shared" si="63"/>
        <v>389</v>
      </c>
      <c r="C402" s="23">
        <f t="shared" si="64"/>
        <v>0</v>
      </c>
      <c r="D402" s="23">
        <f t="shared" si="65"/>
        <v>0</v>
      </c>
      <c r="E402" s="23">
        <f t="shared" si="66"/>
        <v>0</v>
      </c>
      <c r="F402" s="23">
        <f t="shared" si="67"/>
        <v>0</v>
      </c>
      <c r="G402" s="2"/>
      <c r="H402" s="22">
        <f t="shared" si="68"/>
        <v>389</v>
      </c>
      <c r="I402" s="23">
        <f t="shared" si="69"/>
        <v>0</v>
      </c>
      <c r="J402" s="23">
        <f t="shared" si="61"/>
        <v>0</v>
      </c>
      <c r="K402" s="23">
        <f t="shared" si="62"/>
        <v>0</v>
      </c>
      <c r="L402" s="23">
        <f t="shared" si="60"/>
        <v>0</v>
      </c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2:28" ht="16.5" customHeight="1">
      <c r="B403" s="22">
        <f t="shared" si="63"/>
        <v>390</v>
      </c>
      <c r="C403" s="23">
        <f t="shared" si="64"/>
        <v>0</v>
      </c>
      <c r="D403" s="23">
        <f t="shared" si="65"/>
        <v>0</v>
      </c>
      <c r="E403" s="23">
        <f t="shared" si="66"/>
        <v>0</v>
      </c>
      <c r="F403" s="23">
        <f t="shared" si="67"/>
        <v>0</v>
      </c>
      <c r="G403" s="2"/>
      <c r="H403" s="22">
        <f t="shared" si="68"/>
        <v>390</v>
      </c>
      <c r="I403" s="23">
        <f t="shared" si="69"/>
        <v>0</v>
      </c>
      <c r="J403" s="23">
        <f t="shared" si="61"/>
        <v>0</v>
      </c>
      <c r="K403" s="23">
        <f t="shared" si="62"/>
        <v>0</v>
      </c>
      <c r="L403" s="23">
        <f t="shared" si="60"/>
        <v>0</v>
      </c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spans="2:28" ht="16.5" customHeight="1">
      <c r="B404" s="22">
        <f t="shared" si="63"/>
        <v>391</v>
      </c>
      <c r="C404" s="23">
        <f t="shared" si="64"/>
        <v>0</v>
      </c>
      <c r="D404" s="23">
        <f t="shared" si="65"/>
        <v>0</v>
      </c>
      <c r="E404" s="23">
        <f t="shared" si="66"/>
        <v>0</v>
      </c>
      <c r="F404" s="23">
        <f t="shared" si="67"/>
        <v>0</v>
      </c>
      <c r="G404" s="2"/>
      <c r="H404" s="22">
        <f t="shared" si="68"/>
        <v>391</v>
      </c>
      <c r="I404" s="23">
        <f t="shared" si="69"/>
        <v>0</v>
      </c>
      <c r="J404" s="23">
        <f t="shared" si="61"/>
        <v>0</v>
      </c>
      <c r="K404" s="23">
        <f t="shared" si="62"/>
        <v>0</v>
      </c>
      <c r="L404" s="23">
        <f t="shared" si="60"/>
        <v>0</v>
      </c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2:28" ht="16.5" customHeight="1">
      <c r="B405" s="22">
        <f t="shared" si="63"/>
        <v>392</v>
      </c>
      <c r="C405" s="23">
        <f t="shared" si="64"/>
        <v>0</v>
      </c>
      <c r="D405" s="23">
        <f t="shared" si="65"/>
        <v>0</v>
      </c>
      <c r="E405" s="23">
        <f t="shared" si="66"/>
        <v>0</v>
      </c>
      <c r="F405" s="23">
        <f t="shared" si="67"/>
        <v>0</v>
      </c>
      <c r="G405" s="2"/>
      <c r="H405" s="22">
        <f t="shared" si="68"/>
        <v>392</v>
      </c>
      <c r="I405" s="23">
        <f t="shared" si="69"/>
        <v>0</v>
      </c>
      <c r="J405" s="23">
        <f t="shared" si="61"/>
        <v>0</v>
      </c>
      <c r="K405" s="23">
        <f t="shared" si="62"/>
        <v>0</v>
      </c>
      <c r="L405" s="23">
        <f t="shared" si="60"/>
        <v>0</v>
      </c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spans="2:28" ht="16.5" customHeight="1">
      <c r="B406" s="22">
        <f t="shared" si="63"/>
        <v>393</v>
      </c>
      <c r="C406" s="23">
        <f t="shared" si="64"/>
        <v>0</v>
      </c>
      <c r="D406" s="23">
        <f t="shared" si="65"/>
        <v>0</v>
      </c>
      <c r="E406" s="23">
        <f t="shared" si="66"/>
        <v>0</v>
      </c>
      <c r="F406" s="23">
        <f t="shared" si="67"/>
        <v>0</v>
      </c>
      <c r="G406" s="2"/>
      <c r="H406" s="22">
        <f t="shared" si="68"/>
        <v>393</v>
      </c>
      <c r="I406" s="23">
        <f t="shared" si="69"/>
        <v>0</v>
      </c>
      <c r="J406" s="23">
        <f t="shared" si="61"/>
        <v>0</v>
      </c>
      <c r="K406" s="23">
        <f t="shared" si="62"/>
        <v>0</v>
      </c>
      <c r="L406" s="23">
        <f t="shared" si="60"/>
        <v>0</v>
      </c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spans="2:28" ht="16.5" customHeight="1">
      <c r="B407" s="22">
        <f t="shared" si="63"/>
        <v>394</v>
      </c>
      <c r="C407" s="23">
        <f t="shared" si="64"/>
        <v>0</v>
      </c>
      <c r="D407" s="23">
        <f t="shared" si="65"/>
        <v>0</v>
      </c>
      <c r="E407" s="23">
        <f t="shared" si="66"/>
        <v>0</v>
      </c>
      <c r="F407" s="23">
        <f t="shared" si="67"/>
        <v>0</v>
      </c>
      <c r="G407" s="2"/>
      <c r="H407" s="22">
        <f t="shared" si="68"/>
        <v>394</v>
      </c>
      <c r="I407" s="23">
        <f t="shared" si="69"/>
        <v>0</v>
      </c>
      <c r="J407" s="23">
        <f t="shared" si="61"/>
        <v>0</v>
      </c>
      <c r="K407" s="23">
        <f t="shared" si="62"/>
        <v>0</v>
      </c>
      <c r="L407" s="23">
        <f t="shared" si="60"/>
        <v>0</v>
      </c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spans="2:28" ht="16.5" customHeight="1">
      <c r="B408" s="22">
        <f t="shared" si="63"/>
        <v>395</v>
      </c>
      <c r="C408" s="23">
        <f t="shared" si="64"/>
        <v>0</v>
      </c>
      <c r="D408" s="23">
        <f t="shared" si="65"/>
        <v>0</v>
      </c>
      <c r="E408" s="23">
        <f t="shared" si="66"/>
        <v>0</v>
      </c>
      <c r="F408" s="23">
        <f t="shared" si="67"/>
        <v>0</v>
      </c>
      <c r="G408" s="2"/>
      <c r="H408" s="22">
        <f t="shared" si="68"/>
        <v>395</v>
      </c>
      <c r="I408" s="23">
        <f t="shared" si="69"/>
        <v>0</v>
      </c>
      <c r="J408" s="23">
        <f t="shared" si="61"/>
        <v>0</v>
      </c>
      <c r="K408" s="23">
        <f t="shared" si="62"/>
        <v>0</v>
      </c>
      <c r="L408" s="23">
        <f t="shared" si="60"/>
        <v>0</v>
      </c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spans="2:28" ht="16.5" customHeight="1">
      <c r="B409" s="22">
        <f t="shared" si="63"/>
        <v>396</v>
      </c>
      <c r="C409" s="23">
        <f t="shared" si="64"/>
        <v>0</v>
      </c>
      <c r="D409" s="23">
        <f t="shared" si="65"/>
        <v>0</v>
      </c>
      <c r="E409" s="23">
        <f t="shared" si="66"/>
        <v>0</v>
      </c>
      <c r="F409" s="23">
        <f t="shared" si="67"/>
        <v>0</v>
      </c>
      <c r="G409" s="2"/>
      <c r="H409" s="22">
        <f t="shared" si="68"/>
        <v>396</v>
      </c>
      <c r="I409" s="23">
        <f t="shared" si="69"/>
        <v>0</v>
      </c>
      <c r="J409" s="23">
        <f t="shared" si="61"/>
        <v>0</v>
      </c>
      <c r="K409" s="23">
        <f t="shared" si="62"/>
        <v>0</v>
      </c>
      <c r="L409" s="23">
        <f t="shared" si="60"/>
        <v>0</v>
      </c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spans="2:28" ht="16.5" customHeight="1">
      <c r="B410" s="22">
        <f t="shared" si="63"/>
        <v>397</v>
      </c>
      <c r="C410" s="23">
        <f t="shared" si="64"/>
        <v>0</v>
      </c>
      <c r="D410" s="23">
        <f t="shared" si="65"/>
        <v>0</v>
      </c>
      <c r="E410" s="23">
        <f t="shared" si="66"/>
        <v>0</v>
      </c>
      <c r="F410" s="23">
        <f t="shared" si="67"/>
        <v>0</v>
      </c>
      <c r="G410" s="2"/>
      <c r="H410" s="22">
        <f t="shared" si="68"/>
        <v>397</v>
      </c>
      <c r="I410" s="23">
        <f t="shared" si="69"/>
        <v>0</v>
      </c>
      <c r="J410" s="23">
        <f t="shared" si="61"/>
        <v>0</v>
      </c>
      <c r="K410" s="23">
        <f t="shared" si="62"/>
        <v>0</v>
      </c>
      <c r="L410" s="23">
        <f t="shared" ref="L410:L433" si="70">IF(H410&gt;$E$7,0,IFERROR(L409-I410,0)-N410)</f>
        <v>0</v>
      </c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spans="2:28" ht="16.5" customHeight="1">
      <c r="B411" s="22">
        <f t="shared" si="63"/>
        <v>398</v>
      </c>
      <c r="C411" s="23">
        <f t="shared" si="64"/>
        <v>0</v>
      </c>
      <c r="D411" s="23">
        <f t="shared" si="65"/>
        <v>0</v>
      </c>
      <c r="E411" s="23">
        <f t="shared" si="66"/>
        <v>0</v>
      </c>
      <c r="F411" s="23">
        <f t="shared" si="67"/>
        <v>0</v>
      </c>
      <c r="G411" s="2"/>
      <c r="H411" s="22">
        <f t="shared" si="68"/>
        <v>398</v>
      </c>
      <c r="I411" s="23">
        <f t="shared" si="69"/>
        <v>0</v>
      </c>
      <c r="J411" s="23">
        <f t="shared" si="61"/>
        <v>0</v>
      </c>
      <c r="K411" s="23">
        <f t="shared" si="62"/>
        <v>0</v>
      </c>
      <c r="L411" s="23">
        <f t="shared" si="70"/>
        <v>0</v>
      </c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spans="2:28" ht="16.5" customHeight="1">
      <c r="B412" s="22">
        <f t="shared" si="63"/>
        <v>399</v>
      </c>
      <c r="C412" s="23">
        <f t="shared" si="64"/>
        <v>0</v>
      </c>
      <c r="D412" s="23">
        <f t="shared" si="65"/>
        <v>0</v>
      </c>
      <c r="E412" s="23">
        <f t="shared" si="66"/>
        <v>0</v>
      </c>
      <c r="F412" s="23">
        <f t="shared" si="67"/>
        <v>0</v>
      </c>
      <c r="G412" s="2"/>
      <c r="H412" s="22">
        <f t="shared" si="68"/>
        <v>399</v>
      </c>
      <c r="I412" s="23">
        <f t="shared" si="69"/>
        <v>0</v>
      </c>
      <c r="J412" s="23">
        <f t="shared" si="61"/>
        <v>0</v>
      </c>
      <c r="K412" s="23">
        <f t="shared" si="62"/>
        <v>0</v>
      </c>
      <c r="L412" s="23">
        <f t="shared" si="70"/>
        <v>0</v>
      </c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2:28" ht="16.5" customHeight="1">
      <c r="B413" s="22">
        <f t="shared" si="63"/>
        <v>400</v>
      </c>
      <c r="C413" s="23">
        <f t="shared" si="64"/>
        <v>0</v>
      </c>
      <c r="D413" s="23">
        <f t="shared" si="65"/>
        <v>0</v>
      </c>
      <c r="E413" s="23">
        <f t="shared" si="66"/>
        <v>0</v>
      </c>
      <c r="F413" s="23">
        <f t="shared" si="67"/>
        <v>0</v>
      </c>
      <c r="G413" s="2"/>
      <c r="H413" s="22">
        <f t="shared" si="68"/>
        <v>400</v>
      </c>
      <c r="I413" s="23">
        <f t="shared" si="69"/>
        <v>0</v>
      </c>
      <c r="J413" s="23">
        <f t="shared" si="61"/>
        <v>0</v>
      </c>
      <c r="K413" s="23">
        <f t="shared" si="62"/>
        <v>0</v>
      </c>
      <c r="L413" s="23">
        <f t="shared" si="70"/>
        <v>0</v>
      </c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2:28" ht="16.5" customHeight="1">
      <c r="B414" s="22">
        <f t="shared" si="63"/>
        <v>401</v>
      </c>
      <c r="C414" s="23">
        <f t="shared" si="64"/>
        <v>0</v>
      </c>
      <c r="D414" s="23">
        <f t="shared" si="65"/>
        <v>0</v>
      </c>
      <c r="E414" s="23">
        <f t="shared" si="66"/>
        <v>0</v>
      </c>
      <c r="F414" s="23">
        <f t="shared" si="67"/>
        <v>0</v>
      </c>
      <c r="G414" s="2"/>
      <c r="H414" s="22">
        <f t="shared" si="68"/>
        <v>401</v>
      </c>
      <c r="I414" s="23">
        <f t="shared" si="69"/>
        <v>0</v>
      </c>
      <c r="J414" s="23">
        <f t="shared" si="61"/>
        <v>0</v>
      </c>
      <c r="K414" s="23">
        <f t="shared" si="62"/>
        <v>0</v>
      </c>
      <c r="L414" s="23">
        <f t="shared" si="70"/>
        <v>0</v>
      </c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spans="2:28" ht="16.5" customHeight="1">
      <c r="B415" s="22">
        <f t="shared" si="63"/>
        <v>402</v>
      </c>
      <c r="C415" s="23">
        <f t="shared" si="64"/>
        <v>0</v>
      </c>
      <c r="D415" s="23">
        <f t="shared" si="65"/>
        <v>0</v>
      </c>
      <c r="E415" s="23">
        <f t="shared" si="66"/>
        <v>0</v>
      </c>
      <c r="F415" s="23">
        <f t="shared" si="67"/>
        <v>0</v>
      </c>
      <c r="G415" s="2"/>
      <c r="H415" s="22">
        <f t="shared" si="68"/>
        <v>402</v>
      </c>
      <c r="I415" s="23">
        <f t="shared" si="69"/>
        <v>0</v>
      </c>
      <c r="J415" s="23">
        <f t="shared" si="61"/>
        <v>0</v>
      </c>
      <c r="K415" s="23">
        <f t="shared" si="62"/>
        <v>0</v>
      </c>
      <c r="L415" s="23">
        <f t="shared" si="70"/>
        <v>0</v>
      </c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spans="2:28" ht="16.5" customHeight="1">
      <c r="B416" s="22">
        <f t="shared" si="63"/>
        <v>403</v>
      </c>
      <c r="C416" s="23">
        <f t="shared" si="64"/>
        <v>0</v>
      </c>
      <c r="D416" s="23">
        <f t="shared" si="65"/>
        <v>0</v>
      </c>
      <c r="E416" s="23">
        <f t="shared" si="66"/>
        <v>0</v>
      </c>
      <c r="F416" s="23">
        <f t="shared" si="67"/>
        <v>0</v>
      </c>
      <c r="G416" s="2"/>
      <c r="H416" s="22">
        <f t="shared" si="68"/>
        <v>403</v>
      </c>
      <c r="I416" s="23">
        <f t="shared" si="69"/>
        <v>0</v>
      </c>
      <c r="J416" s="23">
        <f t="shared" si="61"/>
        <v>0</v>
      </c>
      <c r="K416" s="23">
        <f t="shared" si="62"/>
        <v>0</v>
      </c>
      <c r="L416" s="23">
        <f t="shared" si="70"/>
        <v>0</v>
      </c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spans="2:28" ht="16.5" customHeight="1">
      <c r="B417" s="22">
        <f t="shared" si="63"/>
        <v>404</v>
      </c>
      <c r="C417" s="23">
        <f t="shared" si="64"/>
        <v>0</v>
      </c>
      <c r="D417" s="23">
        <f t="shared" si="65"/>
        <v>0</v>
      </c>
      <c r="E417" s="23">
        <f t="shared" si="66"/>
        <v>0</v>
      </c>
      <c r="F417" s="23">
        <f t="shared" si="67"/>
        <v>0</v>
      </c>
      <c r="G417" s="2"/>
      <c r="H417" s="22">
        <f t="shared" si="68"/>
        <v>404</v>
      </c>
      <c r="I417" s="23">
        <f t="shared" si="69"/>
        <v>0</v>
      </c>
      <c r="J417" s="23">
        <f t="shared" si="61"/>
        <v>0</v>
      </c>
      <c r="K417" s="23">
        <f t="shared" si="62"/>
        <v>0</v>
      </c>
      <c r="L417" s="23">
        <f t="shared" si="70"/>
        <v>0</v>
      </c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spans="2:28" ht="16.5" customHeight="1">
      <c r="B418" s="22">
        <f t="shared" si="63"/>
        <v>405</v>
      </c>
      <c r="C418" s="23">
        <f t="shared" si="64"/>
        <v>0</v>
      </c>
      <c r="D418" s="23">
        <f t="shared" si="65"/>
        <v>0</v>
      </c>
      <c r="E418" s="23">
        <f t="shared" si="66"/>
        <v>0</v>
      </c>
      <c r="F418" s="23">
        <f t="shared" si="67"/>
        <v>0</v>
      </c>
      <c r="G418" s="2"/>
      <c r="H418" s="22">
        <f t="shared" si="68"/>
        <v>405</v>
      </c>
      <c r="I418" s="23">
        <f t="shared" si="69"/>
        <v>0</v>
      </c>
      <c r="J418" s="23">
        <f t="shared" si="61"/>
        <v>0</v>
      </c>
      <c r="K418" s="23">
        <f t="shared" si="62"/>
        <v>0</v>
      </c>
      <c r="L418" s="23">
        <f t="shared" si="70"/>
        <v>0</v>
      </c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spans="2:28" ht="16.5" customHeight="1">
      <c r="B419" s="22">
        <f t="shared" si="63"/>
        <v>406</v>
      </c>
      <c r="C419" s="23">
        <f t="shared" si="64"/>
        <v>0</v>
      </c>
      <c r="D419" s="23">
        <f t="shared" si="65"/>
        <v>0</v>
      </c>
      <c r="E419" s="23">
        <f t="shared" si="66"/>
        <v>0</v>
      </c>
      <c r="F419" s="23">
        <f t="shared" si="67"/>
        <v>0</v>
      </c>
      <c r="G419" s="2"/>
      <c r="H419" s="22">
        <f t="shared" si="68"/>
        <v>406</v>
      </c>
      <c r="I419" s="23">
        <f t="shared" si="69"/>
        <v>0</v>
      </c>
      <c r="J419" s="23">
        <f t="shared" si="61"/>
        <v>0</v>
      </c>
      <c r="K419" s="23">
        <f t="shared" si="62"/>
        <v>0</v>
      </c>
      <c r="L419" s="23">
        <f t="shared" si="70"/>
        <v>0</v>
      </c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spans="2:28" ht="16.5" customHeight="1">
      <c r="B420" s="22">
        <f t="shared" si="63"/>
        <v>407</v>
      </c>
      <c r="C420" s="23">
        <f t="shared" si="64"/>
        <v>0</v>
      </c>
      <c r="D420" s="23">
        <f t="shared" si="65"/>
        <v>0</v>
      </c>
      <c r="E420" s="23">
        <f t="shared" si="66"/>
        <v>0</v>
      </c>
      <c r="F420" s="23">
        <f t="shared" si="67"/>
        <v>0</v>
      </c>
      <c r="G420" s="2"/>
      <c r="H420" s="22">
        <f t="shared" si="68"/>
        <v>407</v>
      </c>
      <c r="I420" s="23">
        <f t="shared" si="69"/>
        <v>0</v>
      </c>
      <c r="J420" s="23">
        <f t="shared" si="61"/>
        <v>0</v>
      </c>
      <c r="K420" s="23">
        <f t="shared" si="62"/>
        <v>0</v>
      </c>
      <c r="L420" s="23">
        <f t="shared" si="70"/>
        <v>0</v>
      </c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spans="2:28" ht="16.5" customHeight="1">
      <c r="B421" s="22">
        <f t="shared" si="63"/>
        <v>408</v>
      </c>
      <c r="C421" s="23">
        <f t="shared" si="64"/>
        <v>0</v>
      </c>
      <c r="D421" s="23">
        <f t="shared" si="65"/>
        <v>0</v>
      </c>
      <c r="E421" s="23">
        <f t="shared" si="66"/>
        <v>0</v>
      </c>
      <c r="F421" s="23">
        <f t="shared" si="67"/>
        <v>0</v>
      </c>
      <c r="G421" s="2"/>
      <c r="H421" s="22">
        <f t="shared" si="68"/>
        <v>408</v>
      </c>
      <c r="I421" s="23">
        <f t="shared" si="69"/>
        <v>0</v>
      </c>
      <c r="J421" s="23">
        <f t="shared" si="61"/>
        <v>0</v>
      </c>
      <c r="K421" s="23">
        <f t="shared" si="62"/>
        <v>0</v>
      </c>
      <c r="L421" s="23">
        <f t="shared" si="70"/>
        <v>0</v>
      </c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2:28" ht="16.5" customHeight="1">
      <c r="B422" s="22">
        <f t="shared" si="63"/>
        <v>409</v>
      </c>
      <c r="C422" s="23">
        <f t="shared" si="64"/>
        <v>0</v>
      </c>
      <c r="D422" s="23">
        <f t="shared" si="65"/>
        <v>0</v>
      </c>
      <c r="E422" s="23">
        <f t="shared" si="66"/>
        <v>0</v>
      </c>
      <c r="F422" s="23">
        <f t="shared" si="67"/>
        <v>0</v>
      </c>
      <c r="G422" s="2"/>
      <c r="H422" s="22">
        <f t="shared" si="68"/>
        <v>409</v>
      </c>
      <c r="I422" s="23">
        <f t="shared" si="69"/>
        <v>0</v>
      </c>
      <c r="J422" s="23">
        <f t="shared" si="61"/>
        <v>0</v>
      </c>
      <c r="K422" s="23">
        <f t="shared" si="62"/>
        <v>0</v>
      </c>
      <c r="L422" s="23">
        <f t="shared" si="70"/>
        <v>0</v>
      </c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spans="2:28" ht="16.5" customHeight="1">
      <c r="B423" s="22">
        <f t="shared" si="63"/>
        <v>410</v>
      </c>
      <c r="C423" s="23">
        <f t="shared" si="64"/>
        <v>0</v>
      </c>
      <c r="D423" s="23">
        <f t="shared" si="65"/>
        <v>0</v>
      </c>
      <c r="E423" s="23">
        <f t="shared" si="66"/>
        <v>0</v>
      </c>
      <c r="F423" s="23">
        <f t="shared" si="67"/>
        <v>0</v>
      </c>
      <c r="G423" s="2"/>
      <c r="H423" s="22">
        <f t="shared" si="68"/>
        <v>410</v>
      </c>
      <c r="I423" s="23">
        <f t="shared" si="69"/>
        <v>0</v>
      </c>
      <c r="J423" s="23">
        <f t="shared" si="61"/>
        <v>0</v>
      </c>
      <c r="K423" s="23">
        <f t="shared" si="62"/>
        <v>0</v>
      </c>
      <c r="L423" s="23">
        <f t="shared" si="70"/>
        <v>0</v>
      </c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spans="2:28" ht="16.5" customHeight="1">
      <c r="B424" s="22">
        <f t="shared" si="63"/>
        <v>411</v>
      </c>
      <c r="C424" s="23">
        <f t="shared" si="64"/>
        <v>0</v>
      </c>
      <c r="D424" s="23">
        <f t="shared" si="65"/>
        <v>0</v>
      </c>
      <c r="E424" s="23">
        <f t="shared" si="66"/>
        <v>0</v>
      </c>
      <c r="F424" s="23">
        <f t="shared" si="67"/>
        <v>0</v>
      </c>
      <c r="G424" s="2"/>
      <c r="H424" s="22">
        <f t="shared" si="68"/>
        <v>411</v>
      </c>
      <c r="I424" s="23">
        <f t="shared" si="69"/>
        <v>0</v>
      </c>
      <c r="J424" s="23">
        <f t="shared" si="61"/>
        <v>0</v>
      </c>
      <c r="K424" s="23">
        <f t="shared" si="62"/>
        <v>0</v>
      </c>
      <c r="L424" s="23">
        <f t="shared" si="70"/>
        <v>0</v>
      </c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spans="2:28" ht="16.5" customHeight="1">
      <c r="B425" s="22">
        <f t="shared" si="63"/>
        <v>412</v>
      </c>
      <c r="C425" s="23">
        <f t="shared" si="64"/>
        <v>0</v>
      </c>
      <c r="D425" s="23">
        <f t="shared" si="65"/>
        <v>0</v>
      </c>
      <c r="E425" s="23">
        <f t="shared" si="66"/>
        <v>0</v>
      </c>
      <c r="F425" s="23">
        <f t="shared" si="67"/>
        <v>0</v>
      </c>
      <c r="G425" s="2"/>
      <c r="H425" s="22">
        <f t="shared" si="68"/>
        <v>412</v>
      </c>
      <c r="I425" s="23">
        <f t="shared" si="69"/>
        <v>0</v>
      </c>
      <c r="J425" s="23">
        <f t="shared" si="61"/>
        <v>0</v>
      </c>
      <c r="K425" s="23">
        <f t="shared" si="62"/>
        <v>0</v>
      </c>
      <c r="L425" s="23">
        <f t="shared" si="70"/>
        <v>0</v>
      </c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spans="2:28" ht="16.5" customHeight="1">
      <c r="B426" s="22">
        <f t="shared" si="63"/>
        <v>413</v>
      </c>
      <c r="C426" s="23">
        <f t="shared" si="64"/>
        <v>0</v>
      </c>
      <c r="D426" s="23">
        <f t="shared" si="65"/>
        <v>0</v>
      </c>
      <c r="E426" s="23">
        <f t="shared" si="66"/>
        <v>0</v>
      </c>
      <c r="F426" s="23">
        <f t="shared" si="67"/>
        <v>0</v>
      </c>
      <c r="G426" s="2"/>
      <c r="H426" s="22">
        <f t="shared" si="68"/>
        <v>413</v>
      </c>
      <c r="I426" s="23">
        <f t="shared" si="69"/>
        <v>0</v>
      </c>
      <c r="J426" s="23">
        <f t="shared" si="61"/>
        <v>0</v>
      </c>
      <c r="K426" s="23">
        <f t="shared" si="62"/>
        <v>0</v>
      </c>
      <c r="L426" s="23">
        <f t="shared" si="70"/>
        <v>0</v>
      </c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spans="2:28" ht="16.5" customHeight="1">
      <c r="B427" s="22">
        <f t="shared" si="63"/>
        <v>414</v>
      </c>
      <c r="C427" s="23">
        <f t="shared" si="64"/>
        <v>0</v>
      </c>
      <c r="D427" s="23">
        <f t="shared" si="65"/>
        <v>0</v>
      </c>
      <c r="E427" s="23">
        <f t="shared" si="66"/>
        <v>0</v>
      </c>
      <c r="F427" s="23">
        <f t="shared" si="67"/>
        <v>0</v>
      </c>
      <c r="G427" s="2"/>
      <c r="H427" s="22">
        <f t="shared" si="68"/>
        <v>414</v>
      </c>
      <c r="I427" s="23">
        <f t="shared" si="69"/>
        <v>0</v>
      </c>
      <c r="J427" s="23">
        <f t="shared" si="61"/>
        <v>0</v>
      </c>
      <c r="K427" s="23">
        <f t="shared" si="62"/>
        <v>0</v>
      </c>
      <c r="L427" s="23">
        <f t="shared" si="70"/>
        <v>0</v>
      </c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spans="2:28" ht="16.5" customHeight="1">
      <c r="B428" s="22">
        <f t="shared" si="63"/>
        <v>415</v>
      </c>
      <c r="C428" s="23">
        <f t="shared" si="64"/>
        <v>0</v>
      </c>
      <c r="D428" s="23">
        <f t="shared" si="65"/>
        <v>0</v>
      </c>
      <c r="E428" s="23">
        <f t="shared" si="66"/>
        <v>0</v>
      </c>
      <c r="F428" s="23">
        <f t="shared" si="67"/>
        <v>0</v>
      </c>
      <c r="G428" s="2"/>
      <c r="H428" s="22">
        <f t="shared" si="68"/>
        <v>415</v>
      </c>
      <c r="I428" s="23">
        <f t="shared" si="69"/>
        <v>0</v>
      </c>
      <c r="J428" s="23">
        <f t="shared" si="61"/>
        <v>0</v>
      </c>
      <c r="K428" s="23">
        <f t="shared" si="62"/>
        <v>0</v>
      </c>
      <c r="L428" s="23">
        <f t="shared" si="70"/>
        <v>0</v>
      </c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spans="2:28" ht="16.5" customHeight="1">
      <c r="B429" s="22">
        <f t="shared" si="63"/>
        <v>416</v>
      </c>
      <c r="C429" s="23">
        <f t="shared" si="64"/>
        <v>0</v>
      </c>
      <c r="D429" s="23">
        <f t="shared" si="65"/>
        <v>0</v>
      </c>
      <c r="E429" s="23">
        <f t="shared" si="66"/>
        <v>0</v>
      </c>
      <c r="F429" s="23">
        <f t="shared" si="67"/>
        <v>0</v>
      </c>
      <c r="G429" s="2"/>
      <c r="H429" s="22">
        <f t="shared" si="68"/>
        <v>416</v>
      </c>
      <c r="I429" s="23">
        <f t="shared" si="69"/>
        <v>0</v>
      </c>
      <c r="J429" s="23">
        <f t="shared" si="61"/>
        <v>0</v>
      </c>
      <c r="K429" s="23">
        <f t="shared" si="62"/>
        <v>0</v>
      </c>
      <c r="L429" s="23">
        <f t="shared" si="70"/>
        <v>0</v>
      </c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2:28" ht="16.5" customHeight="1">
      <c r="B430" s="22">
        <f t="shared" si="63"/>
        <v>417</v>
      </c>
      <c r="C430" s="23">
        <f t="shared" si="64"/>
        <v>0</v>
      </c>
      <c r="D430" s="23">
        <f t="shared" si="65"/>
        <v>0</v>
      </c>
      <c r="E430" s="23">
        <f t="shared" si="66"/>
        <v>0</v>
      </c>
      <c r="F430" s="23">
        <f t="shared" si="67"/>
        <v>0</v>
      </c>
      <c r="G430" s="2"/>
      <c r="H430" s="22">
        <f t="shared" si="68"/>
        <v>417</v>
      </c>
      <c r="I430" s="23">
        <f t="shared" si="69"/>
        <v>0</v>
      </c>
      <c r="J430" s="23">
        <f t="shared" si="61"/>
        <v>0</v>
      </c>
      <c r="K430" s="23">
        <f t="shared" si="62"/>
        <v>0</v>
      </c>
      <c r="L430" s="23">
        <f t="shared" si="70"/>
        <v>0</v>
      </c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spans="2:28" ht="16.5" customHeight="1">
      <c r="B431" s="22">
        <f t="shared" si="63"/>
        <v>418</v>
      </c>
      <c r="C431" s="23">
        <f t="shared" si="64"/>
        <v>0</v>
      </c>
      <c r="D431" s="23">
        <f t="shared" si="65"/>
        <v>0</v>
      </c>
      <c r="E431" s="23">
        <f t="shared" si="66"/>
        <v>0</v>
      </c>
      <c r="F431" s="23">
        <f t="shared" si="67"/>
        <v>0</v>
      </c>
      <c r="G431" s="2"/>
      <c r="H431" s="22">
        <f t="shared" si="68"/>
        <v>418</v>
      </c>
      <c r="I431" s="23">
        <f t="shared" si="69"/>
        <v>0</v>
      </c>
      <c r="J431" s="23">
        <f t="shared" si="61"/>
        <v>0</v>
      </c>
      <c r="K431" s="23">
        <f t="shared" si="62"/>
        <v>0</v>
      </c>
      <c r="L431" s="23">
        <f t="shared" si="70"/>
        <v>0</v>
      </c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spans="2:28" ht="16.5" customHeight="1">
      <c r="B432" s="22">
        <f t="shared" si="63"/>
        <v>419</v>
      </c>
      <c r="C432" s="23">
        <f t="shared" si="64"/>
        <v>0</v>
      </c>
      <c r="D432" s="23">
        <f t="shared" si="65"/>
        <v>0</v>
      </c>
      <c r="E432" s="23">
        <f t="shared" si="66"/>
        <v>0</v>
      </c>
      <c r="F432" s="23">
        <f t="shared" si="67"/>
        <v>0</v>
      </c>
      <c r="G432" s="2"/>
      <c r="H432" s="22">
        <f t="shared" si="68"/>
        <v>419</v>
      </c>
      <c r="I432" s="23">
        <f t="shared" si="69"/>
        <v>0</v>
      </c>
      <c r="J432" s="23">
        <f t="shared" si="61"/>
        <v>0</v>
      </c>
      <c r="K432" s="23">
        <f t="shared" si="62"/>
        <v>0</v>
      </c>
      <c r="L432" s="23">
        <f t="shared" si="70"/>
        <v>0</v>
      </c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spans="2:28" ht="16.5" customHeight="1">
      <c r="B433" s="22">
        <f t="shared" si="63"/>
        <v>420</v>
      </c>
      <c r="C433" s="23">
        <f t="shared" si="64"/>
        <v>0</v>
      </c>
      <c r="D433" s="23">
        <f t="shared" si="65"/>
        <v>0</v>
      </c>
      <c r="E433" s="23">
        <f t="shared" si="66"/>
        <v>0</v>
      </c>
      <c r="F433" s="23">
        <f t="shared" si="67"/>
        <v>0</v>
      </c>
      <c r="G433" s="2"/>
      <c r="H433" s="22">
        <f t="shared" si="68"/>
        <v>420</v>
      </c>
      <c r="I433" s="23">
        <f t="shared" si="69"/>
        <v>0</v>
      </c>
      <c r="J433" s="23">
        <f t="shared" si="61"/>
        <v>0</v>
      </c>
      <c r="K433" s="23">
        <f t="shared" si="62"/>
        <v>0</v>
      </c>
      <c r="L433" s="23">
        <f t="shared" si="70"/>
        <v>0</v>
      </c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spans="2:28" ht="16.5" customHeight="1"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spans="2:28" ht="16.5" customHeight="1"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spans="2:28" ht="16.5" customHeight="1"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spans="2:28" ht="16.5" customHeight="1"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2:28" ht="16.5" customHeight="1"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spans="2:28" ht="16.5" customHeight="1"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spans="2:28" ht="16.5" customHeight="1"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spans="2:28" ht="16.5" customHeight="1"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spans="2:28" ht="16.5" customHeight="1"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spans="2:28" ht="16.5" customHeight="1"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spans="2:28" ht="16.5" customHeight="1"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spans="2:28" ht="16.5" customHeight="1"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spans="2:28" ht="16.5" customHeight="1"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2:28" ht="16.5" customHeight="1"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spans="2:28" ht="16.5" customHeight="1"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spans="2:28" ht="16.5" customHeight="1"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spans="2:28" ht="16.5" customHeight="1"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2:28" ht="16.5" customHeight="1"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spans="2:28" ht="16.5" customHeight="1"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spans="2:28" ht="16.5" customHeight="1"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spans="2:28" ht="16.5" customHeight="1"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spans="2:28" ht="16.5" customHeight="1"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spans="2:28" ht="16.5" customHeight="1"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spans="2:28" ht="16.5" customHeight="1"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spans="2:28" ht="16.5" customHeight="1"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spans="2:28" ht="16.5" customHeight="1"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spans="2:28" ht="16.5" customHeight="1"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spans="2:28" ht="16.5" customHeight="1"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spans="2:28" ht="16.5" customHeight="1"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spans="2:28" ht="16.5" customHeight="1"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spans="2:28" ht="16.5" customHeight="1"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spans="2:28" ht="16.5" customHeight="1"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spans="2:28" ht="16.5" customHeight="1"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spans="2:28" ht="16.5" customHeight="1"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spans="2:28" ht="16.5" customHeight="1"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spans="2:28" ht="16.5" customHeight="1"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2:28" ht="16.5" customHeight="1"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2:28" ht="16.5" customHeight="1"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spans="2:28" ht="16.5" customHeight="1"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spans="2:28" ht="16.5" customHeight="1"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spans="2:28" ht="16.5" customHeight="1"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spans="2:28" ht="16.5" customHeight="1"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spans="2:28" ht="16.5" customHeight="1"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spans="2:28" ht="16.5" customHeight="1"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spans="2:28" ht="16.5" customHeight="1"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spans="2:28" ht="16.5" customHeight="1"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spans="2:28" ht="16.5" customHeight="1"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spans="2:28" ht="16.5" customHeight="1"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spans="2:28" ht="16.5" customHeight="1"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spans="2:28" ht="16.5" customHeight="1"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spans="2:28" ht="16.5" customHeight="1"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spans="2:28" ht="16.5" customHeight="1"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spans="2:28" ht="16.5" customHeight="1"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spans="2:28" ht="16.5" customHeight="1"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spans="2:28" ht="16.5" customHeight="1"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spans="2:28" ht="16.5" customHeight="1"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spans="2:28" ht="16.5" customHeight="1"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spans="2:28" ht="16.5" customHeight="1"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spans="2:28" ht="16.5" customHeight="1"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spans="2:28" ht="16.5" customHeight="1"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spans="2:28" ht="16.5" customHeight="1"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spans="2:28" ht="16.5" customHeight="1"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spans="2:28" ht="16.5" customHeight="1"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</sheetData>
  <mergeCells count="10">
    <mergeCell ref="I4:L4"/>
    <mergeCell ref="B2:L2"/>
    <mergeCell ref="H11:L11"/>
    <mergeCell ref="C7:D7"/>
    <mergeCell ref="C8:D8"/>
    <mergeCell ref="C9:D9"/>
    <mergeCell ref="B11:F11"/>
    <mergeCell ref="C6:D6"/>
    <mergeCell ref="C4:E4"/>
    <mergeCell ref="C5:D5"/>
  </mergeCells>
  <pageMargins left="0.511811024" right="0.511811024" top="0.78740157499999996" bottom="0.78740157499999996" header="0" footer="0"/>
  <pageSetup paperSize="9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1:A1000"/>
  <sheetViews>
    <sheetView workbookViewId="0"/>
  </sheetViews>
  <sheetFormatPr defaultColWidth="14.44140625" defaultRowHeight="15" customHeight="1"/>
  <cols>
    <col min="1" max="26" width="8.664062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1:A1000"/>
  <sheetViews>
    <sheetView workbookViewId="0"/>
  </sheetViews>
  <sheetFormatPr defaultColWidth="14.44140625" defaultRowHeight="15" customHeight="1"/>
  <cols>
    <col min="1" max="26" width="8.664062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D8350CCF6AAF4AAA65F14454BE4135" ma:contentTypeVersion="17" ma:contentTypeDescription="Crie um novo documento." ma:contentTypeScope="" ma:versionID="88ee13ab5c890ec51df12b273b67798b">
  <xsd:schema xmlns:xsd="http://www.w3.org/2001/XMLSchema" xmlns:xs="http://www.w3.org/2001/XMLSchema" xmlns:p="http://schemas.microsoft.com/office/2006/metadata/properties" xmlns:ns2="96059822-cedb-447c-b7ac-4fb3262c8533" xmlns:ns3="a18f71ab-1992-408d-aa7d-d2e0b31da886" targetNamespace="http://schemas.microsoft.com/office/2006/metadata/properties" ma:root="true" ma:fieldsID="77e2ca543441d267e8339a28d7cde42f" ns2:_="" ns3:_="">
    <xsd:import namespace="96059822-cedb-447c-b7ac-4fb3262c8533"/>
    <xsd:import namespace="a18f71ab-1992-408d-aa7d-d2e0b31da8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059822-cedb-447c-b7ac-4fb3262c853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e0f821ba-9ef2-4ce0-ab91-3295ab383a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8f71ab-1992-408d-aa7d-d2e0b31da88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fec303bc-0c7a-4409-84d4-6ab03dfac653}" ma:internalName="TaxCatchAll" ma:showField="CatchAllData" ma:web="a18f71ab-1992-408d-aa7d-d2e0b31da8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766733-51D5-4DB0-8900-90F75569295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61C7A7-6C09-4FE9-8621-2C49A5F268B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059822-cedb-447c-b7ac-4fb3262c8533"/>
    <ds:schemaRef ds:uri="a18f71ab-1992-408d-aa7d-d2e0b31da8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4</vt:i4>
      </vt:variant>
    </vt:vector>
  </HeadingPairs>
  <TitlesOfParts>
    <vt:vector size="7" baseType="lpstr">
      <vt:lpstr>Sac ou Price </vt:lpstr>
      <vt:lpstr>Plan2</vt:lpstr>
      <vt:lpstr>Plan3</vt:lpstr>
      <vt:lpstr>'Sac ou Price '!entrada</vt:lpstr>
      <vt:lpstr>'Sac ou Price '!juros</vt:lpstr>
      <vt:lpstr>'Sac ou Price '!prestacao</vt:lpstr>
      <vt:lpstr>'Sac ou Price '!valor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Consistem gerson</dc:creator>
  <cp:lastModifiedBy>Mayara Sati Dantas Yamamoto</cp:lastModifiedBy>
  <dcterms:created xsi:type="dcterms:W3CDTF">2013-08-23T12:10:51Z</dcterms:created>
  <dcterms:modified xsi:type="dcterms:W3CDTF">2024-08-22T13:18:27Z</dcterms:modified>
</cp:coreProperties>
</file>