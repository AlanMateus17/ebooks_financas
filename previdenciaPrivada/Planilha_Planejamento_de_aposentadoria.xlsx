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Users\ted.duarte\Downloads\"/>
    </mc:Choice>
  </mc:AlternateContent>
  <xr:revisionPtr revIDLastSave="0" documentId="13_ncr:1_{8C0A4C0E-2695-4BA6-89A3-D17D14827FB4}" xr6:coauthVersionLast="47" xr6:coauthVersionMax="47" xr10:uidLastSave="{00000000-0000-0000-0000-000000000000}"/>
  <bookViews>
    <workbookView xWindow="-120" yWindow="-120" windowWidth="29040" windowHeight="15840" tabRatio="835" xr2:uid="{00000000-000D-0000-FFFF-FFFF00000000}"/>
  </bookViews>
  <sheets>
    <sheet name="Planejamento Financeiro" sheetId="1" r:id="rId1"/>
    <sheet name="Base Dash acum" sheetId="13" state="hidden" r:id="rId2"/>
    <sheet name="Perfil de Risco" sheetId="2" r:id="rId3"/>
  </sheets>
  <definedNames>
    <definedName name="DadosExternos_1" localSheetId="2" hidden="1">'Perfil de Risco'!$A$1:$C$5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C26" i="1" s="1"/>
  <c r="N4" i="1"/>
  <c r="T4" i="13" l="1"/>
  <c r="T5" i="13"/>
  <c r="T6" i="13"/>
  <c r="T7" i="13"/>
  <c r="T8" i="13"/>
  <c r="T9" i="13"/>
  <c r="T10" i="13"/>
  <c r="T11" i="13"/>
  <c r="T12" i="13"/>
  <c r="T13" i="13"/>
  <c r="T14" i="13"/>
  <c r="T15" i="13"/>
  <c r="T16" i="13"/>
  <c r="T17" i="13"/>
  <c r="T18" i="13"/>
  <c r="T19" i="13"/>
  <c r="T20" i="13"/>
  <c r="T21" i="13"/>
  <c r="T22" i="13"/>
  <c r="T23" i="13"/>
  <c r="T24" i="13"/>
  <c r="T25" i="13"/>
  <c r="T26" i="13"/>
  <c r="T27" i="13"/>
  <c r="T28" i="13"/>
  <c r="T29" i="13"/>
  <c r="T30" i="13"/>
  <c r="T31" i="13"/>
  <c r="T32" i="13"/>
  <c r="T33" i="13"/>
  <c r="T34" i="13"/>
  <c r="T35" i="13"/>
  <c r="T36" i="13"/>
  <c r="T37" i="13"/>
  <c r="T38" i="13"/>
  <c r="T39" i="13"/>
  <c r="T40" i="13"/>
  <c r="T41" i="13"/>
  <c r="T42" i="13"/>
  <c r="T43" i="13"/>
  <c r="T44" i="13"/>
  <c r="T45" i="13"/>
  <c r="T46" i="13"/>
  <c r="T47" i="13"/>
  <c r="T48" i="13"/>
  <c r="T49" i="13"/>
  <c r="T50" i="13"/>
  <c r="T51" i="13"/>
  <c r="T52" i="13"/>
  <c r="T53" i="13"/>
  <c r="T54" i="13"/>
  <c r="S47" i="13" l="1"/>
  <c r="M17" i="1"/>
  <c r="C20" i="1" l="1"/>
  <c r="S42" i="13"/>
  <c r="S38" i="13"/>
  <c r="S53" i="13"/>
  <c r="S46" i="13"/>
  <c r="S41" i="13"/>
  <c r="S37" i="13"/>
  <c r="S49" i="13"/>
  <c r="S45" i="13"/>
  <c r="S44" i="13"/>
  <c r="S40" i="13"/>
  <c r="S51" i="13"/>
  <c r="S35" i="13"/>
  <c r="S52" i="13"/>
  <c r="S36" i="13"/>
  <c r="S39" i="13"/>
  <c r="S54" i="13"/>
  <c r="S50" i="13"/>
  <c r="S48" i="13"/>
  <c r="S43" i="13"/>
  <c r="O4" i="13" l="1"/>
  <c r="O5" i="13" s="1"/>
  <c r="O6" i="13" s="1"/>
  <c r="C2" i="13"/>
  <c r="F5" i="13"/>
  <c r="F6" i="13" s="1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P4" i="13" l="1"/>
  <c r="P6" i="13"/>
  <c r="O7" i="13"/>
  <c r="P5" i="13"/>
  <c r="F7" i="13"/>
  <c r="C3" i="13" l="1"/>
  <c r="I8" i="1" s="1"/>
  <c r="C4" i="13"/>
  <c r="P7" i="13"/>
  <c r="O8" i="13"/>
  <c r="E4" i="13"/>
  <c r="E5" i="13"/>
  <c r="E7" i="13"/>
  <c r="F8" i="13"/>
  <c r="E6" i="13"/>
  <c r="I11" i="1" l="1"/>
  <c r="O9" i="13"/>
  <c r="P8" i="13"/>
  <c r="F9" i="13"/>
  <c r="E8" i="13"/>
  <c r="J8" i="13"/>
  <c r="J4" i="13"/>
  <c r="G4" i="13" s="1"/>
  <c r="I4" i="13" s="1"/>
  <c r="J5" i="13"/>
  <c r="J7" i="13"/>
  <c r="J6" i="13"/>
  <c r="K8" i="1" l="1"/>
  <c r="G5" i="13"/>
  <c r="G8" i="13"/>
  <c r="G6" i="13"/>
  <c r="G7" i="13"/>
  <c r="K11" i="1"/>
  <c r="Q4" i="13"/>
  <c r="R4" i="13" s="1"/>
  <c r="O10" i="13"/>
  <c r="P9" i="13"/>
  <c r="F10" i="13"/>
  <c r="E9" i="13"/>
  <c r="J9" i="13"/>
  <c r="C29" i="1" l="1"/>
  <c r="C35" i="1" s="1"/>
  <c r="C41" i="1" s="1"/>
  <c r="I6" i="13"/>
  <c r="G9" i="13"/>
  <c r="I8" i="13"/>
  <c r="I7" i="13"/>
  <c r="I5" i="13"/>
  <c r="P10" i="13"/>
  <c r="O11" i="13"/>
  <c r="E10" i="13"/>
  <c r="F11" i="13"/>
  <c r="J10" i="13"/>
  <c r="G10" i="13" l="1"/>
  <c r="I9" i="13"/>
  <c r="S30" i="13"/>
  <c r="S24" i="13"/>
  <c r="S19" i="13"/>
  <c r="S14" i="13"/>
  <c r="S8" i="13"/>
  <c r="S28" i="13"/>
  <c r="S23" i="13"/>
  <c r="S18" i="13"/>
  <c r="S12" i="13"/>
  <c r="S7" i="13"/>
  <c r="S33" i="13"/>
  <c r="S17" i="13"/>
  <c r="S5" i="13"/>
  <c r="S29" i="13"/>
  <c r="S13" i="13"/>
  <c r="S32" i="13"/>
  <c r="S27" i="13"/>
  <c r="S22" i="13"/>
  <c r="S16" i="13"/>
  <c r="S11" i="13"/>
  <c r="S6" i="13"/>
  <c r="S21" i="13"/>
  <c r="S4" i="13"/>
  <c r="Q5" i="13" s="1"/>
  <c r="R5" i="13" s="1"/>
  <c r="S31" i="13"/>
  <c r="S26" i="13"/>
  <c r="S20" i="13"/>
  <c r="S15" i="13"/>
  <c r="S10" i="13"/>
  <c r="S25" i="13"/>
  <c r="S9" i="13"/>
  <c r="S34" i="13"/>
  <c r="P11" i="13"/>
  <c r="O12" i="13"/>
  <c r="E11" i="13"/>
  <c r="F12" i="13"/>
  <c r="J11" i="13"/>
  <c r="G11" i="13" l="1"/>
  <c r="I10" i="13"/>
  <c r="Q6" i="13"/>
  <c r="R6" i="13" s="1"/>
  <c r="O13" i="13"/>
  <c r="P12" i="13"/>
  <c r="F13" i="13"/>
  <c r="E12" i="13"/>
  <c r="J12" i="13"/>
  <c r="I11" i="13" l="1"/>
  <c r="G12" i="13"/>
  <c r="Q7" i="13"/>
  <c r="O14" i="13"/>
  <c r="P13" i="13"/>
  <c r="F14" i="13"/>
  <c r="E13" i="13"/>
  <c r="J13" i="13"/>
  <c r="R7" i="13" l="1"/>
  <c r="Q8" i="13" s="1"/>
  <c r="I12" i="13"/>
  <c r="G13" i="13"/>
  <c r="P14" i="13"/>
  <c r="O15" i="13"/>
  <c r="E14" i="13"/>
  <c r="F15" i="13"/>
  <c r="J14" i="13"/>
  <c r="R8" i="13" l="1"/>
  <c r="Q9" i="13" s="1"/>
  <c r="I13" i="13"/>
  <c r="G14" i="13"/>
  <c r="P15" i="13"/>
  <c r="O16" i="13"/>
  <c r="E15" i="13"/>
  <c r="F16" i="13"/>
  <c r="J15" i="13"/>
  <c r="R9" i="13" l="1"/>
  <c r="Q10" i="13" s="1"/>
  <c r="I14" i="13"/>
  <c r="G15" i="13"/>
  <c r="P16" i="13"/>
  <c r="O17" i="13"/>
  <c r="F17" i="13"/>
  <c r="E16" i="13"/>
  <c r="J16" i="13"/>
  <c r="R10" i="13" l="1"/>
  <c r="Q11" i="13" s="1"/>
  <c r="I15" i="13"/>
  <c r="G16" i="13"/>
  <c r="O18" i="13"/>
  <c r="P17" i="13"/>
  <c r="F18" i="13"/>
  <c r="E17" i="13"/>
  <c r="J17" i="13"/>
  <c r="R11" i="13" l="1"/>
  <c r="Q12" i="13" s="1"/>
  <c r="I16" i="13"/>
  <c r="G17" i="13"/>
  <c r="P18" i="13"/>
  <c r="O19" i="13"/>
  <c r="E18" i="13"/>
  <c r="F19" i="13"/>
  <c r="F20" i="13" s="1"/>
  <c r="J18" i="13"/>
  <c r="R12" i="13" l="1"/>
  <c r="Q13" i="13" s="1"/>
  <c r="I17" i="13"/>
  <c r="G18" i="13"/>
  <c r="F21" i="13"/>
  <c r="E20" i="13"/>
  <c r="J20" i="13"/>
  <c r="P19" i="13"/>
  <c r="O20" i="13"/>
  <c r="E19" i="13"/>
  <c r="J19" i="13"/>
  <c r="R13" i="13" l="1"/>
  <c r="Q14" i="13" s="1"/>
  <c r="I18" i="13"/>
  <c r="G19" i="13"/>
  <c r="G20" i="13"/>
  <c r="F22" i="13"/>
  <c r="E21" i="13"/>
  <c r="J21" i="13"/>
  <c r="O21" i="13"/>
  <c r="P20" i="13"/>
  <c r="R14" i="13" l="1"/>
  <c r="Q15" i="13" s="1"/>
  <c r="I19" i="13"/>
  <c r="G21" i="13"/>
  <c r="I20" i="13"/>
  <c r="J22" i="13"/>
  <c r="E22" i="13"/>
  <c r="F23" i="13"/>
  <c r="O22" i="13"/>
  <c r="P21" i="13"/>
  <c r="R15" i="13" l="1"/>
  <c r="Q16" i="13" s="1"/>
  <c r="G22" i="13"/>
  <c r="I21" i="13"/>
  <c r="F24" i="13"/>
  <c r="F25" i="13" s="1"/>
  <c r="E23" i="13"/>
  <c r="J23" i="13"/>
  <c r="P22" i="13"/>
  <c r="O23" i="13"/>
  <c r="F26" i="13" l="1"/>
  <c r="E25" i="13"/>
  <c r="J25" i="13"/>
  <c r="G25" i="13" s="1"/>
  <c r="I25" i="13" s="1"/>
  <c r="R16" i="13"/>
  <c r="Q17" i="13" s="1"/>
  <c r="I22" i="13"/>
  <c r="G23" i="13"/>
  <c r="J24" i="13"/>
  <c r="E24" i="13"/>
  <c r="P23" i="13"/>
  <c r="O24" i="13"/>
  <c r="F27" i="13" l="1"/>
  <c r="E26" i="13"/>
  <c r="J26" i="13"/>
  <c r="G26" i="13" s="1"/>
  <c r="I26" i="13" s="1"/>
  <c r="R17" i="13"/>
  <c r="Q18" i="13" s="1"/>
  <c r="I23" i="13"/>
  <c r="G24" i="13"/>
  <c r="P24" i="13"/>
  <c r="O25" i="13"/>
  <c r="F28" i="13" l="1"/>
  <c r="E27" i="13"/>
  <c r="J27" i="13"/>
  <c r="G27" i="13" s="1"/>
  <c r="I27" i="13" s="1"/>
  <c r="R18" i="13"/>
  <c r="Q19" i="13" s="1"/>
  <c r="I24" i="13"/>
  <c r="O26" i="13"/>
  <c r="P25" i="13"/>
  <c r="F29" i="13" l="1"/>
  <c r="E28" i="13"/>
  <c r="J28" i="13"/>
  <c r="G28" i="13" s="1"/>
  <c r="I28" i="13" s="1"/>
  <c r="R19" i="13"/>
  <c r="Q20" i="13" s="1"/>
  <c r="P26" i="13"/>
  <c r="O27" i="13"/>
  <c r="F30" i="13" l="1"/>
  <c r="E29" i="13"/>
  <c r="J29" i="13"/>
  <c r="G29" i="13" s="1"/>
  <c r="I29" i="13" s="1"/>
  <c r="R20" i="13"/>
  <c r="Q21" i="13" s="1"/>
  <c r="P27" i="13"/>
  <c r="O28" i="13"/>
  <c r="E30" i="13" l="1"/>
  <c r="J30" i="13"/>
  <c r="G30" i="13" s="1"/>
  <c r="I30" i="13" s="1"/>
  <c r="R21" i="13"/>
  <c r="Q22" i="13" s="1"/>
  <c r="P28" i="13"/>
  <c r="O29" i="13"/>
  <c r="R22" i="13" l="1"/>
  <c r="Q23" i="13" s="1"/>
  <c r="O30" i="13"/>
  <c r="P29" i="13"/>
  <c r="R23" i="13" l="1"/>
  <c r="Q24" i="13" s="1"/>
  <c r="P30" i="13"/>
  <c r="O31" i="13"/>
  <c r="R24" i="13" l="1"/>
  <c r="Q25" i="13" s="1"/>
  <c r="P31" i="13"/>
  <c r="O32" i="13"/>
  <c r="R25" i="13" l="1"/>
  <c r="Q26" i="13" s="1"/>
  <c r="P32" i="13"/>
  <c r="O33" i="13"/>
  <c r="R26" i="13" l="1"/>
  <c r="Q27" i="13" s="1"/>
  <c r="O34" i="13"/>
  <c r="O35" i="13" s="1"/>
  <c r="P33" i="13"/>
  <c r="O36" i="13" l="1"/>
  <c r="P35" i="13"/>
  <c r="R27" i="13"/>
  <c r="Q28" i="13" s="1"/>
  <c r="P34" i="13"/>
  <c r="P36" i="13" l="1"/>
  <c r="O37" i="13"/>
  <c r="R28" i="13"/>
  <c r="Q29" i="13" s="1"/>
  <c r="O38" i="13" l="1"/>
  <c r="P37" i="13"/>
  <c r="R29" i="13"/>
  <c r="Q30" i="13" s="1"/>
  <c r="O39" i="13" l="1"/>
  <c r="P38" i="13"/>
  <c r="R30" i="13"/>
  <c r="Q31" i="13" s="1"/>
  <c r="O40" i="13" l="1"/>
  <c r="P39" i="13"/>
  <c r="R31" i="13"/>
  <c r="Q32" i="13" s="1"/>
  <c r="O41" i="13" l="1"/>
  <c r="P40" i="13"/>
  <c r="R32" i="13"/>
  <c r="Q33" i="13" s="1"/>
  <c r="O42" i="13" l="1"/>
  <c r="P41" i="13"/>
  <c r="R33" i="13"/>
  <c r="Q34" i="13" s="1"/>
  <c r="O43" i="13" l="1"/>
  <c r="P42" i="13"/>
  <c r="R34" i="13"/>
  <c r="Q35" i="13" s="1"/>
  <c r="O44" i="13" l="1"/>
  <c r="P43" i="13"/>
  <c r="R35" i="13"/>
  <c r="Q36" i="13" s="1"/>
  <c r="P44" i="13" l="1"/>
  <c r="O45" i="13"/>
  <c r="R36" i="13"/>
  <c r="Q37" i="13" s="1"/>
  <c r="O46" i="13" l="1"/>
  <c r="P45" i="13"/>
  <c r="R37" i="13"/>
  <c r="Q38" i="13" s="1"/>
  <c r="O47" i="13" l="1"/>
  <c r="P46" i="13"/>
  <c r="R38" i="13"/>
  <c r="Q39" i="13" s="1"/>
  <c r="O48" i="13" l="1"/>
  <c r="P47" i="13"/>
  <c r="R39" i="13"/>
  <c r="Q40" i="13" s="1"/>
  <c r="O49" i="13" l="1"/>
  <c r="P48" i="13"/>
  <c r="R40" i="13"/>
  <c r="Q41" i="13" s="1"/>
  <c r="P49" i="13" l="1"/>
  <c r="O50" i="13"/>
  <c r="R41" i="13"/>
  <c r="Q42" i="13" s="1"/>
  <c r="O51" i="13" l="1"/>
  <c r="P50" i="13"/>
  <c r="R42" i="13"/>
  <c r="Q43" i="13" s="1"/>
  <c r="O52" i="13" l="1"/>
  <c r="P51" i="13"/>
  <c r="R43" i="13"/>
  <c r="Q44" i="13" s="1"/>
  <c r="O53" i="13" l="1"/>
  <c r="P52" i="13"/>
  <c r="R44" i="13"/>
  <c r="Q45" i="13" s="1"/>
  <c r="O54" i="13" l="1"/>
  <c r="P54" i="13" s="1"/>
  <c r="P53" i="13"/>
  <c r="R45" i="13"/>
  <c r="Q46" i="13" s="1"/>
  <c r="R46" i="13" l="1"/>
  <c r="Q47" i="13" s="1"/>
  <c r="R47" i="13" l="1"/>
  <c r="Q48" i="13" s="1"/>
  <c r="R48" i="13" l="1"/>
  <c r="Q49" i="13" s="1"/>
  <c r="R49" i="13" l="1"/>
  <c r="Q50" i="13" s="1"/>
  <c r="R50" i="13" l="1"/>
  <c r="Q51" i="13" s="1"/>
  <c r="R51" i="13" l="1"/>
  <c r="Q52" i="13" s="1"/>
  <c r="R52" i="13" l="1"/>
  <c r="Q53" i="13" s="1"/>
  <c r="R53" i="13" l="1"/>
  <c r="Q54" i="13" s="1"/>
  <c r="R54" i="1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Tabela2" description="Conexão com a consulta 'Tabela2' na pasta de trabalho." type="5" refreshedVersion="7" background="1" saveData="1">
    <dbPr connection="Provider=Microsoft.Mashup.OleDb.1;Data Source=$Workbook$;Location=Tabela2;Extended Properties=&quot;&quot;" command="SELECT * FROM [Tabela2]"/>
  </connection>
</connections>
</file>

<file path=xl/sharedStrings.xml><?xml version="1.0" encoding="utf-8"?>
<sst xmlns="http://schemas.openxmlformats.org/spreadsheetml/2006/main" count="47" uniqueCount="43">
  <si>
    <t>SEU NOME</t>
  </si>
  <si>
    <t>Data Atual</t>
  </si>
  <si>
    <t>Fase de Acúmulo</t>
  </si>
  <si>
    <t>Qual seu perfil de risco?</t>
  </si>
  <si>
    <t>Taxa Nominal (a.a.)</t>
  </si>
  <si>
    <t>Valor Nominal Final</t>
  </si>
  <si>
    <t>Retorno Total Nominal</t>
  </si>
  <si>
    <t>Moderado</t>
  </si>
  <si>
    <t>Valor Inicial</t>
  </si>
  <si>
    <t>Taxa Real (a.a.)</t>
  </si>
  <si>
    <t>Valor Real Final</t>
  </si>
  <si>
    <t>Retorno Total Real</t>
  </si>
  <si>
    <t>Idade Atual:</t>
  </si>
  <si>
    <t>Anos</t>
  </si>
  <si>
    <t>Aporte Mensal Médio:</t>
  </si>
  <si>
    <t>Idade Objetivo:</t>
  </si>
  <si>
    <t>Inflação md -10anos (a.a.)</t>
  </si>
  <si>
    <t>Tempo de Contribuição (Anos):</t>
  </si>
  <si>
    <t>Valor Total Investido</t>
  </si>
  <si>
    <t>Fase de Usufruto</t>
  </si>
  <si>
    <t>Taxa de Juros real</t>
  </si>
  <si>
    <t>RENDA PASSIVA POTENCIAL (PL)</t>
  </si>
  <si>
    <t>INSS + Outras receitas</t>
  </si>
  <si>
    <t>RENDA PASSIVA POTENCIAL (PL + INSS)</t>
  </si>
  <si>
    <t>Objetivo Gasto Mensal:</t>
  </si>
  <si>
    <t xml:space="preserve">Superávit / Déficit </t>
  </si>
  <si>
    <t>IDADE</t>
  </si>
  <si>
    <t>Ano</t>
  </si>
  <si>
    <t>Juros</t>
  </si>
  <si>
    <t>Total Investido</t>
  </si>
  <si>
    <t>Total Juros</t>
  </si>
  <si>
    <t>TotalAcumulado</t>
  </si>
  <si>
    <t>ANO</t>
  </si>
  <si>
    <t>PL</t>
  </si>
  <si>
    <t>RENDA ANO</t>
  </si>
  <si>
    <t>GASTO ANO</t>
  </si>
  <si>
    <t>GASTO MÊS</t>
  </si>
  <si>
    <t>2</t>
  </si>
  <si>
    <t>3</t>
  </si>
  <si>
    <t>Conservador</t>
  </si>
  <si>
    <t>Arrojado</t>
  </si>
  <si>
    <t>Agressivo</t>
  </si>
  <si>
    <t xml:space="preserve">
(NÃO MEXA)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</si>
</sst>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3E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rgb="FF00003E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rgb="FF00003E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00003E"/>
      <name val="Calibri"/>
      <family val="2"/>
      <scheme val="minor"/>
    </font>
    <font>
      <b/>
      <sz val="12"/>
      <color rgb="FF00003E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6"/>
      <color rgb="FF00003E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A1E7"/>
        <bgColor indexed="64"/>
      </patternFill>
    </fill>
    <fill>
      <patternFill patternType="solid">
        <fgColor rgb="FFECF0F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medium">
        <color rgb="FF00003E"/>
      </left>
      <right/>
      <top/>
      <bottom/>
      <diagonal/>
    </border>
    <border>
      <left style="thick">
        <color rgb="FF00B0F0"/>
      </left>
      <right style="medium">
        <color rgb="FF00003E"/>
      </right>
      <top/>
      <bottom/>
      <diagonal/>
    </border>
    <border>
      <left style="thick">
        <color rgb="FF00B0F0"/>
      </left>
      <right/>
      <top/>
      <bottom/>
      <diagonal/>
    </border>
    <border>
      <left style="thick">
        <color rgb="FF00B0F0"/>
      </left>
      <right/>
      <top style="thick">
        <color rgb="FF00B0F0"/>
      </top>
      <bottom/>
      <diagonal/>
    </border>
    <border>
      <left/>
      <right/>
      <top style="thick">
        <color rgb="FF00B0F0"/>
      </top>
      <bottom/>
      <diagonal/>
    </border>
    <border>
      <left style="thick">
        <color rgb="FF00B0F0"/>
      </left>
      <right/>
      <top/>
      <bottom style="thick">
        <color rgb="FF00B0F0"/>
      </bottom>
      <diagonal/>
    </border>
    <border>
      <left/>
      <right/>
      <top/>
      <bottom style="thick">
        <color rgb="FF00B0F0"/>
      </bottom>
      <diagonal/>
    </border>
    <border>
      <left/>
      <right style="thick">
        <color rgb="FF00B0F0"/>
      </right>
      <top/>
      <bottom style="thick">
        <color rgb="FF00B0F0"/>
      </bottom>
      <diagonal/>
    </border>
    <border>
      <left/>
      <right style="thick">
        <color rgb="FF00B0F0"/>
      </right>
      <top/>
      <bottom/>
      <diagonal/>
    </border>
    <border>
      <left/>
      <right style="thick">
        <color rgb="FF00B0F0"/>
      </right>
      <top style="thick">
        <color rgb="FF00B0F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2" applyFont="1"/>
    <xf numFmtId="8" fontId="0" fillId="0" borderId="0" xfId="0" applyNumberFormat="1"/>
    <xf numFmtId="44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43" fontId="7" fillId="3" borderId="1" xfId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left"/>
    </xf>
    <xf numFmtId="0" fontId="8" fillId="0" borderId="0" xfId="0" applyFont="1"/>
    <xf numFmtId="0" fontId="5" fillId="0" borderId="0" xfId="0" applyFont="1"/>
    <xf numFmtId="0" fontId="11" fillId="0" borderId="0" xfId="0" applyFont="1"/>
    <xf numFmtId="0" fontId="3" fillId="4" borderId="0" xfId="0" applyFont="1" applyFill="1" applyAlignment="1">
      <alignment horizontal="left"/>
    </xf>
    <xf numFmtId="14" fontId="10" fillId="3" borderId="0" xfId="0" applyNumberFormat="1" applyFont="1" applyFill="1" applyAlignment="1">
      <alignment horizontal="left" vertical="top"/>
    </xf>
    <xf numFmtId="10" fontId="4" fillId="5" borderId="0" xfId="3" applyNumberFormat="1" applyFont="1" applyFill="1" applyAlignment="1">
      <alignment vertical="center"/>
    </xf>
    <xf numFmtId="164" fontId="4" fillId="5" borderId="0" xfId="3" applyNumberFormat="1" applyFont="1" applyFill="1" applyAlignment="1">
      <alignment vertical="center"/>
    </xf>
    <xf numFmtId="43" fontId="0" fillId="0" borderId="0" xfId="0" applyNumberFormat="1"/>
    <xf numFmtId="43" fontId="7" fillId="3" borderId="1" xfId="1" applyFont="1" applyFill="1" applyBorder="1" applyAlignment="1" applyProtection="1">
      <alignment horizontal="center" vertical="center"/>
      <protection hidden="1"/>
    </xf>
    <xf numFmtId="10" fontId="7" fillId="3" borderId="1" xfId="0" applyNumberFormat="1" applyFont="1" applyFill="1" applyBorder="1" applyAlignment="1" applyProtection="1">
      <alignment horizontal="right" vertical="center"/>
      <protection hidden="1"/>
    </xf>
    <xf numFmtId="10" fontId="7" fillId="2" borderId="1" xfId="0" applyNumberFormat="1" applyFont="1" applyFill="1" applyBorder="1" applyAlignment="1" applyProtection="1">
      <alignment horizontal="right" vertical="center"/>
      <protection hidden="1"/>
    </xf>
    <xf numFmtId="1" fontId="7" fillId="3" borderId="1" xfId="0" applyNumberFormat="1" applyFont="1" applyFill="1" applyBorder="1" applyAlignment="1">
      <alignment horizontal="center" vertical="center"/>
    </xf>
    <xf numFmtId="1" fontId="7" fillId="3" borderId="0" xfId="0" applyNumberFormat="1" applyFont="1" applyFill="1" applyAlignment="1" applyProtection="1">
      <alignment horizontal="center" vertical="center"/>
      <protection hidden="1"/>
    </xf>
    <xf numFmtId="0" fontId="7" fillId="4" borderId="0" xfId="0" applyFont="1" applyFill="1" applyAlignment="1">
      <alignment horizontal="center" vertical="center"/>
    </xf>
    <xf numFmtId="43" fontId="10" fillId="4" borderId="1" xfId="1" applyFont="1" applyFill="1" applyBorder="1" applyAlignment="1" applyProtection="1">
      <alignment horizontal="center" vertical="center"/>
      <protection locked="0"/>
    </xf>
    <xf numFmtId="0" fontId="0" fillId="6" borderId="0" xfId="0" applyFill="1" applyAlignment="1">
      <alignment horizontal="left"/>
    </xf>
    <xf numFmtId="0" fontId="12" fillId="7" borderId="0" xfId="0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6" fillId="0" borderId="3" xfId="0" applyFont="1" applyBorder="1" applyAlignment="1">
      <alignment vertical="center"/>
    </xf>
    <xf numFmtId="0" fontId="0" fillId="0" borderId="7" xfId="0" applyBorder="1"/>
    <xf numFmtId="0" fontId="6" fillId="0" borderId="9" xfId="0" applyFont="1" applyBorder="1" applyAlignment="1">
      <alignment vertical="center"/>
    </xf>
    <xf numFmtId="0" fontId="0" fillId="0" borderId="10" xfId="0" applyBorder="1"/>
    <xf numFmtId="0" fontId="9" fillId="4" borderId="0" xfId="0" applyFont="1" applyFill="1" applyAlignment="1">
      <alignment horizontal="center"/>
    </xf>
    <xf numFmtId="14" fontId="13" fillId="3" borderId="3" xfId="0" applyNumberFormat="1" applyFont="1" applyFill="1" applyBorder="1" applyAlignment="1">
      <alignment horizontal="left" vertical="top"/>
    </xf>
    <xf numFmtId="0" fontId="7" fillId="3" borderId="5" xfId="0" applyFont="1" applyFill="1" applyBorder="1" applyAlignment="1">
      <alignment vertical="top"/>
    </xf>
    <xf numFmtId="0" fontId="5" fillId="0" borderId="0" xfId="0" applyFont="1" applyAlignment="1">
      <alignment vertical="center"/>
    </xf>
    <xf numFmtId="10" fontId="7" fillId="8" borderId="1" xfId="0" applyNumberFormat="1" applyFont="1" applyFill="1" applyBorder="1" applyAlignment="1" applyProtection="1">
      <alignment horizontal="right" vertical="center"/>
      <protection hidden="1"/>
    </xf>
    <xf numFmtId="43" fontId="7" fillId="8" borderId="1" xfId="1" applyFont="1" applyFill="1" applyBorder="1" applyAlignment="1" applyProtection="1">
      <alignment horizontal="center" vertical="center"/>
      <protection hidden="1"/>
    </xf>
    <xf numFmtId="43" fontId="7" fillId="8" borderId="1" xfId="1" applyFont="1" applyFill="1" applyBorder="1" applyAlignment="1" applyProtection="1">
      <alignment horizontal="center" vertical="center"/>
      <protection locked="0"/>
    </xf>
    <xf numFmtId="10" fontId="7" fillId="8" borderId="1" xfId="0" applyNumberFormat="1" applyFont="1" applyFill="1" applyBorder="1" applyAlignment="1" applyProtection="1">
      <alignment horizontal="right" vertical="center"/>
      <protection locked="0"/>
    </xf>
    <xf numFmtId="0" fontId="7" fillId="8" borderId="1" xfId="0" applyFont="1" applyFill="1" applyBorder="1" applyAlignment="1" applyProtection="1">
      <alignment horizontal="center" vertical="center"/>
      <protection locked="0"/>
    </xf>
    <xf numFmtId="43" fontId="7" fillId="9" borderId="1" xfId="1" applyFont="1" applyFill="1" applyBorder="1" applyAlignment="1" applyProtection="1">
      <alignment horizontal="center" vertical="center"/>
      <protection hidden="1"/>
    </xf>
    <xf numFmtId="0" fontId="7" fillId="4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0" fillId="0" borderId="0" xfId="0" applyAlignment="1">
      <alignment wrapText="1"/>
    </xf>
    <xf numFmtId="10" fontId="7" fillId="9" borderId="1" xfId="0" applyNumberFormat="1" applyFont="1" applyFill="1" applyBorder="1" applyAlignment="1" applyProtection="1">
      <alignment horizontal="right" vertical="center"/>
      <protection locked="0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14"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2" formatCode="&quot;R$&quot;\ #,##0.00;[Red]\-&quot;R$&quot;\ #,##0.00"/>
    </dxf>
    <dxf>
      <numFmt numFmtId="12" formatCode="&quot;R$&quot;\ #,##0.00;[Red]\-&quot;R$&quot;\ #,##0.00"/>
    </dxf>
    <dxf>
      <numFmt numFmtId="12" formatCode="&quot;R$&quot;\ #,##0.00;[Red]\-&quot;R$&quot;\ #,##0.0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  <color rgb="FFF8F8F8"/>
      <color rgb="FF00003E"/>
      <color rgb="FFDDDDDD"/>
      <color rgb="FF0000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Projeção de Acúmulo</a:t>
            </a:r>
          </a:p>
        </c:rich>
      </c:tx>
      <c:layout>
        <c:manualLayout>
          <c:xMode val="edge"/>
          <c:yMode val="edge"/>
          <c:x val="0.40093576580785578"/>
          <c:y val="6.18066638140514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4940573682607601E-2"/>
          <c:y val="0.21893035912629111"/>
          <c:w val="0.89796740442197176"/>
          <c:h val="0.55325387190110331"/>
        </c:manualLayout>
      </c:layout>
      <c:areaChart>
        <c:grouping val="stacked"/>
        <c:varyColors val="0"/>
        <c:ser>
          <c:idx val="0"/>
          <c:order val="0"/>
          <c:tx>
            <c:strRef>
              <c:f>'Base Dash acum'!$H$3</c:f>
              <c:strCache>
                <c:ptCount val="1"/>
                <c:pt idx="0">
                  <c:v>Total Investido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cat>
            <c:numRef>
              <c:f>'Base Dash acum'!$E$4:$E$30</c:f>
              <c:numCache>
                <c:formatCode>0</c:formatCode>
                <c:ptCount val="27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  <c:pt idx="11">
                  <c:v>31</c:v>
                </c:pt>
                <c:pt idx="12">
                  <c:v>32</c:v>
                </c:pt>
                <c:pt idx="13">
                  <c:v>33</c:v>
                </c:pt>
                <c:pt idx="14">
                  <c:v>34</c:v>
                </c:pt>
                <c:pt idx="15">
                  <c:v>35</c:v>
                </c:pt>
                <c:pt idx="16">
                  <c:v>36</c:v>
                </c:pt>
                <c:pt idx="17">
                  <c:v>37</c:v>
                </c:pt>
                <c:pt idx="18">
                  <c:v>38</c:v>
                </c:pt>
                <c:pt idx="19">
                  <c:v>39</c:v>
                </c:pt>
                <c:pt idx="20">
                  <c:v>40</c:v>
                </c:pt>
                <c:pt idx="21">
                  <c:v>41</c:v>
                </c:pt>
                <c:pt idx="22">
                  <c:v>42</c:v>
                </c:pt>
                <c:pt idx="23">
                  <c:v>43</c:v>
                </c:pt>
                <c:pt idx="24">
                  <c:v>44</c:v>
                </c:pt>
                <c:pt idx="25">
                  <c:v>45</c:v>
                </c:pt>
                <c:pt idx="26">
                  <c:v>46</c:v>
                </c:pt>
              </c:numCache>
            </c:numRef>
          </c:cat>
          <c:val>
            <c:numRef>
              <c:f>'Base Dash acum'!$H$4:$H$30</c:f>
              <c:numCache>
                <c:formatCode>_("R$"* #,##0.00_);_("R$"* \(#,##0.00\);_("R$"* "-"??_);_(@_)</c:formatCode>
                <c:ptCount val="27"/>
                <c:pt idx="0">
                  <c:v>6000</c:v>
                </c:pt>
                <c:pt idx="1">
                  <c:v>12000</c:v>
                </c:pt>
                <c:pt idx="2">
                  <c:v>18000</c:v>
                </c:pt>
                <c:pt idx="3">
                  <c:v>24000</c:v>
                </c:pt>
                <c:pt idx="4">
                  <c:v>30000</c:v>
                </c:pt>
                <c:pt idx="5">
                  <c:v>36000</c:v>
                </c:pt>
                <c:pt idx="6">
                  <c:v>42000</c:v>
                </c:pt>
                <c:pt idx="7">
                  <c:v>48000</c:v>
                </c:pt>
                <c:pt idx="8">
                  <c:v>54000</c:v>
                </c:pt>
                <c:pt idx="9">
                  <c:v>60000</c:v>
                </c:pt>
                <c:pt idx="10">
                  <c:v>66000</c:v>
                </c:pt>
                <c:pt idx="11">
                  <c:v>72000</c:v>
                </c:pt>
                <c:pt idx="12">
                  <c:v>78000</c:v>
                </c:pt>
                <c:pt idx="13">
                  <c:v>84000</c:v>
                </c:pt>
                <c:pt idx="14">
                  <c:v>90000</c:v>
                </c:pt>
                <c:pt idx="15">
                  <c:v>96000</c:v>
                </c:pt>
                <c:pt idx="16">
                  <c:v>102000</c:v>
                </c:pt>
                <c:pt idx="17">
                  <c:v>108000</c:v>
                </c:pt>
                <c:pt idx="18">
                  <c:v>114000</c:v>
                </c:pt>
                <c:pt idx="19">
                  <c:v>120000</c:v>
                </c:pt>
                <c:pt idx="20">
                  <c:v>126000</c:v>
                </c:pt>
                <c:pt idx="21">
                  <c:v>132000</c:v>
                </c:pt>
                <c:pt idx="22">
                  <c:v>138000</c:v>
                </c:pt>
                <c:pt idx="23">
                  <c:v>144000</c:v>
                </c:pt>
                <c:pt idx="24">
                  <c:v>150000</c:v>
                </c:pt>
                <c:pt idx="25">
                  <c:v>156000</c:v>
                </c:pt>
                <c:pt idx="26">
                  <c:v>162000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0B-4C99-BAB6-9C83F4A1B4D3}"/>
            </c:ext>
          </c:extLst>
        </c:ser>
        <c:ser>
          <c:idx val="1"/>
          <c:order val="1"/>
          <c:tx>
            <c:strRef>
              <c:f>'Base Dash acum'!$I$3</c:f>
              <c:strCache>
                <c:ptCount val="1"/>
                <c:pt idx="0">
                  <c:v>Total Juros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cat>
            <c:numRef>
              <c:f>'Base Dash acum'!$E$4:$E$30</c:f>
              <c:numCache>
                <c:formatCode>0</c:formatCode>
                <c:ptCount val="27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  <c:pt idx="11">
                  <c:v>31</c:v>
                </c:pt>
                <c:pt idx="12">
                  <c:v>32</c:v>
                </c:pt>
                <c:pt idx="13">
                  <c:v>33</c:v>
                </c:pt>
                <c:pt idx="14">
                  <c:v>34</c:v>
                </c:pt>
                <c:pt idx="15">
                  <c:v>35</c:v>
                </c:pt>
                <c:pt idx="16">
                  <c:v>36</c:v>
                </c:pt>
                <c:pt idx="17">
                  <c:v>37</c:v>
                </c:pt>
                <c:pt idx="18">
                  <c:v>38</c:v>
                </c:pt>
                <c:pt idx="19">
                  <c:v>39</c:v>
                </c:pt>
                <c:pt idx="20">
                  <c:v>40</c:v>
                </c:pt>
                <c:pt idx="21">
                  <c:v>41</c:v>
                </c:pt>
                <c:pt idx="22">
                  <c:v>42</c:v>
                </c:pt>
                <c:pt idx="23">
                  <c:v>43</c:v>
                </c:pt>
                <c:pt idx="24">
                  <c:v>44</c:v>
                </c:pt>
                <c:pt idx="25">
                  <c:v>45</c:v>
                </c:pt>
                <c:pt idx="26">
                  <c:v>46</c:v>
                </c:pt>
              </c:numCache>
            </c:numRef>
          </c:cat>
          <c:val>
            <c:numRef>
              <c:f>'Base Dash acum'!$I$4:$I$30</c:f>
              <c:numCache>
                <c:formatCode>"R$"#,##0.00_);[Red]\("R$"#,##0.00\)</c:formatCode>
                <c:ptCount val="27"/>
                <c:pt idx="0">
                  <c:v>0</c:v>
                </c:pt>
                <c:pt idx="1">
                  <c:v>1136.5185347401639</c:v>
                </c:pt>
                <c:pt idx="2">
                  <c:v>3206.4936938243554</c:v>
                </c:pt>
                <c:pt idx="3">
                  <c:v>6332.0216037167702</c:v>
                </c:pt>
                <c:pt idx="4">
                  <c:v>10651.168564223124</c:v>
                </c:pt>
                <c:pt idx="5">
                  <c:v>16320.059947163725</c:v>
                </c:pt>
                <c:pt idx="6">
                  <c:v>23515.242322992985</c:v>
                </c:pt>
                <c:pt idx="7">
                  <c:v>32436.354553580721</c:v>
                </c:pt>
                <c:pt idx="8">
                  <c:v>43309.148263929368</c:v>
                </c:pt>
                <c:pt idx="9">
                  <c:v>56388.903391591622</c:v>
                </c:pt>
                <c:pt idx="10">
                  <c:v>71964.290489952167</c:v>
                </c:pt>
                <c:pt idx="11">
                  <c:v>90361.738220778294</c:v>
                </c:pt>
                <c:pt idx="12">
                  <c:v>111950.37211479648</c:v>
                </c:pt>
                <c:pt idx="13">
                  <c:v>137147.59932215229</c:v>
                </c:pt>
                <c:pt idx="14">
                  <c:v>166425.42384823036</c:v>
                </c:pt>
                <c:pt idx="15">
                  <c:v>200317.58782231947</c:v>
                </c:pt>
                <c:pt idx="16">
                  <c:v>239427.64684421947</c:v>
                </c:pt>
                <c:pt idx="17">
                  <c:v>284438.10158618412</c:v>
                </c:pt>
                <c:pt idx="18">
                  <c:v>336120.72380839783</c:v>
                </c:pt>
                <c:pt idx="19">
                  <c:v>395348.23301727697</c:v>
                </c:pt>
                <c:pt idx="20">
                  <c:v>463107.50043067778</c:v>
                </c:pt>
                <c:pt idx="21">
                  <c:v>540514.4800217516</c:v>
                </c:pt>
                <c:pt idx="22">
                  <c:v>628831.09254333808</c:v>
                </c:pt>
                <c:pt idx="23">
                  <c:v>729484.31798274803</c:v>
                </c:pt>
                <c:pt idx="24">
                  <c:v>844087.78530963289</c:v>
                </c:pt>
                <c:pt idx="25">
                  <c:v>974466.18616287457</c:v>
                </c:pt>
                <c:pt idx="26">
                  <c:v>1122682.8818477206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0B-4C99-BAB6-9C83F4A1B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1751632"/>
        <c:axId val="271750064"/>
      </c:areaChart>
      <c:catAx>
        <c:axId val="27175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1750064"/>
        <c:crosses val="autoZero"/>
        <c:auto val="1"/>
        <c:lblAlgn val="ctr"/>
        <c:lblOffset val="100"/>
        <c:tickLblSkip val="5"/>
        <c:noMultiLvlLbl val="0"/>
      </c:catAx>
      <c:valAx>
        <c:axId val="27175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1751632"/>
        <c:crosses val="autoZero"/>
        <c:crossBetween val="midCat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Patrimônio na Perpetuidade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'Base Dash acum'!$Q$3</c:f>
              <c:strCache>
                <c:ptCount val="1"/>
                <c:pt idx="0">
                  <c:v>PL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'Base Dash acum'!$P$4:$P$54</c:f>
              <c:numCache>
                <c:formatCode>0</c:formatCode>
                <c:ptCount val="51"/>
                <c:pt idx="0">
                  <c:v>50</c:v>
                </c:pt>
                <c:pt idx="1">
                  <c:v>51</c:v>
                </c:pt>
                <c:pt idx="2">
                  <c:v>52</c:v>
                </c:pt>
                <c:pt idx="3">
                  <c:v>53</c:v>
                </c:pt>
                <c:pt idx="4">
                  <c:v>54</c:v>
                </c:pt>
                <c:pt idx="5">
                  <c:v>55</c:v>
                </c:pt>
                <c:pt idx="6">
                  <c:v>56</c:v>
                </c:pt>
                <c:pt idx="7">
                  <c:v>57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61</c:v>
                </c:pt>
                <c:pt idx="12">
                  <c:v>62</c:v>
                </c:pt>
                <c:pt idx="13">
                  <c:v>63</c:v>
                </c:pt>
                <c:pt idx="14">
                  <c:v>64</c:v>
                </c:pt>
                <c:pt idx="15">
                  <c:v>65</c:v>
                </c:pt>
                <c:pt idx="16">
                  <c:v>66</c:v>
                </c:pt>
                <c:pt idx="17">
                  <c:v>67</c:v>
                </c:pt>
                <c:pt idx="18">
                  <c:v>68</c:v>
                </c:pt>
                <c:pt idx="19">
                  <c:v>69</c:v>
                </c:pt>
                <c:pt idx="20">
                  <c:v>70</c:v>
                </c:pt>
                <c:pt idx="21">
                  <c:v>71</c:v>
                </c:pt>
                <c:pt idx="22">
                  <c:v>72</c:v>
                </c:pt>
                <c:pt idx="23">
                  <c:v>73</c:v>
                </c:pt>
                <c:pt idx="24">
                  <c:v>74</c:v>
                </c:pt>
                <c:pt idx="25">
                  <c:v>75</c:v>
                </c:pt>
                <c:pt idx="26">
                  <c:v>76</c:v>
                </c:pt>
                <c:pt idx="27">
                  <c:v>77</c:v>
                </c:pt>
                <c:pt idx="28">
                  <c:v>78</c:v>
                </c:pt>
                <c:pt idx="29">
                  <c:v>79</c:v>
                </c:pt>
                <c:pt idx="30">
                  <c:v>80</c:v>
                </c:pt>
                <c:pt idx="31">
                  <c:v>81</c:v>
                </c:pt>
                <c:pt idx="32">
                  <c:v>82</c:v>
                </c:pt>
                <c:pt idx="33">
                  <c:v>83</c:v>
                </c:pt>
                <c:pt idx="34">
                  <c:v>84</c:v>
                </c:pt>
                <c:pt idx="35">
                  <c:v>85</c:v>
                </c:pt>
                <c:pt idx="36">
                  <c:v>86</c:v>
                </c:pt>
                <c:pt idx="37">
                  <c:v>87</c:v>
                </c:pt>
                <c:pt idx="38">
                  <c:v>88</c:v>
                </c:pt>
                <c:pt idx="39">
                  <c:v>89</c:v>
                </c:pt>
                <c:pt idx="40">
                  <c:v>90</c:v>
                </c:pt>
                <c:pt idx="41">
                  <c:v>91</c:v>
                </c:pt>
                <c:pt idx="42">
                  <c:v>92</c:v>
                </c:pt>
                <c:pt idx="43">
                  <c:v>93</c:v>
                </c:pt>
                <c:pt idx="44">
                  <c:v>94</c:v>
                </c:pt>
                <c:pt idx="45">
                  <c:v>95</c:v>
                </c:pt>
                <c:pt idx="46">
                  <c:v>96</c:v>
                </c:pt>
                <c:pt idx="47">
                  <c:v>97</c:v>
                </c:pt>
                <c:pt idx="48">
                  <c:v>98</c:v>
                </c:pt>
                <c:pt idx="49">
                  <c:v>99</c:v>
                </c:pt>
                <c:pt idx="50">
                  <c:v>100</c:v>
                </c:pt>
              </c:numCache>
            </c:numRef>
          </c:cat>
          <c:val>
            <c:numRef>
              <c:f>'Base Dash acum'!$Q$4:$Q$54</c:f>
              <c:numCache>
                <c:formatCode>_("R$"* #,##0.00_);_("R$"* \(#,##0.00\);_("R$"* "-"??_);_(@_)</c:formatCode>
                <c:ptCount val="51"/>
                <c:pt idx="0">
                  <c:v>593015.02631828189</c:v>
                </c:pt>
                <c:pt idx="1">
                  <c:v>32623.954491238808</c:v>
                </c:pt>
                <c:pt idx="2">
                  <c:v>-565197.01156727085</c:v>
                </c:pt>
                <c:pt idx="3">
                  <c:v>-1202947.9063021415</c:v>
                </c:pt>
                <c:pt idx="4">
                  <c:v>-1883295.7475910014</c:v>
                </c:pt>
                <c:pt idx="5">
                  <c:v>-2609085.6899772682</c:v>
                </c:pt>
                <c:pt idx="6">
                  <c:v>-3383352.9228549949</c:v>
                </c:pt>
                <c:pt idx="7">
                  <c:v>-4209335.3633626681</c:v>
                </c:pt>
                <c:pt idx="8">
                  <c:v>-5090487.1970665138</c:v>
                </c:pt>
                <c:pt idx="9">
                  <c:v>-6030493.3230592581</c:v>
                </c:pt>
                <c:pt idx="10">
                  <c:v>-7033284.763882461</c:v>
                </c:pt>
                <c:pt idx="11">
                  <c:v>-8103055.104715365</c:v>
                </c:pt>
                <c:pt idx="12">
                  <c:v>-9244278.0305774845</c:v>
                </c:pt>
                <c:pt idx="13">
                  <c:v>-10461726.03488398</c:v>
                </c:pt>
                <c:pt idx="14">
                  <c:v>-11760490.377591325</c:v>
                </c:pt>
                <c:pt idx="15">
                  <c:v>-13146002.376396481</c:v>
                </c:pt>
                <c:pt idx="16">
                  <c:v>-14624056.12002749</c:v>
                </c:pt>
                <c:pt idx="17">
                  <c:v>-16200832.698610459</c:v>
                </c:pt>
                <c:pt idx="18">
                  <c:v>-17882926.052442174</c:v>
                </c:pt>
                <c:pt idx="19">
                  <c:v>-19677370.547265671</c:v>
                </c:pt>
                <c:pt idx="20">
                  <c:v>-21591670.391366057</c:v>
                </c:pt>
                <c:pt idx="21">
                  <c:v>-23633831.017506354</c:v>
                </c:pt>
                <c:pt idx="22">
                  <c:v>-25812392.560939796</c:v>
                </c:pt>
                <c:pt idx="23">
                  <c:v>-28136465.573500678</c:v>
                </c:pt>
                <c:pt idx="24">
                  <c:v>-30615769.12312695</c:v>
                </c:pt>
                <c:pt idx="25">
                  <c:v>-33260671.438143354</c:v>
                </c:pt>
                <c:pt idx="26">
                  <c:v>-36082233.26627595</c:v>
                </c:pt>
                <c:pt idx="27">
                  <c:v>-39092254.129721552</c:v>
                </c:pt>
                <c:pt idx="28">
                  <c:v>-42303321.669706725</c:v>
                </c:pt>
                <c:pt idx="29">
                  <c:v>-45728864.286890909</c:v>
                </c:pt>
                <c:pt idx="30">
                  <c:v>-49383207.297751166</c:v>
                </c:pt>
                <c:pt idx="31">
                  <c:v>-53281632.84178964</c:v>
                </c:pt>
                <c:pt idx="32">
                  <c:v>-57440443.790090308</c:v>
                </c:pt>
                <c:pt idx="33">
                  <c:v>-61877031.922485016</c:v>
                </c:pt>
                <c:pt idx="34">
                  <c:v>-66609950.658439673</c:v>
                </c:pt>
                <c:pt idx="35">
                  <c:v>-71658992.645814702</c:v>
                </c:pt>
                <c:pt idx="36">
                  <c:v>-77045272.531969115</c:v>
                </c:pt>
                <c:pt idx="37">
                  <c:v>-82791315.263349697</c:v>
                </c:pt>
                <c:pt idx="38">
                  <c:v>-88921150.28282626</c:v>
                </c:pt>
                <c:pt idx="39">
                  <c:v>-95460412.018698052</c:v>
                </c:pt>
                <c:pt idx="40">
                  <c:v>-102436447.08560732</c:v>
                </c:pt>
                <c:pt idx="41">
                  <c:v>-109878428.64566486</c:v>
                </c:pt>
                <c:pt idx="42">
                  <c:v>-117817478.40803568</c:v>
                </c:pt>
                <c:pt idx="43">
                  <c:v>-126286796.77717617</c:v>
                </c:pt>
                <c:pt idx="44">
                  <c:v>-135321801.69399133</c:v>
                </c:pt>
                <c:pt idx="45">
                  <c:v>-144960276.7505334</c:v>
                </c:pt>
                <c:pt idx="46">
                  <c:v>-155242529.1976445</c:v>
                </c:pt>
                <c:pt idx="47">
                  <c:v>-166211558.50631735</c:v>
                </c:pt>
                <c:pt idx="48">
                  <c:v>-177913236.18768269</c:v>
                </c:pt>
                <c:pt idx="49">
                  <c:v>-190396497.6236147</c:v>
                </c:pt>
                <c:pt idx="50">
                  <c:v>-203713546.7101731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F3-49AB-98D2-D2F76A7D80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1751240"/>
        <c:axId val="271748496"/>
      </c:areaChart>
      <c:catAx>
        <c:axId val="271751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174849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27174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71751240"/>
        <c:crosses val="autoZero"/>
        <c:crossBetween val="midCat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152136</xdr:colOff>
      <xdr:row>10</xdr:row>
      <xdr:rowOff>454554</xdr:rowOff>
    </xdr:from>
    <xdr:to>
      <xdr:col>11</xdr:col>
      <xdr:colOff>394495</xdr:colOff>
      <xdr:row>20</xdr:row>
      <xdr:rowOff>11906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C9C1AFAC-39A7-415D-8046-666CA6563A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165100</xdr:colOff>
      <xdr:row>23</xdr:row>
      <xdr:rowOff>81011</xdr:rowOff>
    </xdr:from>
    <xdr:to>
      <xdr:col>13</xdr:col>
      <xdr:colOff>1185333</xdr:colOff>
      <xdr:row>41</xdr:row>
      <xdr:rowOff>3440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43010503-F68B-48F2-BC13-051FF3FB1A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36050</xdr:colOff>
      <xdr:row>0</xdr:row>
      <xdr:rowOff>23812</xdr:rowOff>
    </xdr:from>
    <xdr:to>
      <xdr:col>2</xdr:col>
      <xdr:colOff>277981</xdr:colOff>
      <xdr:row>0</xdr:row>
      <xdr:rowOff>952500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ACD6F18-C00F-4A5E-97AC-A13FA2032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050" y="23812"/>
          <a:ext cx="908681" cy="928688"/>
        </a:xfrm>
        <a:prstGeom prst="rect">
          <a:avLst/>
        </a:prstGeom>
      </xdr:spPr>
    </xdr:pic>
    <xdr:clientData/>
  </xdr:twoCellAnchor>
  <xdr:twoCellAnchor>
    <xdr:from>
      <xdr:col>2</xdr:col>
      <xdr:colOff>1666874</xdr:colOff>
      <xdr:row>0</xdr:row>
      <xdr:rowOff>0</xdr:rowOff>
    </xdr:from>
    <xdr:to>
      <xdr:col>13</xdr:col>
      <xdr:colOff>404811</xdr:colOff>
      <xdr:row>1</xdr:row>
      <xdr:rowOff>21032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F2051A76-3CCE-4FB6-BBEE-CA627664B26A}"/>
            </a:ext>
          </a:extLst>
        </xdr:cNvPr>
        <xdr:cNvSpPr txBox="1"/>
      </xdr:nvSpPr>
      <xdr:spPr>
        <a:xfrm>
          <a:off x="2333624" y="0"/>
          <a:ext cx="10251281" cy="10449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>
              <a:solidFill>
                <a:schemeClr val="tx1"/>
              </a:solidFill>
            </a:rPr>
            <a:t>PLANEJAMENTO DE</a:t>
          </a:r>
          <a:r>
            <a:rPr lang="pt-BR" sz="2800" b="1" baseline="0">
              <a:solidFill>
                <a:schemeClr val="tx1"/>
              </a:solidFill>
            </a:rPr>
            <a:t> APOSENTADORIA</a:t>
          </a:r>
          <a:endParaRPr lang="pt-BR" sz="2800" b="1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95249</xdr:colOff>
      <xdr:row>6</xdr:row>
      <xdr:rowOff>23812</xdr:rowOff>
    </xdr:from>
    <xdr:to>
      <xdr:col>5</xdr:col>
      <xdr:colOff>285750</xdr:colOff>
      <xdr:row>9</xdr:row>
      <xdr:rowOff>178593</xdr:rowOff>
    </xdr:to>
    <xdr:sp macro="" textlink="">
      <xdr:nvSpPr>
        <xdr:cNvPr id="10" name="Balão Retangular Arredondado 6">
          <a:extLst>
            <a:ext uri="{FF2B5EF4-FFF2-40B4-BE49-F238E27FC236}">
              <a16:creationId xmlns:a16="http://schemas.microsoft.com/office/drawing/2014/main" id="{AD18A4CB-C33A-47A1-B182-ADA2C8180D2F}"/>
            </a:ext>
          </a:extLst>
        </xdr:cNvPr>
        <xdr:cNvSpPr/>
      </xdr:nvSpPr>
      <xdr:spPr>
        <a:xfrm>
          <a:off x="3083718" y="2357437"/>
          <a:ext cx="1619251" cy="916781"/>
        </a:xfrm>
        <a:prstGeom prst="wedgeRoundRectCallout">
          <a:avLst>
            <a:gd name="adj1" fmla="val 64201"/>
            <a:gd name="adj2" fmla="val -15973"/>
            <a:gd name="adj3" fmla="val 16667"/>
          </a:avLst>
        </a:prstGeom>
        <a:solidFill>
          <a:schemeClr val="bg1">
            <a:lumMod val="95000"/>
          </a:schemeClr>
        </a:solidFill>
        <a:ln>
          <a:solidFill>
            <a:srgbClr val="00A1E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>
              <a:solidFill>
                <a:schemeClr val="tx1"/>
              </a:solidFill>
            </a:rPr>
            <a:t>Preencha as células em</a:t>
          </a:r>
          <a:r>
            <a:rPr lang="pt-BR" sz="1400" baseline="0">
              <a:solidFill>
                <a:schemeClr val="tx1"/>
              </a:solidFill>
            </a:rPr>
            <a:t> azul claro!</a:t>
          </a:r>
          <a:endParaRPr lang="pt-BR" sz="1400">
            <a:solidFill>
              <a:schemeClr val="tx1"/>
            </a:solidFill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0000000-0016-0000-0200-000000000000}" autoFormatId="16" applyNumberFormats="0" applyBorderFormats="0" applyFontFormats="0" applyPatternFormats="0" applyAlignmentFormats="0" applyWidthHeightFormats="0">
  <queryTableRefresh nextId="4">
    <queryTableFields count="3">
      <queryTableField id="1" name="Cola Asset Allocation_x000a_(NÃO MEXA)" tableColumnId="1"/>
      <queryTableField id="2" name="2" tableColumnId="2"/>
      <queryTableField id="3" name="3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a1" displayName="Tabela1" ref="E3:J30" totalsRowShown="0">
  <autoFilter ref="E3:J30" xr:uid="{00000000-0009-0000-0100-000003000000}"/>
  <tableColumns count="6">
    <tableColumn id="1" xr3:uid="{00000000-0010-0000-0000-000001000000}" name="IDADE" dataDxfId="10">
      <calculatedColumnFormula>Tabela1[[#This Row],[Ano]]+'Planejamento Financeiro'!$M$11</calculatedColumnFormula>
    </tableColumn>
    <tableColumn id="2" xr3:uid="{00000000-0010-0000-0000-000002000000}" name="Ano" dataDxfId="9"/>
    <tableColumn id="3" xr3:uid="{00000000-0010-0000-0000-000003000000}" name="Juros" dataDxfId="8">
      <calculatedColumnFormula>Tabela1[[#This Row],[TotalAcumulado]]-Tabela1[[#This Row],[Total Investido]]</calculatedColumnFormula>
    </tableColumn>
    <tableColumn id="4" xr3:uid="{00000000-0010-0000-0000-000004000000}" name="Total Investido"/>
    <tableColumn id="5" xr3:uid="{00000000-0010-0000-0000-000005000000}" name="Total Juros" dataDxfId="7">
      <calculatedColumnFormula>Tabela1[[#This Row],[Juros]]</calculatedColumnFormula>
    </tableColumn>
    <tableColumn id="6" xr3:uid="{00000000-0010-0000-0000-000006000000}" name="TotalAcumulado" dataDxfId="6">
      <calculatedColumnFormula>-FV('Base Dash acum'!$C$3,Tabela1[[#This Row],[Ano]]*12,'Planejamento Financeiro'!$C$14,'Planejamento Financeiro'!$C$11,)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a46" displayName="Tabela46" ref="O3:T54" totalsRowShown="0">
  <autoFilter ref="O3:T54" xr:uid="{00000000-0009-0000-0100-000005000000}"/>
  <tableColumns count="6">
    <tableColumn id="1" xr3:uid="{00000000-0010-0000-0100-000001000000}" name="ANO" dataDxfId="5">
      <calculatedColumnFormula>1</calculatedColumnFormula>
    </tableColumn>
    <tableColumn id="6" xr3:uid="{00000000-0010-0000-0100-000006000000}" name="IDADE" dataDxfId="4">
      <calculatedColumnFormula>Tabela46[[#This Row],[ANO]]+'Planejamento Financeiro'!$M$14</calculatedColumnFormula>
    </tableColumn>
    <tableColumn id="2" xr3:uid="{00000000-0010-0000-0100-000002000000}" name="PL" dataDxfId="3">
      <calculatedColumnFormula>'Planejamento Financeiro'!$I$8</calculatedColumnFormula>
    </tableColumn>
    <tableColumn id="3" xr3:uid="{00000000-0010-0000-0100-000003000000}" name="RENDA ANO" dataDxfId="2">
      <calculatedColumnFormula>'Planejamento Financeiro'!$C$26*Tabela46[[#This Row],[PL]]+('Planejamento Financeiro'!$C$32*12)</calculatedColumnFormula>
    </tableColumn>
    <tableColumn id="4" xr3:uid="{00000000-0010-0000-0100-000004000000}" name="GASTO ANO">
      <calculatedColumnFormula>Tabela46[[#This Row],[GASTO MÊS]]*12</calculatedColumnFormula>
    </tableColumn>
    <tableColumn id="5" xr3:uid="{00000000-0010-0000-0100-000005000000}" name="GASTO MÊS" dataDxfId="1">
      <calculatedColumnFormula>'Planejamento Financeiro'!$C$38-V4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ela2" displayName="Tabela2" ref="A1:C5" tableType="queryTable" totalsRowShown="0">
  <autoFilter ref="A1:C5" xr:uid="{00000000-0009-0000-0100-000001000000}"/>
  <sortState xmlns:xlrd2="http://schemas.microsoft.com/office/spreadsheetml/2017/richdata2" ref="A2:C5">
    <sortCondition ref="A1:A5"/>
  </sortState>
  <tableColumns count="3">
    <tableColumn id="1" xr3:uid="{00000000-0010-0000-0200-000001000000}" uniqueName="1" name="_x000a_(NÃO MEXA)" queryTableFieldId="1"/>
    <tableColumn id="2" xr3:uid="{00000000-0010-0000-0200-000002000000}" uniqueName="2" name="2" queryTableFieldId="2" dataDxfId="0"/>
    <tableColumn id="3" xr3:uid="{00000000-0010-0000-0200-000003000000}" uniqueName="3" name="3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ersonalizada 1">
      <a:dk1>
        <a:sysClr val="windowText" lastClr="000000"/>
      </a:dk1>
      <a:lt1>
        <a:sysClr val="window" lastClr="FFFFFF"/>
      </a:lt1>
      <a:dk2>
        <a:srgbClr val="7F7F7F"/>
      </a:dk2>
      <a:lt2>
        <a:srgbClr val="000000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CC"/>
    <pageSetUpPr fitToPage="1"/>
  </sheetPr>
  <dimension ref="A1:S60"/>
  <sheetViews>
    <sheetView showGridLines="0" tabSelected="1" zoomScaleNormal="100" workbookViewId="0">
      <selection activeCell="I4" sqref="I4"/>
    </sheetView>
  </sheetViews>
  <sheetFormatPr defaultColWidth="0" defaultRowHeight="15" zeroHeight="1" outlineLevelCol="1" x14ac:dyDescent="0.25"/>
  <cols>
    <col min="1" max="2" width="5" customWidth="1"/>
    <col min="3" max="3" width="34.85546875" bestFit="1" customWidth="1"/>
    <col min="4" max="4" width="2.42578125" customWidth="1"/>
    <col min="5" max="5" width="18.85546875" customWidth="1" outlineLevel="1"/>
    <col min="6" max="6" width="6.42578125" customWidth="1"/>
    <col min="7" max="7" width="22.42578125" customWidth="1"/>
    <col min="8" max="8" width="9.28515625" bestFit="1" customWidth="1"/>
    <col min="9" max="9" width="26.5703125" bestFit="1" customWidth="1"/>
    <col min="10" max="10" width="6.42578125" customWidth="1"/>
    <col min="11" max="11" width="26.28515625" bestFit="1" customWidth="1"/>
    <col min="12" max="12" width="8.85546875" customWidth="1"/>
    <col min="13" max="13" width="10" customWidth="1"/>
    <col min="14" max="14" width="22.140625" customWidth="1"/>
    <col min="15" max="15" width="4.5703125" customWidth="1"/>
    <col min="16" max="16" width="9.140625" customWidth="1"/>
    <col min="17" max="19" width="9.140625" hidden="1" customWidth="1"/>
    <col min="20" max="16384" width="9.140625" hidden="1"/>
  </cols>
  <sheetData>
    <row r="1" spans="1:19" ht="80.25" customHeight="1" x14ac:dyDescent="0.25">
      <c r="A1" s="30"/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</row>
    <row r="2" spans="1:19" s="31" customFormat="1" ht="32.25" customHeight="1" x14ac:dyDescent="0.5"/>
    <row r="3" spans="1:19" ht="20.25" customHeight="1" thickBot="1" x14ac:dyDescent="0.4">
      <c r="B3" s="57" t="s">
        <v>0</v>
      </c>
      <c r="C3" s="57"/>
      <c r="D3" s="47"/>
      <c r="E3" s="47"/>
      <c r="N3" s="32" t="s">
        <v>1</v>
      </c>
    </row>
    <row r="4" spans="1:19" s="17" customFormat="1" ht="25.5" customHeight="1" thickTop="1" x14ac:dyDescent="0.25">
      <c r="B4" s="49"/>
      <c r="C4" s="49"/>
      <c r="D4" s="49"/>
      <c r="E4" s="49"/>
      <c r="F4" s="49"/>
      <c r="G4" s="49"/>
      <c r="N4" s="48">
        <f ca="1">TODAY()</f>
        <v>44949</v>
      </c>
      <c r="O4" s="19"/>
    </row>
    <row r="5" spans="1:19" ht="19.5" thickBot="1" x14ac:dyDescent="0.35">
      <c r="B5" s="59" t="s">
        <v>2</v>
      </c>
      <c r="C5" s="59"/>
      <c r="D5" s="16"/>
      <c r="E5" s="16"/>
      <c r="F5" s="16"/>
      <c r="G5" s="16"/>
    </row>
    <row r="6" spans="1:19" ht="5.25" customHeight="1" thickTop="1" x14ac:dyDescent="0.25">
      <c r="B6" s="35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46"/>
    </row>
    <row r="7" spans="1:19" s="6" customFormat="1" x14ac:dyDescent="0.25">
      <c r="B7" s="34"/>
      <c r="C7" s="18" t="s">
        <v>3</v>
      </c>
      <c r="D7"/>
      <c r="E7" s="11"/>
      <c r="F7"/>
      <c r="G7" s="18" t="s">
        <v>4</v>
      </c>
      <c r="I7" s="18" t="s">
        <v>5</v>
      </c>
      <c r="K7" s="18" t="s">
        <v>6</v>
      </c>
      <c r="N7"/>
      <c r="O7" s="41"/>
    </row>
    <row r="8" spans="1:19" s="6" customFormat="1" ht="38.25" customHeight="1" x14ac:dyDescent="0.25">
      <c r="B8" s="33"/>
      <c r="C8" s="55" t="s">
        <v>7</v>
      </c>
      <c r="D8"/>
      <c r="E8" s="25"/>
      <c r="F8"/>
      <c r="G8" s="51">
        <v>0.1308</v>
      </c>
      <c r="H8"/>
      <c r="I8" s="12">
        <f>IFERROR(-FV('Base Dash acum'!C3,M17*12,$C$14,(IF($E$11=0,$C$11,$E$11)),),"")</f>
        <v>2131420.1603173958</v>
      </c>
      <c r="J8"/>
      <c r="K8" s="23">
        <f>IFERROR(I8-C20,"")</f>
        <v>1945420.1603173958</v>
      </c>
      <c r="N8"/>
      <c r="O8" s="41"/>
    </row>
    <row r="9" spans="1:19" s="6" customFormat="1" ht="6.75" customHeight="1" x14ac:dyDescent="0.25">
      <c r="B9" s="34"/>
      <c r="C9"/>
      <c r="D9"/>
      <c r="E9"/>
      <c r="F9"/>
      <c r="G9" s="8"/>
      <c r="N9"/>
      <c r="O9" s="41"/>
    </row>
    <row r="10" spans="1:19" s="6" customFormat="1" ht="17.25" customHeight="1" x14ac:dyDescent="0.25">
      <c r="B10" s="34"/>
      <c r="C10" s="18" t="s">
        <v>8</v>
      </c>
      <c r="E10" s="18"/>
      <c r="G10" s="18" t="s">
        <v>9</v>
      </c>
      <c r="H10" s="14"/>
      <c r="I10" s="18" t="s">
        <v>10</v>
      </c>
      <c r="J10" s="14"/>
      <c r="K10" s="18" t="s">
        <v>11</v>
      </c>
      <c r="M10" s="58" t="s">
        <v>12</v>
      </c>
      <c r="N10" s="58"/>
      <c r="O10" s="41"/>
    </row>
    <row r="11" spans="1:19" s="6" customFormat="1" ht="38.25" customHeight="1" x14ac:dyDescent="0.35">
      <c r="B11" s="33"/>
      <c r="C11" s="52">
        <v>6000</v>
      </c>
      <c r="D11" s="9"/>
      <c r="E11" s="29"/>
      <c r="G11" s="24">
        <f>IFERROR(((1+G8)/(1+C17)-1),"")</f>
        <v>6.6792452830188642E-2</v>
      </c>
      <c r="H11" s="15"/>
      <c r="I11" s="23">
        <f>IFERROR(-FV('Base Dash acum'!C4,M17*12,$C$14,(IF($E$11=0,$C$11,$E$11)),),"")</f>
        <v>593015.02631828189</v>
      </c>
      <c r="J11" s="15"/>
      <c r="K11" s="23">
        <f>IFERROR(I11-C20,"")</f>
        <v>407015.02631828189</v>
      </c>
      <c r="M11" s="55">
        <v>20</v>
      </c>
      <c r="N11" s="28" t="s">
        <v>13</v>
      </c>
      <c r="O11" s="41"/>
    </row>
    <row r="12" spans="1:19" s="6" customFormat="1" ht="11.25" customHeight="1" x14ac:dyDescent="0.25">
      <c r="B12" s="34"/>
      <c r="O12" s="41"/>
    </row>
    <row r="13" spans="1:19" s="7" customFormat="1" ht="17.25" customHeight="1" x14ac:dyDescent="0.25">
      <c r="B13" s="43"/>
      <c r="C13" s="11" t="s">
        <v>14</v>
      </c>
      <c r="M13" s="58" t="s">
        <v>15</v>
      </c>
      <c r="N13" s="58"/>
      <c r="O13" s="45"/>
    </row>
    <row r="14" spans="1:19" s="6" customFormat="1" ht="38.25" customHeight="1" x14ac:dyDescent="0.25">
      <c r="B14" s="33"/>
      <c r="C14" s="53">
        <v>500</v>
      </c>
      <c r="G14" s="10"/>
      <c r="M14" s="55">
        <v>50</v>
      </c>
      <c r="N14" s="28" t="s">
        <v>13</v>
      </c>
      <c r="O14" s="41"/>
    </row>
    <row r="15" spans="1:19" s="6" customFormat="1" ht="11.25" customHeight="1" x14ac:dyDescent="0.25">
      <c r="B15" s="34"/>
      <c r="H15"/>
      <c r="I15"/>
      <c r="J15"/>
      <c r="K15"/>
      <c r="O15" s="41"/>
    </row>
    <row r="16" spans="1:19" s="7" customFormat="1" ht="17.25" customHeight="1" x14ac:dyDescent="0.25">
      <c r="B16" s="43"/>
      <c r="C16" s="11" t="s">
        <v>16</v>
      </c>
      <c r="M16" s="58" t="s">
        <v>17</v>
      </c>
      <c r="N16" s="58"/>
      <c r="O16" s="45"/>
    </row>
    <row r="17" spans="2:15" s="6" customFormat="1" ht="38.25" customHeight="1" x14ac:dyDescent="0.25">
      <c r="B17" s="33"/>
      <c r="C17" s="54">
        <v>0.06</v>
      </c>
      <c r="G17" s="10"/>
      <c r="M17" s="26">
        <f>IFERROR(IF((M14-M11)&lt;0,"",(M14-M11)),"")</f>
        <v>30</v>
      </c>
      <c r="N17" s="27" t="s">
        <v>13</v>
      </c>
      <c r="O17" s="41"/>
    </row>
    <row r="18" spans="2:15" s="6" customFormat="1" ht="9.75" customHeight="1" x14ac:dyDescent="0.25">
      <c r="B18" s="34"/>
      <c r="H18"/>
      <c r="I18"/>
      <c r="J18"/>
      <c r="K18"/>
      <c r="O18" s="41"/>
    </row>
    <row r="19" spans="2:15" s="7" customFormat="1" ht="17.25" customHeight="1" x14ac:dyDescent="0.25">
      <c r="B19" s="43"/>
      <c r="C19" s="11" t="s">
        <v>18</v>
      </c>
      <c r="F19" s="14"/>
      <c r="M19" s="58"/>
      <c r="N19" s="58"/>
      <c r="O19" s="45"/>
    </row>
    <row r="20" spans="2:15" s="6" customFormat="1" ht="38.25" customHeight="1" x14ac:dyDescent="0.25">
      <c r="B20" s="33"/>
      <c r="C20" s="23">
        <f>IFERROR(((C14*12)*M17)+(IF($E$11=0,$C$11,$E$11)),"")</f>
        <v>186000</v>
      </c>
      <c r="F20" s="13"/>
      <c r="O20" s="41"/>
    </row>
    <row r="21" spans="2:15" s="6" customFormat="1" ht="13.5" customHeight="1" thickBot="1" x14ac:dyDescent="0.3">
      <c r="B21" s="38"/>
      <c r="C21" s="39"/>
      <c r="D21" s="39"/>
      <c r="E21" s="39"/>
      <c r="F21" s="39"/>
      <c r="G21" s="39"/>
      <c r="H21" s="44"/>
      <c r="I21" s="44"/>
      <c r="J21" s="44"/>
      <c r="K21" s="44"/>
      <c r="L21" s="39"/>
      <c r="M21" s="39"/>
      <c r="N21" s="39"/>
      <c r="O21" s="40"/>
    </row>
    <row r="22" spans="2:15" s="7" customFormat="1" ht="18" customHeight="1" thickTop="1" x14ac:dyDescent="0.25">
      <c r="F22"/>
    </row>
    <row r="23" spans="2:15" s="6" customFormat="1" ht="19.5" thickBot="1" x14ac:dyDescent="0.3">
      <c r="B23" s="50" t="s">
        <v>19</v>
      </c>
      <c r="C23" s="50"/>
      <c r="D23" s="50"/>
      <c r="E23" s="50"/>
      <c r="F23" s="50"/>
      <c r="G23" s="10"/>
    </row>
    <row r="24" spans="2:15" s="6" customFormat="1" ht="29.25" customHeight="1" thickTop="1" x14ac:dyDescent="0.25">
      <c r="B24" s="35"/>
      <c r="C24" s="36"/>
      <c r="D24" s="36"/>
      <c r="E24" s="36"/>
      <c r="F24" s="37"/>
      <c r="G24" s="36"/>
      <c r="H24" s="36"/>
      <c r="I24" s="36"/>
      <c r="J24" s="36"/>
      <c r="K24" s="36"/>
      <c r="L24" s="36"/>
      <c r="M24" s="36"/>
      <c r="N24" s="36"/>
      <c r="O24" s="42"/>
    </row>
    <row r="25" spans="2:15" s="6" customFormat="1" ht="18.75" customHeight="1" x14ac:dyDescent="0.25">
      <c r="B25" s="34"/>
      <c r="C25" s="11" t="s">
        <v>20</v>
      </c>
      <c r="F25"/>
      <c r="H25"/>
      <c r="I25"/>
      <c r="J25"/>
      <c r="K25"/>
      <c r="O25" s="41"/>
    </row>
    <row r="26" spans="2:15" s="6" customFormat="1" ht="37.5" customHeight="1" x14ac:dyDescent="0.25">
      <c r="B26" s="33"/>
      <c r="C26" s="61">
        <f>$G$11</f>
        <v>6.6792452830188642E-2</v>
      </c>
      <c r="F26"/>
      <c r="H26"/>
      <c r="I26"/>
      <c r="J26"/>
      <c r="K26"/>
      <c r="O26" s="41"/>
    </row>
    <row r="27" spans="2:15" s="6" customFormat="1" ht="6.75" customHeight="1" x14ac:dyDescent="0.25">
      <c r="B27" s="34"/>
      <c r="F27"/>
      <c r="H27"/>
      <c r="I27"/>
      <c r="J27"/>
      <c r="K27"/>
      <c r="O27" s="41"/>
    </row>
    <row r="28" spans="2:15" s="6" customFormat="1" ht="18.75" customHeight="1" x14ac:dyDescent="0.25">
      <c r="B28" s="34"/>
      <c r="C28" s="11" t="s">
        <v>21</v>
      </c>
      <c r="F28"/>
      <c r="H28"/>
      <c r="I28"/>
      <c r="J28"/>
      <c r="K28"/>
      <c r="O28" s="41"/>
    </row>
    <row r="29" spans="2:15" s="6" customFormat="1" ht="28.5" customHeight="1" x14ac:dyDescent="0.25">
      <c r="B29" s="33"/>
      <c r="C29" s="23">
        <f>IFERROR('Base Dash acum'!$R$4/12,"")-C32</f>
        <v>3300.7440144130765</v>
      </c>
      <c r="F29"/>
      <c r="H29"/>
      <c r="I29"/>
      <c r="J29"/>
      <c r="K29"/>
      <c r="O29" s="41"/>
    </row>
    <row r="30" spans="2:15" s="6" customFormat="1" ht="6.75" customHeight="1" x14ac:dyDescent="0.25">
      <c r="B30" s="34"/>
      <c r="F30"/>
      <c r="H30"/>
      <c r="I30"/>
      <c r="J30"/>
      <c r="K30"/>
      <c r="O30" s="41"/>
    </row>
    <row r="31" spans="2:15" s="6" customFormat="1" ht="18.75" customHeight="1" x14ac:dyDescent="0.25">
      <c r="B31" s="34"/>
      <c r="C31" s="11" t="s">
        <v>22</v>
      </c>
      <c r="F31"/>
      <c r="H31"/>
      <c r="I31"/>
      <c r="J31"/>
      <c r="K31"/>
      <c r="O31" s="41"/>
    </row>
    <row r="32" spans="2:15" s="6" customFormat="1" ht="28.5" customHeight="1" x14ac:dyDescent="0.25">
      <c r="B32" s="33"/>
      <c r="C32" s="53">
        <v>0</v>
      </c>
      <c r="F32"/>
      <c r="H32"/>
      <c r="I32"/>
      <c r="J32"/>
      <c r="K32"/>
      <c r="O32" s="41"/>
    </row>
    <row r="33" spans="2:15" s="6" customFormat="1" ht="6.75" customHeight="1" x14ac:dyDescent="0.25">
      <c r="B33" s="34"/>
      <c r="F33"/>
      <c r="H33"/>
      <c r="I33"/>
      <c r="J33"/>
      <c r="K33"/>
      <c r="O33" s="41"/>
    </row>
    <row r="34" spans="2:15" s="6" customFormat="1" ht="18.75" customHeight="1" x14ac:dyDescent="0.25">
      <c r="B34" s="34"/>
      <c r="C34" s="11" t="s">
        <v>23</v>
      </c>
      <c r="F34"/>
      <c r="H34"/>
      <c r="I34"/>
      <c r="J34"/>
      <c r="K34"/>
      <c r="O34" s="41"/>
    </row>
    <row r="35" spans="2:15" s="6" customFormat="1" ht="33" customHeight="1" x14ac:dyDescent="0.25">
      <c r="B35" s="33"/>
      <c r="C35" s="56">
        <f>C32+C29</f>
        <v>3300.7440144130765</v>
      </c>
      <c r="F35"/>
      <c r="H35"/>
      <c r="I35"/>
      <c r="J35"/>
      <c r="K35"/>
      <c r="O35" s="41"/>
    </row>
    <row r="36" spans="2:15" s="6" customFormat="1" ht="6.75" customHeight="1" x14ac:dyDescent="0.25">
      <c r="B36" s="34"/>
      <c r="F36"/>
      <c r="H36"/>
      <c r="I36"/>
      <c r="J36"/>
      <c r="K36"/>
      <c r="O36" s="41"/>
    </row>
    <row r="37" spans="2:15" s="6" customFormat="1" ht="18.75" customHeight="1" x14ac:dyDescent="0.25">
      <c r="B37" s="34"/>
      <c r="C37" s="11" t="s">
        <v>24</v>
      </c>
      <c r="F37"/>
      <c r="H37"/>
      <c r="I37"/>
      <c r="J37"/>
      <c r="K37"/>
      <c r="O37" s="41"/>
    </row>
    <row r="38" spans="2:15" s="6" customFormat="1" ht="33" customHeight="1" x14ac:dyDescent="0.25">
      <c r="B38" s="33"/>
      <c r="C38" s="53">
        <v>50000</v>
      </c>
      <c r="F38"/>
      <c r="H38"/>
      <c r="I38"/>
      <c r="J38"/>
      <c r="K38"/>
      <c r="O38" s="41"/>
    </row>
    <row r="39" spans="2:15" s="6" customFormat="1" ht="6.75" customHeight="1" x14ac:dyDescent="0.25">
      <c r="B39" s="34"/>
      <c r="F39"/>
      <c r="G39" s="10"/>
      <c r="O39" s="41"/>
    </row>
    <row r="40" spans="2:15" s="6" customFormat="1" ht="18.75" customHeight="1" x14ac:dyDescent="0.25">
      <c r="B40" s="34"/>
      <c r="C40" s="11" t="s">
        <v>25</v>
      </c>
      <c r="F40"/>
      <c r="H40"/>
      <c r="I40"/>
      <c r="J40"/>
      <c r="K40"/>
      <c r="O40" s="41"/>
    </row>
    <row r="41" spans="2:15" s="6" customFormat="1" ht="37.5" customHeight="1" x14ac:dyDescent="0.25">
      <c r="B41" s="33"/>
      <c r="C41" s="23">
        <f>C35-C38</f>
        <v>-46699.255985586926</v>
      </c>
      <c r="F41"/>
      <c r="G41" s="10"/>
      <c r="O41" s="41"/>
    </row>
    <row r="42" spans="2:15" s="6" customFormat="1" ht="8.25" customHeight="1" x14ac:dyDescent="0.25">
      <c r="B42" s="34"/>
      <c r="F42"/>
      <c r="H42"/>
      <c r="I42"/>
      <c r="J42"/>
      <c r="K42"/>
      <c r="O42" s="41"/>
    </row>
    <row r="43" spans="2:15" s="6" customFormat="1" ht="6" customHeight="1" thickBot="1" x14ac:dyDescent="0.3">
      <c r="B43" s="38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40"/>
    </row>
    <row r="44" spans="2:15" s="6" customFormat="1" ht="18.75" customHeight="1" thickTop="1" x14ac:dyDescent="0.25"/>
    <row r="45" spans="2:15" x14ac:dyDescent="0.25"/>
    <row r="46" spans="2:15" x14ac:dyDescent="0.25"/>
    <row r="47" spans="2:15" x14ac:dyDescent="0.25"/>
    <row r="48" spans="2:15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</sheetData>
  <sheetProtection formatCells="0" formatColumns="0" formatRows="0" insertColumns="0" insertRows="0" insertHyperlinks="0" deleteColumns="0" deleteRows="0" sort="0" autoFilter="0" pivotTables="0"/>
  <mergeCells count="6">
    <mergeCell ref="B3:C3"/>
    <mergeCell ref="M10:N10"/>
    <mergeCell ref="M16:N16"/>
    <mergeCell ref="M13:N13"/>
    <mergeCell ref="M19:N19"/>
    <mergeCell ref="B5:C5"/>
  </mergeCells>
  <conditionalFormatting sqref="C7:C8">
    <cfRule type="duplicateValues" dxfId="13" priority="4"/>
  </conditionalFormatting>
  <conditionalFormatting sqref="C41">
    <cfRule type="cellIs" dxfId="12" priority="1" operator="greaterThan">
      <formula>0</formula>
    </cfRule>
    <cfRule type="cellIs" dxfId="11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67" orientation="landscape" verticalDpi="300" r:id="rId1"/>
  <ignoredErrors>
    <ignoredError sqref="C26" unlocked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'Perfil de Risco'!$B$2:$B$5</xm:f>
          </x14:formula1>
          <xm:sqref>C8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00003E"/>
  </sheetPr>
  <dimension ref="C2:V54"/>
  <sheetViews>
    <sheetView showGridLines="0" workbookViewId="0">
      <selection activeCell="E23" sqref="E23"/>
    </sheetView>
  </sheetViews>
  <sheetFormatPr defaultRowHeight="15" x14ac:dyDescent="0.25"/>
  <cols>
    <col min="1" max="2" width="2.140625" customWidth="1"/>
    <col min="3" max="3" width="7.140625" bestFit="1" customWidth="1"/>
    <col min="4" max="4" width="4.42578125" customWidth="1"/>
    <col min="5" max="5" width="11" bestFit="1" customWidth="1"/>
    <col min="7" max="7" width="15.42578125" bestFit="1" customWidth="1"/>
    <col min="8" max="8" width="16.5703125" bestFit="1" customWidth="1"/>
    <col min="9" max="9" width="15.42578125" bestFit="1" customWidth="1"/>
    <col min="10" max="10" width="17.85546875" bestFit="1" customWidth="1"/>
    <col min="11" max="12" width="3.140625" customWidth="1"/>
    <col min="13" max="14" width="3.28515625" customWidth="1"/>
    <col min="17" max="17" width="18" bestFit="1" customWidth="1"/>
    <col min="18" max="18" width="16.85546875" bestFit="1" customWidth="1"/>
    <col min="19" max="19" width="15.5703125" bestFit="1" customWidth="1"/>
    <col min="20" max="20" width="15.140625" bestFit="1" customWidth="1"/>
  </cols>
  <sheetData>
    <row r="2" spans="3:22" x14ac:dyDescent="0.25">
      <c r="C2" s="20">
        <f>((('Planejamento Financeiro'!C17+1)^(1/12))-1)</f>
        <v>4.8675505653430484E-3</v>
      </c>
    </row>
    <row r="3" spans="3:22" x14ac:dyDescent="0.25">
      <c r="C3" s="21">
        <f>((('Planejamento Financeiro'!G8+1)^(1/12))-1)</f>
        <v>1.0296426021131344E-2</v>
      </c>
      <c r="E3" s="1" t="s">
        <v>26</v>
      </c>
      <c r="F3" s="1" t="s">
        <v>27</v>
      </c>
      <c r="G3" t="s">
        <v>28</v>
      </c>
      <c r="H3" t="s">
        <v>29</v>
      </c>
      <c r="I3" t="s">
        <v>30</v>
      </c>
      <c r="J3" t="s">
        <v>31</v>
      </c>
      <c r="O3" s="1" t="s">
        <v>32</v>
      </c>
      <c r="P3" s="1" t="s">
        <v>26</v>
      </c>
      <c r="Q3" t="s">
        <v>33</v>
      </c>
      <c r="R3" t="s">
        <v>34</v>
      </c>
      <c r="S3" s="5" t="s">
        <v>35</v>
      </c>
      <c r="T3" s="5" t="s">
        <v>36</v>
      </c>
    </row>
    <row r="4" spans="3:22" x14ac:dyDescent="0.25">
      <c r="C4" s="20">
        <f>((('Planejamento Financeiro'!G11+1)^(1/12))-1)</f>
        <v>5.4025781335400591E-3</v>
      </c>
      <c r="E4" s="2">
        <f>Tabela1[[#This Row],[Ano]]+'Planejamento Financeiro'!$M$11</f>
        <v>20</v>
      </c>
      <c r="F4" s="1">
        <v>0</v>
      </c>
      <c r="G4" s="4">
        <f>Tabela1[[#This Row],[TotalAcumulado]]-Tabela1[[#This Row],[Total Investido]]</f>
        <v>0</v>
      </c>
      <c r="H4" s="5">
        <f>'Planejamento Financeiro'!$C$11</f>
        <v>6000</v>
      </c>
      <c r="I4" s="4">
        <f>Tabela1[[#This Row],[Juros]]</f>
        <v>0</v>
      </c>
      <c r="J4" s="4">
        <f>-FV('Base Dash acum'!$C$3,Tabela1[[#This Row],[Ano]]*12,'Planejamento Financeiro'!$C$14,'Planejamento Financeiro'!$C$11,)</f>
        <v>6000</v>
      </c>
      <c r="O4" s="2">
        <f>0</f>
        <v>0</v>
      </c>
      <c r="P4" s="2">
        <f>Tabela46[[#This Row],[ANO]]+'Planejamento Financeiro'!$M$14</f>
        <v>50</v>
      </c>
      <c r="Q4" s="5">
        <f>'Planejamento Financeiro'!$I$11</f>
        <v>593015.02631828189</v>
      </c>
      <c r="R4" s="5">
        <f>'Planejamento Financeiro'!$C$26*Tabela46[[#This Row],[PL]]+('Planejamento Financeiro'!$C$32*12)</f>
        <v>39608.928172956919</v>
      </c>
      <c r="S4" s="3">
        <f>Tabela46[[#This Row],[GASTO MÊS]]*12</f>
        <v>600000</v>
      </c>
      <c r="T4" s="5">
        <f>'Planejamento Financeiro'!$C$38-V4</f>
        <v>50000</v>
      </c>
      <c r="V4" s="22"/>
    </row>
    <row r="5" spans="3:22" x14ac:dyDescent="0.25">
      <c r="E5" s="2">
        <f>Tabela1[[#This Row],[Ano]]+'Planejamento Financeiro'!$M$11</f>
        <v>21</v>
      </c>
      <c r="F5" s="1">
        <f t="shared" ref="F5:F30" si="0">F4+1</f>
        <v>1</v>
      </c>
      <c r="G5" s="4">
        <f>Tabela1[[#This Row],[TotalAcumulado]]-Tabela1[[#This Row],[Total Investido]]</f>
        <v>1136.5185347401639</v>
      </c>
      <c r="H5" s="5">
        <f>H4+('Planejamento Financeiro'!$C$14*12)</f>
        <v>12000</v>
      </c>
      <c r="I5" s="4">
        <f>Tabela1[[#This Row],[Juros]]</f>
        <v>1136.5185347401639</v>
      </c>
      <c r="J5" s="4">
        <f>-FV('Base Dash acum'!$C$3,Tabela1[[#This Row],[Ano]]*12,'Planejamento Financeiro'!$C$14,'Planejamento Financeiro'!$C$11,)</f>
        <v>13136.518534740164</v>
      </c>
      <c r="O5" s="2">
        <f t="shared" ref="O5:O54" si="1">1+O4</f>
        <v>1</v>
      </c>
      <c r="P5" s="2">
        <f>Tabela46[[#This Row],[ANO]]+'Planejamento Financeiro'!$M$14</f>
        <v>51</v>
      </c>
      <c r="Q5" s="5">
        <f t="shared" ref="Q5:Q34" si="2">Q4+R4-S4</f>
        <v>32623.954491238808</v>
      </c>
      <c r="R5" s="5">
        <f>'Planejamento Financeiro'!$C$26*Tabela46[[#This Row],[PL]]+('Planejamento Financeiro'!$C$32*12)</f>
        <v>2179.0339414902892</v>
      </c>
      <c r="S5" s="3">
        <f>Tabela46[[#This Row],[GASTO MÊS]]*12</f>
        <v>600000</v>
      </c>
      <c r="T5" s="5">
        <f>'Planejamento Financeiro'!$C$38-V5</f>
        <v>50000</v>
      </c>
    </row>
    <row r="6" spans="3:22" x14ac:dyDescent="0.25">
      <c r="E6" s="2">
        <f>Tabela1[[#This Row],[Ano]]+'Planejamento Financeiro'!$M$11</f>
        <v>22</v>
      </c>
      <c r="F6" s="1">
        <f t="shared" si="0"/>
        <v>2</v>
      </c>
      <c r="G6" s="4">
        <f>Tabela1[[#This Row],[TotalAcumulado]]-Tabela1[[#This Row],[Total Investido]]</f>
        <v>3206.4936938243554</v>
      </c>
      <c r="H6" s="5">
        <f>H5+('Planejamento Financeiro'!$C$14*12)</f>
        <v>18000</v>
      </c>
      <c r="I6" s="4">
        <f>Tabela1[[#This Row],[Juros]]</f>
        <v>3206.4936938243554</v>
      </c>
      <c r="J6" s="4">
        <f>-FV('Base Dash acum'!$C$3,Tabela1[[#This Row],[Ano]]*12,'Planejamento Financeiro'!$C$14,'Planejamento Financeiro'!$C$11,)</f>
        <v>21206.493693824355</v>
      </c>
      <c r="O6" s="2">
        <f t="shared" si="1"/>
        <v>2</v>
      </c>
      <c r="P6" s="2">
        <f>Tabela46[[#This Row],[ANO]]+'Planejamento Financeiro'!$M$14</f>
        <v>52</v>
      </c>
      <c r="Q6" s="5">
        <f t="shared" si="2"/>
        <v>-565197.01156727085</v>
      </c>
      <c r="R6" s="5">
        <f>'Planejamento Financeiro'!$C$26*Tabela46[[#This Row],[PL]]+('Planejamento Financeiro'!$C$32*12)</f>
        <v>-37750.894734870526</v>
      </c>
      <c r="S6" s="3">
        <f>Tabela46[[#This Row],[GASTO MÊS]]*12</f>
        <v>600000</v>
      </c>
      <c r="T6" s="5">
        <f>'Planejamento Financeiro'!$C$38-V6</f>
        <v>50000</v>
      </c>
    </row>
    <row r="7" spans="3:22" x14ac:dyDescent="0.25">
      <c r="E7" s="2">
        <f>Tabela1[[#This Row],[Ano]]+'Planejamento Financeiro'!$M$11</f>
        <v>23</v>
      </c>
      <c r="F7" s="1">
        <f t="shared" si="0"/>
        <v>3</v>
      </c>
      <c r="G7" s="4">
        <f>Tabela1[[#This Row],[TotalAcumulado]]-Tabela1[[#This Row],[Total Investido]]</f>
        <v>6332.0216037167702</v>
      </c>
      <c r="H7" s="5">
        <f>H6+('Planejamento Financeiro'!$C$14*12)</f>
        <v>24000</v>
      </c>
      <c r="I7" s="4">
        <f>Tabela1[[#This Row],[Juros]]</f>
        <v>6332.0216037167702</v>
      </c>
      <c r="J7" s="4">
        <f>-FV('Base Dash acum'!$C$3,Tabela1[[#This Row],[Ano]]*12,'Planejamento Financeiro'!$C$14,'Planejamento Financeiro'!$C$11,)</f>
        <v>30332.02160371677</v>
      </c>
      <c r="O7" s="2">
        <f t="shared" si="1"/>
        <v>3</v>
      </c>
      <c r="P7" s="2">
        <f>Tabela46[[#This Row],[ANO]]+'Planejamento Financeiro'!$M$14</f>
        <v>53</v>
      </c>
      <c r="Q7" s="5">
        <f t="shared" si="2"/>
        <v>-1202947.9063021415</v>
      </c>
      <c r="R7" s="5">
        <f>'Planejamento Financeiro'!$C$26*Tabela46[[#This Row],[PL]]+('Planejamento Financeiro'!$C$32*12)</f>
        <v>-80347.841288859971</v>
      </c>
      <c r="S7" s="3">
        <f>Tabela46[[#This Row],[GASTO MÊS]]*12</f>
        <v>600000</v>
      </c>
      <c r="T7" s="5">
        <f>'Planejamento Financeiro'!$C$38-V7</f>
        <v>50000</v>
      </c>
    </row>
    <row r="8" spans="3:22" x14ac:dyDescent="0.25">
      <c r="E8" s="2">
        <f>Tabela1[[#This Row],[Ano]]+'Planejamento Financeiro'!$M$11</f>
        <v>24</v>
      </c>
      <c r="F8" s="1">
        <f t="shared" si="0"/>
        <v>4</v>
      </c>
      <c r="G8" s="4">
        <f>Tabela1[[#This Row],[TotalAcumulado]]-Tabela1[[#This Row],[Total Investido]]</f>
        <v>10651.168564223124</v>
      </c>
      <c r="H8" s="5">
        <f>H7+('Planejamento Financeiro'!$C$14*12)</f>
        <v>30000</v>
      </c>
      <c r="I8" s="4">
        <f>Tabela1[[#This Row],[Juros]]</f>
        <v>10651.168564223124</v>
      </c>
      <c r="J8" s="4">
        <f>-FV('Base Dash acum'!$C$3,Tabela1[[#This Row],[Ano]]*12,'Planejamento Financeiro'!$C$14,'Planejamento Financeiro'!$C$11,)</f>
        <v>40651.168564223124</v>
      </c>
      <c r="O8" s="2">
        <f t="shared" si="1"/>
        <v>4</v>
      </c>
      <c r="P8" s="2">
        <f>Tabela46[[#This Row],[ANO]]+'Planejamento Financeiro'!$M$14</f>
        <v>54</v>
      </c>
      <c r="Q8" s="5">
        <f t="shared" si="2"/>
        <v>-1883295.7475910014</v>
      </c>
      <c r="R8" s="5">
        <f>'Planejamento Financeiro'!$C$26*Tabela46[[#This Row],[PL]]+('Planejamento Financeiro'!$C$32*12)</f>
        <v>-125789.94238626682</v>
      </c>
      <c r="S8" s="3">
        <f>Tabela46[[#This Row],[GASTO MÊS]]*12</f>
        <v>600000</v>
      </c>
      <c r="T8" s="5">
        <f>'Planejamento Financeiro'!$C$38-V8</f>
        <v>50000</v>
      </c>
    </row>
    <row r="9" spans="3:22" x14ac:dyDescent="0.25">
      <c r="E9" s="2">
        <f>Tabela1[[#This Row],[Ano]]+'Planejamento Financeiro'!$M$11</f>
        <v>25</v>
      </c>
      <c r="F9" s="1">
        <f t="shared" si="0"/>
        <v>5</v>
      </c>
      <c r="G9" s="4">
        <f>Tabela1[[#This Row],[TotalAcumulado]]-Tabela1[[#This Row],[Total Investido]]</f>
        <v>16320.059947163725</v>
      </c>
      <c r="H9" s="5">
        <f>H8+('Planejamento Financeiro'!$C$14*12)</f>
        <v>36000</v>
      </c>
      <c r="I9" s="4">
        <f>Tabela1[[#This Row],[Juros]]</f>
        <v>16320.059947163725</v>
      </c>
      <c r="J9" s="4">
        <f>-FV('Base Dash acum'!$C$3,Tabela1[[#This Row],[Ano]]*12,'Planejamento Financeiro'!$C$14,'Planejamento Financeiro'!$C$11,)</f>
        <v>52320.059947163725</v>
      </c>
      <c r="O9" s="2">
        <f t="shared" si="1"/>
        <v>5</v>
      </c>
      <c r="P9" s="2">
        <f>Tabela46[[#This Row],[ANO]]+'Planejamento Financeiro'!$M$14</f>
        <v>55</v>
      </c>
      <c r="Q9" s="5">
        <f t="shared" si="2"/>
        <v>-2609085.6899772682</v>
      </c>
      <c r="R9" s="5">
        <f>'Planejamento Financeiro'!$C$26*Tabela46[[#This Row],[PL]]+('Planejamento Financeiro'!$C$32*12)</f>
        <v>-174267.23287772687</v>
      </c>
      <c r="S9" s="3">
        <f>Tabela46[[#This Row],[GASTO MÊS]]*12</f>
        <v>600000</v>
      </c>
      <c r="T9" s="5">
        <f>'Planejamento Financeiro'!$C$38-V9</f>
        <v>50000</v>
      </c>
    </row>
    <row r="10" spans="3:22" x14ac:dyDescent="0.25">
      <c r="E10" s="2">
        <f>Tabela1[[#This Row],[Ano]]+'Planejamento Financeiro'!$M$11</f>
        <v>26</v>
      </c>
      <c r="F10" s="1">
        <f t="shared" si="0"/>
        <v>6</v>
      </c>
      <c r="G10" s="4">
        <f>Tabela1[[#This Row],[TotalAcumulado]]-Tabela1[[#This Row],[Total Investido]]</f>
        <v>23515.242322992985</v>
      </c>
      <c r="H10" s="5">
        <f>H9+('Planejamento Financeiro'!$C$14*12)</f>
        <v>42000</v>
      </c>
      <c r="I10" s="4">
        <f>Tabela1[[#This Row],[Juros]]</f>
        <v>23515.242322992985</v>
      </c>
      <c r="J10" s="4">
        <f>-FV('Base Dash acum'!$C$3,Tabela1[[#This Row],[Ano]]*12,'Planejamento Financeiro'!$C$14,'Planejamento Financeiro'!$C$11,)</f>
        <v>65515.242322992985</v>
      </c>
      <c r="O10" s="2">
        <f t="shared" si="1"/>
        <v>6</v>
      </c>
      <c r="P10" s="2">
        <f>Tabela46[[#This Row],[ANO]]+'Planejamento Financeiro'!$M$14</f>
        <v>56</v>
      </c>
      <c r="Q10" s="5">
        <f t="shared" si="2"/>
        <v>-3383352.9228549949</v>
      </c>
      <c r="R10" s="5">
        <f>'Planejamento Financeiro'!$C$26*Tabela46[[#This Row],[PL]]+('Planejamento Financeiro'!$C$32*12)</f>
        <v>-225982.44050767311</v>
      </c>
      <c r="S10" s="3">
        <f>Tabela46[[#This Row],[GASTO MÊS]]*12</f>
        <v>600000</v>
      </c>
      <c r="T10" s="5">
        <f>'Planejamento Financeiro'!$C$38-V10</f>
        <v>50000</v>
      </c>
    </row>
    <row r="11" spans="3:22" x14ac:dyDescent="0.25">
      <c r="E11" s="2">
        <f>Tabela1[[#This Row],[Ano]]+'Planejamento Financeiro'!$M$11</f>
        <v>27</v>
      </c>
      <c r="F11" s="1">
        <f t="shared" si="0"/>
        <v>7</v>
      </c>
      <c r="G11" s="4">
        <f>Tabela1[[#This Row],[TotalAcumulado]]-Tabela1[[#This Row],[Total Investido]]</f>
        <v>32436.354553580721</v>
      </c>
      <c r="H11" s="5">
        <f>H10+('Planejamento Financeiro'!$C$14*12)</f>
        <v>48000</v>
      </c>
      <c r="I11" s="4">
        <f>Tabela1[[#This Row],[Juros]]</f>
        <v>32436.354553580721</v>
      </c>
      <c r="J11" s="4">
        <f>-FV('Base Dash acum'!$C$3,Tabela1[[#This Row],[Ano]]*12,'Planejamento Financeiro'!$C$14,'Planejamento Financeiro'!$C$11,)</f>
        <v>80436.354553580721</v>
      </c>
      <c r="O11" s="2">
        <f t="shared" si="1"/>
        <v>7</v>
      </c>
      <c r="P11" s="2">
        <f>Tabela46[[#This Row],[ANO]]+'Planejamento Financeiro'!$M$14</f>
        <v>57</v>
      </c>
      <c r="Q11" s="5">
        <f t="shared" si="2"/>
        <v>-4209335.3633626681</v>
      </c>
      <c r="R11" s="5">
        <f>'Planejamento Financeiro'!$C$26*Tabela46[[#This Row],[PL]]+('Planejamento Financeiro'!$C$32*12)</f>
        <v>-281151.83370384597</v>
      </c>
      <c r="S11" s="3">
        <f>Tabela46[[#This Row],[GASTO MÊS]]*12</f>
        <v>600000</v>
      </c>
      <c r="T11" s="5">
        <f>'Planejamento Financeiro'!$C$38-V11</f>
        <v>50000</v>
      </c>
    </row>
    <row r="12" spans="3:22" x14ac:dyDescent="0.25">
      <c r="E12" s="2">
        <f>Tabela1[[#This Row],[Ano]]+'Planejamento Financeiro'!$M$11</f>
        <v>28</v>
      </c>
      <c r="F12" s="1">
        <f t="shared" si="0"/>
        <v>8</v>
      </c>
      <c r="G12" s="4">
        <f>Tabela1[[#This Row],[TotalAcumulado]]-Tabela1[[#This Row],[Total Investido]]</f>
        <v>43309.148263929368</v>
      </c>
      <c r="H12" s="5">
        <f>H11+('Planejamento Financeiro'!$C$14*12)</f>
        <v>54000</v>
      </c>
      <c r="I12" s="4">
        <f>Tabela1[[#This Row],[Juros]]</f>
        <v>43309.148263929368</v>
      </c>
      <c r="J12" s="4">
        <f>-FV('Base Dash acum'!$C$3,Tabela1[[#This Row],[Ano]]*12,'Planejamento Financeiro'!$C$14,'Planejamento Financeiro'!$C$11,)</f>
        <v>97309.148263929368</v>
      </c>
      <c r="O12" s="2">
        <f t="shared" si="1"/>
        <v>8</v>
      </c>
      <c r="P12" s="2">
        <f>Tabela46[[#This Row],[ANO]]+'Planejamento Financeiro'!$M$14</f>
        <v>58</v>
      </c>
      <c r="Q12" s="5">
        <f t="shared" si="2"/>
        <v>-5090487.1970665138</v>
      </c>
      <c r="R12" s="5">
        <f>'Planejamento Financeiro'!$C$26*Tabela46[[#This Row],[PL]]+('Planejamento Financeiro'!$C$32*12)</f>
        <v>-340006.12599274435</v>
      </c>
      <c r="S12" s="3">
        <f>Tabela46[[#This Row],[GASTO MÊS]]*12</f>
        <v>600000</v>
      </c>
      <c r="T12" s="5">
        <f>'Planejamento Financeiro'!$C$38-V12</f>
        <v>50000</v>
      </c>
    </row>
    <row r="13" spans="3:22" x14ac:dyDescent="0.25">
      <c r="E13" s="2">
        <f>Tabela1[[#This Row],[Ano]]+'Planejamento Financeiro'!$M$11</f>
        <v>29</v>
      </c>
      <c r="F13" s="1">
        <f t="shared" si="0"/>
        <v>9</v>
      </c>
      <c r="G13" s="4">
        <f>Tabela1[[#This Row],[TotalAcumulado]]-Tabela1[[#This Row],[Total Investido]]</f>
        <v>56388.903391591622</v>
      </c>
      <c r="H13" s="5">
        <f>H12+('Planejamento Financeiro'!$C$14*12)</f>
        <v>60000</v>
      </c>
      <c r="I13" s="4">
        <f>Tabela1[[#This Row],[Juros]]</f>
        <v>56388.903391591622</v>
      </c>
      <c r="J13" s="4">
        <f>-FV('Base Dash acum'!$C$3,Tabela1[[#This Row],[Ano]]*12,'Planejamento Financeiro'!$C$14,'Planejamento Financeiro'!$C$11,)</f>
        <v>116388.90339159162</v>
      </c>
      <c r="O13" s="2">
        <f t="shared" si="1"/>
        <v>9</v>
      </c>
      <c r="P13" s="2">
        <f>Tabela46[[#This Row],[ANO]]+'Planejamento Financeiro'!$M$14</f>
        <v>59</v>
      </c>
      <c r="Q13" s="5">
        <f t="shared" si="2"/>
        <v>-6030493.3230592581</v>
      </c>
      <c r="R13" s="5">
        <f>'Planejamento Financeiro'!$C$26*Tabela46[[#This Row],[PL]]+('Planejamento Financeiro'!$C$32*12)</f>
        <v>-402791.44082320307</v>
      </c>
      <c r="S13" s="3">
        <f>Tabela46[[#This Row],[GASTO MÊS]]*12</f>
        <v>600000</v>
      </c>
      <c r="T13" s="5">
        <f>'Planejamento Financeiro'!$C$38-V13</f>
        <v>50000</v>
      </c>
    </row>
    <row r="14" spans="3:22" x14ac:dyDescent="0.25">
      <c r="E14" s="2">
        <f>Tabela1[[#This Row],[Ano]]+'Planejamento Financeiro'!$M$11</f>
        <v>30</v>
      </c>
      <c r="F14" s="1">
        <f t="shared" si="0"/>
        <v>10</v>
      </c>
      <c r="G14" s="4">
        <f>Tabela1[[#This Row],[TotalAcumulado]]-Tabela1[[#This Row],[Total Investido]]</f>
        <v>71964.290489952167</v>
      </c>
      <c r="H14" s="5">
        <f>H13+('Planejamento Financeiro'!$C$14*12)</f>
        <v>66000</v>
      </c>
      <c r="I14" s="4">
        <f>Tabela1[[#This Row],[Juros]]</f>
        <v>71964.290489952167</v>
      </c>
      <c r="J14" s="4">
        <f>-FV('Base Dash acum'!$C$3,Tabela1[[#This Row],[Ano]]*12,'Planejamento Financeiro'!$C$14,'Planejamento Financeiro'!$C$11,)</f>
        <v>137964.29048995217</v>
      </c>
      <c r="O14" s="2">
        <f t="shared" si="1"/>
        <v>10</v>
      </c>
      <c r="P14" s="2">
        <f>Tabela46[[#This Row],[ANO]]+'Planejamento Financeiro'!$M$14</f>
        <v>60</v>
      </c>
      <c r="Q14" s="5">
        <f t="shared" si="2"/>
        <v>-7033284.763882461</v>
      </c>
      <c r="R14" s="5">
        <f>'Planejamento Financeiro'!$C$26*Tabela46[[#This Row],[PL]]+('Planejamento Financeiro'!$C$32*12)</f>
        <v>-469770.34083290375</v>
      </c>
      <c r="S14" s="3">
        <f>Tabela46[[#This Row],[GASTO MÊS]]*12</f>
        <v>600000</v>
      </c>
      <c r="T14" s="5">
        <f>'Planejamento Financeiro'!$C$38-V14</f>
        <v>50000</v>
      </c>
    </row>
    <row r="15" spans="3:22" x14ac:dyDescent="0.25">
      <c r="E15" s="2">
        <f>Tabela1[[#This Row],[Ano]]+'Planejamento Financeiro'!$M$11</f>
        <v>31</v>
      </c>
      <c r="F15" s="1">
        <f t="shared" si="0"/>
        <v>11</v>
      </c>
      <c r="G15" s="4">
        <f>Tabela1[[#This Row],[TotalAcumulado]]-Tabela1[[#This Row],[Total Investido]]</f>
        <v>90361.738220778294</v>
      </c>
      <c r="H15" s="5">
        <f>H14+('Planejamento Financeiro'!$C$14*12)</f>
        <v>72000</v>
      </c>
      <c r="I15" s="4">
        <f>Tabela1[[#This Row],[Juros]]</f>
        <v>90361.738220778294</v>
      </c>
      <c r="J15" s="4">
        <f>-FV('Base Dash acum'!$C$3,Tabela1[[#This Row],[Ano]]*12,'Planejamento Financeiro'!$C$14,'Planejamento Financeiro'!$C$11,)</f>
        <v>162361.73822077829</v>
      </c>
      <c r="O15" s="2">
        <f t="shared" si="1"/>
        <v>11</v>
      </c>
      <c r="P15" s="2">
        <f>Tabela46[[#This Row],[ANO]]+'Planejamento Financeiro'!$M$14</f>
        <v>61</v>
      </c>
      <c r="Q15" s="5">
        <f t="shared" si="2"/>
        <v>-8103055.104715365</v>
      </c>
      <c r="R15" s="5">
        <f>'Planejamento Financeiro'!$C$26*Tabela46[[#This Row],[PL]]+('Planejamento Financeiro'!$C$32*12)</f>
        <v>-541222.92586212035</v>
      </c>
      <c r="S15" s="3">
        <f>Tabela46[[#This Row],[GASTO MÊS]]*12</f>
        <v>600000</v>
      </c>
      <c r="T15" s="5">
        <f>'Planejamento Financeiro'!$C$38-V15</f>
        <v>50000</v>
      </c>
    </row>
    <row r="16" spans="3:22" x14ac:dyDescent="0.25">
      <c r="E16" s="2">
        <f>Tabela1[[#This Row],[Ano]]+'Planejamento Financeiro'!$M$11</f>
        <v>32</v>
      </c>
      <c r="F16" s="1">
        <f t="shared" si="0"/>
        <v>12</v>
      </c>
      <c r="G16" s="4">
        <f>Tabela1[[#This Row],[TotalAcumulado]]-Tabela1[[#This Row],[Total Investido]]</f>
        <v>111950.37211479648</v>
      </c>
      <c r="H16" s="5">
        <f>H15+('Planejamento Financeiro'!$C$14*12)</f>
        <v>78000</v>
      </c>
      <c r="I16" s="4">
        <f>Tabela1[[#This Row],[Juros]]</f>
        <v>111950.37211479648</v>
      </c>
      <c r="J16" s="4">
        <f>-FV('Base Dash acum'!$C$3,Tabela1[[#This Row],[Ano]]*12,'Planejamento Financeiro'!$C$14,'Planejamento Financeiro'!$C$11,)</f>
        <v>189950.37211479648</v>
      </c>
      <c r="O16" s="2">
        <f t="shared" si="1"/>
        <v>12</v>
      </c>
      <c r="P16" s="2">
        <f>Tabela46[[#This Row],[ANO]]+'Planejamento Financeiro'!$M$14</f>
        <v>62</v>
      </c>
      <c r="Q16" s="5">
        <f t="shared" si="2"/>
        <v>-9244278.0305774845</v>
      </c>
      <c r="R16" s="5">
        <f>'Planejamento Financeiro'!$C$26*Tabela46[[#This Row],[PL]]+('Planejamento Financeiro'!$C$32*12)</f>
        <v>-617448.00430649577</v>
      </c>
      <c r="S16" s="3">
        <f>Tabela46[[#This Row],[GASTO MÊS]]*12</f>
        <v>600000</v>
      </c>
      <c r="T16" s="5">
        <f>'Planejamento Financeiro'!$C$38-V16</f>
        <v>50000</v>
      </c>
    </row>
    <row r="17" spans="5:20" x14ac:dyDescent="0.25">
      <c r="E17" s="2">
        <f>Tabela1[[#This Row],[Ano]]+'Planejamento Financeiro'!$M$11</f>
        <v>33</v>
      </c>
      <c r="F17" s="1">
        <f t="shared" si="0"/>
        <v>13</v>
      </c>
      <c r="G17" s="4">
        <f>Tabela1[[#This Row],[TotalAcumulado]]-Tabela1[[#This Row],[Total Investido]]</f>
        <v>137147.59932215229</v>
      </c>
      <c r="H17" s="5">
        <f>H16+('Planejamento Financeiro'!$C$14*12)</f>
        <v>84000</v>
      </c>
      <c r="I17" s="4">
        <f>Tabela1[[#This Row],[Juros]]</f>
        <v>137147.59932215229</v>
      </c>
      <c r="J17" s="4">
        <f>-FV('Base Dash acum'!$C$3,Tabela1[[#This Row],[Ano]]*12,'Planejamento Financeiro'!$C$14,'Planejamento Financeiro'!$C$11,)</f>
        <v>221147.59932215229</v>
      </c>
      <c r="O17" s="2">
        <f t="shared" si="1"/>
        <v>13</v>
      </c>
      <c r="P17" s="2">
        <f>Tabela46[[#This Row],[ANO]]+'Planejamento Financeiro'!$M$14</f>
        <v>63</v>
      </c>
      <c r="Q17" s="5">
        <f t="shared" si="2"/>
        <v>-10461726.03488398</v>
      </c>
      <c r="R17" s="5">
        <f>'Planejamento Financeiro'!$C$26*Tabela46[[#This Row],[PL]]+('Planejamento Financeiro'!$C$32*12)</f>
        <v>-698764.34270734468</v>
      </c>
      <c r="S17" s="3">
        <f>Tabela46[[#This Row],[GASTO MÊS]]*12</f>
        <v>600000</v>
      </c>
      <c r="T17" s="5">
        <f>'Planejamento Financeiro'!$C$38-V17</f>
        <v>50000</v>
      </c>
    </row>
    <row r="18" spans="5:20" x14ac:dyDescent="0.25">
      <c r="E18" s="2">
        <f>Tabela1[[#This Row],[Ano]]+'Planejamento Financeiro'!$M$11</f>
        <v>34</v>
      </c>
      <c r="F18" s="1">
        <f t="shared" si="0"/>
        <v>14</v>
      </c>
      <c r="G18" s="4">
        <f>Tabela1[[#This Row],[TotalAcumulado]]-Tabela1[[#This Row],[Total Investido]]</f>
        <v>166425.42384823036</v>
      </c>
      <c r="H18" s="5">
        <f>H17+('Planejamento Financeiro'!$C$14*12)</f>
        <v>90000</v>
      </c>
      <c r="I18" s="4">
        <f>Tabela1[[#This Row],[Juros]]</f>
        <v>166425.42384823036</v>
      </c>
      <c r="J18" s="4">
        <f>-FV('Base Dash acum'!$C$3,Tabela1[[#This Row],[Ano]]*12,'Planejamento Financeiro'!$C$14,'Planejamento Financeiro'!$C$11,)</f>
        <v>256425.42384823036</v>
      </c>
      <c r="O18" s="2">
        <f t="shared" si="1"/>
        <v>14</v>
      </c>
      <c r="P18" s="2">
        <f>Tabela46[[#This Row],[ANO]]+'Planejamento Financeiro'!$M$14</f>
        <v>64</v>
      </c>
      <c r="Q18" s="5">
        <f t="shared" si="2"/>
        <v>-11760490.377591325</v>
      </c>
      <c r="R18" s="5">
        <f>'Planejamento Financeiro'!$C$26*Tabela46[[#This Row],[PL]]+('Planejamento Financeiro'!$C$32*12)</f>
        <v>-785511.99880515598</v>
      </c>
      <c r="S18" s="3">
        <f>Tabela46[[#This Row],[GASTO MÊS]]*12</f>
        <v>600000</v>
      </c>
      <c r="T18" s="5">
        <f>'Planejamento Financeiro'!$C$38-V18</f>
        <v>50000</v>
      </c>
    </row>
    <row r="19" spans="5:20" x14ac:dyDescent="0.25">
      <c r="E19" s="2">
        <f>Tabela1[[#This Row],[Ano]]+'Planejamento Financeiro'!$M$11</f>
        <v>35</v>
      </c>
      <c r="F19" s="1">
        <f t="shared" si="0"/>
        <v>15</v>
      </c>
      <c r="G19" s="4">
        <f>Tabela1[[#This Row],[TotalAcumulado]]-Tabela1[[#This Row],[Total Investido]]</f>
        <v>200317.58782231947</v>
      </c>
      <c r="H19" s="5">
        <f>H18+('Planejamento Financeiro'!$C$14*12)</f>
        <v>96000</v>
      </c>
      <c r="I19" s="4">
        <f>Tabela1[[#This Row],[Juros]]</f>
        <v>200317.58782231947</v>
      </c>
      <c r="J19" s="4">
        <f>-FV('Base Dash acum'!$C$3,Tabela1[[#This Row],[Ano]]*12,'Planejamento Financeiro'!$C$14,'Planejamento Financeiro'!$C$11,)</f>
        <v>296317.58782231947</v>
      </c>
      <c r="O19" s="2">
        <f t="shared" si="1"/>
        <v>15</v>
      </c>
      <c r="P19" s="2">
        <f>Tabela46[[#This Row],[ANO]]+'Planejamento Financeiro'!$M$14</f>
        <v>65</v>
      </c>
      <c r="Q19" s="5">
        <f t="shared" si="2"/>
        <v>-13146002.376396481</v>
      </c>
      <c r="R19" s="5">
        <f>'Planejamento Financeiro'!$C$26*Tabela46[[#This Row],[PL]]+('Planejamento Financeiro'!$C$32*12)</f>
        <v>-878053.74363100971</v>
      </c>
      <c r="S19" s="3">
        <f>Tabela46[[#This Row],[GASTO MÊS]]*12</f>
        <v>600000</v>
      </c>
      <c r="T19" s="5">
        <f>'Planejamento Financeiro'!$C$38-V19</f>
        <v>50000</v>
      </c>
    </row>
    <row r="20" spans="5:20" x14ac:dyDescent="0.25">
      <c r="E20" s="2">
        <f>Tabela1[[#This Row],[Ano]]+'Planejamento Financeiro'!$M$11</f>
        <v>36</v>
      </c>
      <c r="F20" s="1">
        <f t="shared" si="0"/>
        <v>16</v>
      </c>
      <c r="G20" s="4">
        <f>Tabela1[[#This Row],[TotalAcumulado]]-Tabela1[[#This Row],[Total Investido]]</f>
        <v>239427.64684421947</v>
      </c>
      <c r="H20" s="5">
        <f>H19+('Planejamento Financeiro'!$C$14*12)</f>
        <v>102000</v>
      </c>
      <c r="I20" s="4">
        <f>Tabela1[[#This Row],[Juros]]</f>
        <v>239427.64684421947</v>
      </c>
      <c r="J20" s="4">
        <f>-FV('Base Dash acum'!$C$3,Tabela1[[#This Row],[Ano]]*12,'Planejamento Financeiro'!$C$14,'Planejamento Financeiro'!$C$11,)</f>
        <v>341427.64684421947</v>
      </c>
      <c r="O20" s="2">
        <f t="shared" si="1"/>
        <v>16</v>
      </c>
      <c r="P20" s="2">
        <f>Tabela46[[#This Row],[ANO]]+'Planejamento Financeiro'!$M$14</f>
        <v>66</v>
      </c>
      <c r="Q20" s="5">
        <f t="shared" si="2"/>
        <v>-14624056.12002749</v>
      </c>
      <c r="R20" s="5">
        <f>'Planejamento Financeiro'!$C$26*Tabela46[[#This Row],[PL]]+('Planejamento Financeiro'!$C$32*12)</f>
        <v>-976776.57858296763</v>
      </c>
      <c r="S20" s="3">
        <f>Tabela46[[#This Row],[GASTO MÊS]]*12</f>
        <v>600000</v>
      </c>
      <c r="T20" s="5">
        <f>'Planejamento Financeiro'!$C$38-V20</f>
        <v>50000</v>
      </c>
    </row>
    <row r="21" spans="5:20" x14ac:dyDescent="0.25">
      <c r="E21" s="2">
        <f>Tabela1[[#This Row],[Ano]]+'Planejamento Financeiro'!$M$11</f>
        <v>37</v>
      </c>
      <c r="F21" s="1">
        <f t="shared" si="0"/>
        <v>17</v>
      </c>
      <c r="G21" s="4">
        <f>Tabela1[[#This Row],[TotalAcumulado]]-Tabela1[[#This Row],[Total Investido]]</f>
        <v>284438.10158618412</v>
      </c>
      <c r="H21" s="5">
        <f>H20+('Planejamento Financeiro'!$C$14*12)</f>
        <v>108000</v>
      </c>
      <c r="I21" s="4">
        <f>Tabela1[[#This Row],[Juros]]</f>
        <v>284438.10158618412</v>
      </c>
      <c r="J21" s="4">
        <f>-FV('Base Dash acum'!$C$3,Tabela1[[#This Row],[Ano]]*12,'Planejamento Financeiro'!$C$14,'Planejamento Financeiro'!$C$11,)</f>
        <v>392438.10158618412</v>
      </c>
      <c r="O21" s="2">
        <f t="shared" si="1"/>
        <v>17</v>
      </c>
      <c r="P21" s="2">
        <f>Tabela46[[#This Row],[ANO]]+'Planejamento Financeiro'!$M$14</f>
        <v>67</v>
      </c>
      <c r="Q21" s="5">
        <f t="shared" si="2"/>
        <v>-16200832.698610459</v>
      </c>
      <c r="R21" s="5">
        <f>'Planejamento Financeiro'!$C$26*Tabela46[[#This Row],[PL]]+('Planejamento Financeiro'!$C$32*12)</f>
        <v>-1082093.3538317168</v>
      </c>
      <c r="S21" s="3">
        <f>Tabela46[[#This Row],[GASTO MÊS]]*12</f>
        <v>600000</v>
      </c>
      <c r="T21" s="5">
        <f>'Planejamento Financeiro'!$C$38-V21</f>
        <v>50000</v>
      </c>
    </row>
    <row r="22" spans="5:20" x14ac:dyDescent="0.25">
      <c r="E22" s="2">
        <f>Tabela1[[#This Row],[Ano]]+'Planejamento Financeiro'!$M$11</f>
        <v>38</v>
      </c>
      <c r="F22" s="1">
        <f t="shared" si="0"/>
        <v>18</v>
      </c>
      <c r="G22" s="4">
        <f>Tabela1[[#This Row],[TotalAcumulado]]-Tabela1[[#This Row],[Total Investido]]</f>
        <v>336120.72380839783</v>
      </c>
      <c r="H22" s="5">
        <f>H21+('Planejamento Financeiro'!$C$14*12)</f>
        <v>114000</v>
      </c>
      <c r="I22" s="4">
        <f>Tabela1[[#This Row],[Juros]]</f>
        <v>336120.72380839783</v>
      </c>
      <c r="J22" s="4">
        <f>-FV('Base Dash acum'!$C$3,Tabela1[[#This Row],[Ano]]*12,'Planejamento Financeiro'!$C$14,'Planejamento Financeiro'!$C$11,)</f>
        <v>450120.72380839783</v>
      </c>
      <c r="O22" s="2">
        <f t="shared" si="1"/>
        <v>18</v>
      </c>
      <c r="P22" s="2">
        <f>Tabela46[[#This Row],[ANO]]+'Planejamento Financeiro'!$M$14</f>
        <v>68</v>
      </c>
      <c r="Q22" s="5">
        <f t="shared" si="2"/>
        <v>-17882926.052442174</v>
      </c>
      <c r="R22" s="5">
        <f>'Planejamento Financeiro'!$C$26*Tabela46[[#This Row],[PL]]+('Planejamento Financeiro'!$C$32*12)</f>
        <v>-1194444.4948234956</v>
      </c>
      <c r="S22" s="3">
        <f>Tabela46[[#This Row],[GASTO MÊS]]*12</f>
        <v>600000</v>
      </c>
      <c r="T22" s="5">
        <f>'Planejamento Financeiro'!$C$38-V22</f>
        <v>50000</v>
      </c>
    </row>
    <row r="23" spans="5:20" x14ac:dyDescent="0.25">
      <c r="E23" s="2">
        <f>Tabela1[[#This Row],[Ano]]+'Planejamento Financeiro'!$M$11</f>
        <v>39</v>
      </c>
      <c r="F23" s="1">
        <f t="shared" si="0"/>
        <v>19</v>
      </c>
      <c r="G23" s="4">
        <f>Tabela1[[#This Row],[TotalAcumulado]]-Tabela1[[#This Row],[Total Investido]]</f>
        <v>395348.23301727697</v>
      </c>
      <c r="H23" s="5">
        <f>H22+('Planejamento Financeiro'!$C$14*12)</f>
        <v>120000</v>
      </c>
      <c r="I23" s="4">
        <f>Tabela1[[#This Row],[Juros]]</f>
        <v>395348.23301727697</v>
      </c>
      <c r="J23" s="4">
        <f>-FV('Base Dash acum'!$C$3,Tabela1[[#This Row],[Ano]]*12,'Planejamento Financeiro'!$C$14,'Planejamento Financeiro'!$C$11,)</f>
        <v>515348.23301727697</v>
      </c>
      <c r="O23" s="2">
        <f t="shared" si="1"/>
        <v>19</v>
      </c>
      <c r="P23" s="2">
        <f>Tabela46[[#This Row],[ANO]]+'Planejamento Financeiro'!$M$14</f>
        <v>69</v>
      </c>
      <c r="Q23" s="5">
        <f t="shared" si="2"/>
        <v>-19677370.547265671</v>
      </c>
      <c r="R23" s="5">
        <f>'Planejamento Financeiro'!$C$26*Tabela46[[#This Row],[PL]]+('Planejamento Financeiro'!$C$32*12)</f>
        <v>-1314299.8441003857</v>
      </c>
      <c r="S23" s="3">
        <f>Tabela46[[#This Row],[GASTO MÊS]]*12</f>
        <v>600000</v>
      </c>
      <c r="T23" s="5">
        <f>'Planejamento Financeiro'!$C$38-V23</f>
        <v>50000</v>
      </c>
    </row>
    <row r="24" spans="5:20" x14ac:dyDescent="0.25">
      <c r="E24" s="2">
        <f>Tabela1[[#This Row],[Ano]]+'Planejamento Financeiro'!$M$11</f>
        <v>40</v>
      </c>
      <c r="F24" s="1">
        <f t="shared" si="0"/>
        <v>20</v>
      </c>
      <c r="G24" s="4">
        <f>Tabela1[[#This Row],[TotalAcumulado]]-Tabela1[[#This Row],[Total Investido]]</f>
        <v>463107.50043067778</v>
      </c>
      <c r="H24" s="5">
        <f>H23+('Planejamento Financeiro'!$C$14*12)</f>
        <v>126000</v>
      </c>
      <c r="I24" s="4">
        <f>Tabela1[[#This Row],[Juros]]</f>
        <v>463107.50043067778</v>
      </c>
      <c r="J24" s="4">
        <f>-FV('Base Dash acum'!$C$3,Tabela1[[#This Row],[Ano]]*12,'Planejamento Financeiro'!$C$14,'Planejamento Financeiro'!$C$11,)</f>
        <v>589107.50043067778</v>
      </c>
      <c r="O24" s="2">
        <f t="shared" si="1"/>
        <v>20</v>
      </c>
      <c r="P24" s="2">
        <f>Tabela46[[#This Row],[ANO]]+'Planejamento Financeiro'!$M$14</f>
        <v>70</v>
      </c>
      <c r="Q24" s="5">
        <f t="shared" si="2"/>
        <v>-21591670.391366057</v>
      </c>
      <c r="R24" s="5">
        <f>'Planejamento Financeiro'!$C$26*Tabela46[[#This Row],[PL]]+('Planejamento Financeiro'!$C$32*12)</f>
        <v>-1442160.6261402981</v>
      </c>
      <c r="S24" s="3">
        <f>Tabela46[[#This Row],[GASTO MÊS]]*12</f>
        <v>600000</v>
      </c>
      <c r="T24" s="5">
        <f>'Planejamento Financeiro'!$C$38-V24</f>
        <v>50000</v>
      </c>
    </row>
    <row r="25" spans="5:20" x14ac:dyDescent="0.25">
      <c r="E25" s="2">
        <f>Tabela1[[#This Row],[Ano]]+'Planejamento Financeiro'!$M$11</f>
        <v>41</v>
      </c>
      <c r="F25" s="1">
        <f t="shared" si="0"/>
        <v>21</v>
      </c>
      <c r="G25" s="4">
        <f>Tabela1[[#This Row],[TotalAcumulado]]-Tabela1[[#This Row],[Total Investido]]</f>
        <v>540514.4800217516</v>
      </c>
      <c r="H25" s="5">
        <f>H24+('Planejamento Financeiro'!$C$14*12)</f>
        <v>132000</v>
      </c>
      <c r="I25" s="4">
        <f>Tabela1[[#This Row],[Juros]]</f>
        <v>540514.4800217516</v>
      </c>
      <c r="J25" s="4">
        <f>-FV('Base Dash acum'!$C$3,Tabela1[[#This Row],[Ano]]*12,'Planejamento Financeiro'!$C$14,'Planejamento Financeiro'!$C$11,)</f>
        <v>672514.4800217516</v>
      </c>
      <c r="O25" s="2">
        <f t="shared" si="1"/>
        <v>21</v>
      </c>
      <c r="P25" s="2">
        <f>Tabela46[[#This Row],[ANO]]+'Planejamento Financeiro'!$M$14</f>
        <v>71</v>
      </c>
      <c r="Q25" s="5">
        <f t="shared" si="2"/>
        <v>-23633831.017506354</v>
      </c>
      <c r="R25" s="5">
        <f>'Planejamento Financeiro'!$C$26*Tabela46[[#This Row],[PL]]+('Planejamento Financeiro'!$C$32*12)</f>
        <v>-1578561.5434334422</v>
      </c>
      <c r="S25" s="3">
        <f>Tabela46[[#This Row],[GASTO MÊS]]*12</f>
        <v>600000</v>
      </c>
      <c r="T25" s="5">
        <f>'Planejamento Financeiro'!$C$38-V25</f>
        <v>50000</v>
      </c>
    </row>
    <row r="26" spans="5:20" x14ac:dyDescent="0.25">
      <c r="E26" s="2">
        <f>Tabela1[[#This Row],[Ano]]+'Planejamento Financeiro'!$M$11</f>
        <v>42</v>
      </c>
      <c r="F26" s="1">
        <f t="shared" si="0"/>
        <v>22</v>
      </c>
      <c r="G26" s="4">
        <f>Tabela1[[#This Row],[TotalAcumulado]]-Tabela1[[#This Row],[Total Investido]]</f>
        <v>628831.09254333808</v>
      </c>
      <c r="H26" s="5">
        <f>H25+('Planejamento Financeiro'!$C$14*12)</f>
        <v>138000</v>
      </c>
      <c r="I26" s="4">
        <f>Tabela1[[#This Row],[Juros]]</f>
        <v>628831.09254333808</v>
      </c>
      <c r="J26" s="4">
        <f>-FV('Base Dash acum'!$C$3,Tabela1[[#This Row],[Ano]]*12,'Planejamento Financeiro'!$C$14,'Planejamento Financeiro'!$C$11,)</f>
        <v>766831.09254333808</v>
      </c>
      <c r="O26" s="2">
        <f t="shared" si="1"/>
        <v>22</v>
      </c>
      <c r="P26" s="2">
        <f>Tabela46[[#This Row],[ANO]]+'Planejamento Financeiro'!$M$14</f>
        <v>72</v>
      </c>
      <c r="Q26" s="5">
        <f t="shared" si="2"/>
        <v>-25812392.560939796</v>
      </c>
      <c r="R26" s="5">
        <f>'Planejamento Financeiro'!$C$26*Tabela46[[#This Row],[PL]]+('Planejamento Financeiro'!$C$32*12)</f>
        <v>-1724073.0125608835</v>
      </c>
      <c r="S26" s="3">
        <f>Tabela46[[#This Row],[GASTO MÊS]]*12</f>
        <v>600000</v>
      </c>
      <c r="T26" s="5">
        <f>'Planejamento Financeiro'!$C$38-V26</f>
        <v>50000</v>
      </c>
    </row>
    <row r="27" spans="5:20" x14ac:dyDescent="0.25">
      <c r="E27" s="2">
        <f>Tabela1[[#This Row],[Ano]]+'Planejamento Financeiro'!$M$11</f>
        <v>43</v>
      </c>
      <c r="F27" s="1">
        <f t="shared" si="0"/>
        <v>23</v>
      </c>
      <c r="G27" s="4">
        <f>Tabela1[[#This Row],[TotalAcumulado]]-Tabela1[[#This Row],[Total Investido]]</f>
        <v>729484.31798274803</v>
      </c>
      <c r="H27" s="5">
        <f>H26+('Planejamento Financeiro'!$C$14*12)</f>
        <v>144000</v>
      </c>
      <c r="I27" s="4">
        <f>Tabela1[[#This Row],[Juros]]</f>
        <v>729484.31798274803</v>
      </c>
      <c r="J27" s="4">
        <f>-FV('Base Dash acum'!$C$3,Tabela1[[#This Row],[Ano]]*12,'Planejamento Financeiro'!$C$14,'Planejamento Financeiro'!$C$11,)</f>
        <v>873484.31798274803</v>
      </c>
      <c r="O27" s="2">
        <f t="shared" si="1"/>
        <v>23</v>
      </c>
      <c r="P27" s="2">
        <f>Tabela46[[#This Row],[ANO]]+'Planejamento Financeiro'!$M$14</f>
        <v>73</v>
      </c>
      <c r="Q27" s="5">
        <f t="shared" si="2"/>
        <v>-28136465.573500678</v>
      </c>
      <c r="R27" s="5">
        <f>'Planejamento Financeiro'!$C$26*Tabela46[[#This Row],[PL]]+('Planejamento Financeiro'!$C$32*12)</f>
        <v>-1879303.5496262705</v>
      </c>
      <c r="S27" s="3">
        <f>Tabela46[[#This Row],[GASTO MÊS]]*12</f>
        <v>600000</v>
      </c>
      <c r="T27" s="5">
        <f>'Planejamento Financeiro'!$C$38-V27</f>
        <v>50000</v>
      </c>
    </row>
    <row r="28" spans="5:20" x14ac:dyDescent="0.25">
      <c r="E28" s="2">
        <f>Tabela1[[#This Row],[Ano]]+'Planejamento Financeiro'!$M$11</f>
        <v>44</v>
      </c>
      <c r="F28" s="1">
        <f t="shared" si="0"/>
        <v>24</v>
      </c>
      <c r="G28" s="4">
        <f>Tabela1[[#This Row],[TotalAcumulado]]-Tabela1[[#This Row],[Total Investido]]</f>
        <v>844087.78530963289</v>
      </c>
      <c r="H28" s="5">
        <f>H27+('Planejamento Financeiro'!$C$14*12)</f>
        <v>150000</v>
      </c>
      <c r="I28" s="4">
        <f>Tabela1[[#This Row],[Juros]]</f>
        <v>844087.78530963289</v>
      </c>
      <c r="J28" s="4">
        <f>-FV('Base Dash acum'!$C$3,Tabela1[[#This Row],[Ano]]*12,'Planejamento Financeiro'!$C$14,'Planejamento Financeiro'!$C$11,)</f>
        <v>994087.78530963289</v>
      </c>
      <c r="O28" s="2">
        <f t="shared" si="1"/>
        <v>24</v>
      </c>
      <c r="P28" s="2">
        <f>Tabela46[[#This Row],[ANO]]+'Planejamento Financeiro'!$M$14</f>
        <v>74</v>
      </c>
      <c r="Q28" s="5">
        <f t="shared" si="2"/>
        <v>-30615769.12312695</v>
      </c>
      <c r="R28" s="5">
        <f>'Planejamento Financeiro'!$C$26*Tabela46[[#This Row],[PL]]+('Planejamento Financeiro'!$C$32*12)</f>
        <v>-2044902.3150164026</v>
      </c>
      <c r="S28" s="3">
        <f>Tabela46[[#This Row],[GASTO MÊS]]*12</f>
        <v>600000</v>
      </c>
      <c r="T28" s="5">
        <f>'Planejamento Financeiro'!$C$38-V28</f>
        <v>50000</v>
      </c>
    </row>
    <row r="29" spans="5:20" x14ac:dyDescent="0.25">
      <c r="E29" s="2">
        <f>Tabela1[[#This Row],[Ano]]+'Planejamento Financeiro'!$M$11</f>
        <v>45</v>
      </c>
      <c r="F29" s="1">
        <f t="shared" si="0"/>
        <v>25</v>
      </c>
      <c r="G29" s="4">
        <f>Tabela1[[#This Row],[TotalAcumulado]]-Tabela1[[#This Row],[Total Investido]]</f>
        <v>974466.18616287457</v>
      </c>
      <c r="H29" s="5">
        <f>H28+('Planejamento Financeiro'!$C$14*12)</f>
        <v>156000</v>
      </c>
      <c r="I29" s="4">
        <f>Tabela1[[#This Row],[Juros]]</f>
        <v>974466.18616287457</v>
      </c>
      <c r="J29" s="4">
        <f>-FV('Base Dash acum'!$C$3,Tabela1[[#This Row],[Ano]]*12,'Planejamento Financeiro'!$C$14,'Planejamento Financeiro'!$C$11,)</f>
        <v>1130466.1861628746</v>
      </c>
      <c r="O29" s="2">
        <f t="shared" si="1"/>
        <v>25</v>
      </c>
      <c r="P29" s="2">
        <f>Tabela46[[#This Row],[ANO]]+'Planejamento Financeiro'!$M$14</f>
        <v>75</v>
      </c>
      <c r="Q29" s="5">
        <f t="shared" si="2"/>
        <v>-33260671.438143354</v>
      </c>
      <c r="R29" s="5">
        <f>'Planejamento Financeiro'!$C$26*Tabela46[[#This Row],[PL]]+('Planejamento Financeiro'!$C$32*12)</f>
        <v>-2221561.8281325926</v>
      </c>
      <c r="S29" s="3">
        <f>Tabela46[[#This Row],[GASTO MÊS]]*12</f>
        <v>600000</v>
      </c>
      <c r="T29" s="5">
        <f>'Planejamento Financeiro'!$C$38-V29</f>
        <v>50000</v>
      </c>
    </row>
    <row r="30" spans="5:20" x14ac:dyDescent="0.25">
      <c r="E30" s="2">
        <f>Tabela1[[#This Row],[Ano]]+'Planejamento Financeiro'!$M$11</f>
        <v>46</v>
      </c>
      <c r="F30" s="1">
        <f t="shared" si="0"/>
        <v>26</v>
      </c>
      <c r="G30" s="4">
        <f>Tabela1[[#This Row],[TotalAcumulado]]-Tabela1[[#This Row],[Total Investido]]</f>
        <v>1122682.8818477206</v>
      </c>
      <c r="H30" s="5">
        <f>H29+('Planejamento Financeiro'!$C$14*12)</f>
        <v>162000</v>
      </c>
      <c r="I30" s="4">
        <f>Tabela1[[#This Row],[Juros]]</f>
        <v>1122682.8818477206</v>
      </c>
      <c r="J30" s="4">
        <f>-FV('Base Dash acum'!$C$3,Tabela1[[#This Row],[Ano]]*12,'Planejamento Financeiro'!$C$14,'Planejamento Financeiro'!$C$11,)</f>
        <v>1284682.8818477206</v>
      </c>
      <c r="O30" s="2">
        <f t="shared" si="1"/>
        <v>26</v>
      </c>
      <c r="P30" s="2">
        <f>Tabela46[[#This Row],[ANO]]+'Planejamento Financeiro'!$M$14</f>
        <v>76</v>
      </c>
      <c r="Q30" s="5">
        <f t="shared" si="2"/>
        <v>-36082233.26627595</v>
      </c>
      <c r="R30" s="5">
        <f>'Planejamento Financeiro'!$C$26*Tabela46[[#This Row],[PL]]+('Planejamento Financeiro'!$C$32*12)</f>
        <v>-2410020.8634456</v>
      </c>
      <c r="S30" s="3">
        <f>Tabela46[[#This Row],[GASTO MÊS]]*12</f>
        <v>600000</v>
      </c>
      <c r="T30" s="5">
        <f>'Planejamento Financeiro'!$C$38-V30</f>
        <v>50000</v>
      </c>
    </row>
    <row r="31" spans="5:20" x14ac:dyDescent="0.25">
      <c r="E31" s="2"/>
      <c r="F31" s="1"/>
      <c r="G31" s="4"/>
      <c r="H31" s="5"/>
      <c r="I31" s="4"/>
      <c r="J31" s="4"/>
      <c r="O31" s="2">
        <f t="shared" si="1"/>
        <v>27</v>
      </c>
      <c r="P31" s="2">
        <f>Tabela46[[#This Row],[ANO]]+'Planejamento Financeiro'!$M$14</f>
        <v>77</v>
      </c>
      <c r="Q31" s="5">
        <f t="shared" si="2"/>
        <v>-39092254.129721552</v>
      </c>
      <c r="R31" s="5">
        <f>'Planejamento Financeiro'!$C$26*Tabela46[[#This Row],[PL]]+('Planejamento Financeiro'!$C$32*12)</f>
        <v>-2611067.5399851738</v>
      </c>
      <c r="S31" s="3">
        <f>Tabela46[[#This Row],[GASTO MÊS]]*12</f>
        <v>600000</v>
      </c>
      <c r="T31" s="5">
        <f>'Planejamento Financeiro'!$C$38-V31</f>
        <v>50000</v>
      </c>
    </row>
    <row r="32" spans="5:20" x14ac:dyDescent="0.25">
      <c r="E32" s="2"/>
      <c r="F32" s="1"/>
      <c r="G32" s="4"/>
      <c r="H32" s="5"/>
      <c r="I32" s="4"/>
      <c r="J32" s="4"/>
      <c r="O32" s="2">
        <f t="shared" si="1"/>
        <v>28</v>
      </c>
      <c r="P32" s="2">
        <f>Tabela46[[#This Row],[ANO]]+'Planejamento Financeiro'!$M$14</f>
        <v>78</v>
      </c>
      <c r="Q32" s="5">
        <f t="shared" si="2"/>
        <v>-42303321.669706725</v>
      </c>
      <c r="R32" s="5">
        <f>'Planejamento Financeiro'!$C$26*Tabela46[[#This Row],[PL]]+('Planejamento Financeiro'!$C$32*12)</f>
        <v>-2825542.6171841836</v>
      </c>
      <c r="S32" s="3">
        <f>Tabela46[[#This Row],[GASTO MÊS]]*12</f>
        <v>600000</v>
      </c>
      <c r="T32" s="5">
        <f>'Planejamento Financeiro'!$C$38-V32</f>
        <v>50000</v>
      </c>
    </row>
    <row r="33" spans="5:20" x14ac:dyDescent="0.25">
      <c r="E33" s="2"/>
      <c r="F33" s="1"/>
      <c r="G33" s="4"/>
      <c r="H33" s="5"/>
      <c r="I33" s="4"/>
      <c r="J33" s="4"/>
      <c r="O33" s="2">
        <f t="shared" si="1"/>
        <v>29</v>
      </c>
      <c r="P33" s="2">
        <f>Tabela46[[#This Row],[ANO]]+'Planejamento Financeiro'!$M$14</f>
        <v>79</v>
      </c>
      <c r="Q33" s="5">
        <f t="shared" si="2"/>
        <v>-45728864.286890909</v>
      </c>
      <c r="R33" s="5">
        <f>'Planejamento Financeiro'!$C$26*Tabela46[[#This Row],[PL]]+('Planejamento Financeiro'!$C$32*12)</f>
        <v>-3054343.0108602592</v>
      </c>
      <c r="S33" s="3">
        <f>Tabela46[[#This Row],[GASTO MÊS]]*12</f>
        <v>600000</v>
      </c>
      <c r="T33" s="5">
        <f>'Planejamento Financeiro'!$C$38-V33</f>
        <v>50000</v>
      </c>
    </row>
    <row r="34" spans="5:20" x14ac:dyDescent="0.25">
      <c r="E34" s="2"/>
      <c r="F34" s="1"/>
      <c r="G34" s="4"/>
      <c r="H34" s="5"/>
      <c r="I34" s="4"/>
      <c r="J34" s="4"/>
      <c r="O34" s="2">
        <f t="shared" si="1"/>
        <v>30</v>
      </c>
      <c r="P34" s="2">
        <f>Tabela46[[#This Row],[ANO]]+'Planejamento Financeiro'!$M$14</f>
        <v>80</v>
      </c>
      <c r="Q34" s="5">
        <f t="shared" si="2"/>
        <v>-49383207.297751166</v>
      </c>
      <c r="R34" s="5">
        <f>'Planejamento Financeiro'!$C$26*Tabela46[[#This Row],[PL]]+('Planejamento Financeiro'!$C$32*12)</f>
        <v>-3298425.5440384722</v>
      </c>
      <c r="S34" s="3">
        <f>Tabela46[[#This Row],[GASTO MÊS]]*12</f>
        <v>600000</v>
      </c>
      <c r="T34" s="5">
        <f>'Planejamento Financeiro'!$C$38-V34</f>
        <v>50000</v>
      </c>
    </row>
    <row r="35" spans="5:20" x14ac:dyDescent="0.25">
      <c r="E35" s="2"/>
      <c r="F35" s="1"/>
      <c r="G35" s="4"/>
      <c r="H35" s="5"/>
      <c r="I35" s="4"/>
      <c r="J35" s="4"/>
      <c r="O35" s="2">
        <f t="shared" si="1"/>
        <v>31</v>
      </c>
      <c r="P35" s="2">
        <f>Tabela46[[#This Row],[ANO]]+'Planejamento Financeiro'!$M$14</f>
        <v>81</v>
      </c>
      <c r="Q35" s="5">
        <f t="shared" ref="Q35:Q45" si="3">Q34+R34-S34</f>
        <v>-53281632.84178964</v>
      </c>
      <c r="R35" s="5">
        <f>'Planejamento Financeiro'!$C$26*Tabela46[[#This Row],[PL]]+('Planejamento Financeiro'!$C$32*12)</f>
        <v>-3558810.9483006648</v>
      </c>
      <c r="S35" s="3">
        <f>Tabela46[[#This Row],[GASTO MÊS]]*12</f>
        <v>600000</v>
      </c>
      <c r="T35" s="5">
        <f>'Planejamento Financeiro'!$C$38-V35</f>
        <v>50000</v>
      </c>
    </row>
    <row r="36" spans="5:20" x14ac:dyDescent="0.25">
      <c r="E36" s="2"/>
      <c r="F36" s="1"/>
      <c r="G36" s="4"/>
      <c r="H36" s="5"/>
      <c r="I36" s="4"/>
      <c r="J36" s="4"/>
      <c r="O36" s="2">
        <f t="shared" si="1"/>
        <v>32</v>
      </c>
      <c r="P36" s="2">
        <f>Tabela46[[#This Row],[ANO]]+'Planejamento Financeiro'!$M$14</f>
        <v>82</v>
      </c>
      <c r="Q36" s="5">
        <f t="shared" si="3"/>
        <v>-57440443.790090308</v>
      </c>
      <c r="R36" s="5">
        <f>'Planejamento Financeiro'!$C$26*Tabela46[[#This Row],[PL]]+('Planejamento Financeiro'!$C$32*12)</f>
        <v>-3836588.1323947092</v>
      </c>
      <c r="S36" s="3">
        <f>Tabela46[[#This Row],[GASTO MÊS]]*12</f>
        <v>600000</v>
      </c>
      <c r="T36" s="5">
        <f>'Planejamento Financeiro'!$C$38-V36</f>
        <v>50000</v>
      </c>
    </row>
    <row r="37" spans="5:20" x14ac:dyDescent="0.25">
      <c r="E37" s="2"/>
      <c r="F37" s="1"/>
      <c r="G37" s="4"/>
      <c r="H37" s="5"/>
      <c r="I37" s="4"/>
      <c r="J37" s="4"/>
      <c r="O37" s="2">
        <f t="shared" si="1"/>
        <v>33</v>
      </c>
      <c r="P37" s="2">
        <f>Tabela46[[#This Row],[ANO]]+'Planejamento Financeiro'!$M$14</f>
        <v>83</v>
      </c>
      <c r="Q37" s="5">
        <f t="shared" si="3"/>
        <v>-61877031.922485016</v>
      </c>
      <c r="R37" s="5">
        <f>'Planejamento Financeiro'!$C$26*Tabela46[[#This Row],[PL]]+('Planejamento Financeiro'!$C$32*12)</f>
        <v>-4132918.7359546572</v>
      </c>
      <c r="S37" s="3">
        <f>Tabela46[[#This Row],[GASTO MÊS]]*12</f>
        <v>600000</v>
      </c>
      <c r="T37" s="5">
        <f>'Planejamento Financeiro'!$C$38-V37</f>
        <v>50000</v>
      </c>
    </row>
    <row r="38" spans="5:20" x14ac:dyDescent="0.25">
      <c r="E38" s="2"/>
      <c r="F38" s="1"/>
      <c r="G38" s="4"/>
      <c r="H38" s="5"/>
      <c r="I38" s="4"/>
      <c r="J38" s="4"/>
      <c r="O38" s="2">
        <f t="shared" si="1"/>
        <v>34</v>
      </c>
      <c r="P38" s="2">
        <f>Tabela46[[#This Row],[ANO]]+'Planejamento Financeiro'!$M$14</f>
        <v>84</v>
      </c>
      <c r="Q38" s="5">
        <f t="shared" si="3"/>
        <v>-66609950.658439673</v>
      </c>
      <c r="R38" s="5">
        <f>'Planejamento Financeiro'!$C$26*Tabela46[[#This Row],[PL]]+('Planejamento Financeiro'!$C$32*12)</f>
        <v>-4449041.9873750247</v>
      </c>
      <c r="S38" s="3">
        <f>Tabela46[[#This Row],[GASTO MÊS]]*12</f>
        <v>600000</v>
      </c>
      <c r="T38" s="5">
        <f>'Planejamento Financeiro'!$C$38-V38</f>
        <v>50000</v>
      </c>
    </row>
    <row r="39" spans="5:20" x14ac:dyDescent="0.25">
      <c r="E39" s="2"/>
      <c r="F39" s="1"/>
      <c r="G39" s="4"/>
      <c r="H39" s="5"/>
      <c r="I39" s="4"/>
      <c r="J39" s="4"/>
      <c r="O39" s="2">
        <f t="shared" si="1"/>
        <v>35</v>
      </c>
      <c r="P39" s="2">
        <f>Tabela46[[#This Row],[ANO]]+'Planejamento Financeiro'!$M$14</f>
        <v>85</v>
      </c>
      <c r="Q39" s="5">
        <f t="shared" si="3"/>
        <v>-71658992.645814702</v>
      </c>
      <c r="R39" s="5">
        <f>'Planejamento Financeiro'!$C$26*Tabela46[[#This Row],[PL]]+('Planejamento Financeiro'!$C$32*12)</f>
        <v>-4786279.8861544132</v>
      </c>
      <c r="S39" s="3">
        <f>Tabela46[[#This Row],[GASTO MÊS]]*12</f>
        <v>600000</v>
      </c>
      <c r="T39" s="5">
        <f>'Planejamento Financeiro'!$C$38-V39</f>
        <v>50000</v>
      </c>
    </row>
    <row r="40" spans="5:20" x14ac:dyDescent="0.25">
      <c r="E40" s="2"/>
      <c r="F40" s="1"/>
      <c r="G40" s="4"/>
      <c r="H40" s="5"/>
      <c r="I40" s="4"/>
      <c r="J40" s="4"/>
      <c r="O40" s="2">
        <f t="shared" si="1"/>
        <v>36</v>
      </c>
      <c r="P40" s="2">
        <f>Tabela46[[#This Row],[ANO]]+'Planejamento Financeiro'!$M$14</f>
        <v>86</v>
      </c>
      <c r="Q40" s="5">
        <f t="shared" si="3"/>
        <v>-77045272.531969115</v>
      </c>
      <c r="R40" s="5">
        <f>'Planejamento Financeiro'!$C$26*Tabela46[[#This Row],[PL]]+('Planejamento Financeiro'!$C$32*12)</f>
        <v>-5146042.7313805753</v>
      </c>
      <c r="S40" s="3">
        <f>Tabela46[[#This Row],[GASTO MÊS]]*12</f>
        <v>600000</v>
      </c>
      <c r="T40" s="5">
        <f>'Planejamento Financeiro'!$C$38-V40</f>
        <v>50000</v>
      </c>
    </row>
    <row r="41" spans="5:20" x14ac:dyDescent="0.25">
      <c r="O41" s="2">
        <f t="shared" si="1"/>
        <v>37</v>
      </c>
      <c r="P41" s="2">
        <f>Tabela46[[#This Row],[ANO]]+'Planejamento Financeiro'!$M$14</f>
        <v>87</v>
      </c>
      <c r="Q41" s="5">
        <f t="shared" si="3"/>
        <v>-82791315.263349697</v>
      </c>
      <c r="R41" s="5">
        <f>'Planejamento Financeiro'!$C$26*Tabela46[[#This Row],[PL]]+('Planejamento Financeiro'!$C$32*12)</f>
        <v>-5529835.0194765618</v>
      </c>
      <c r="S41" s="3">
        <f>Tabela46[[#This Row],[GASTO MÊS]]*12</f>
        <v>600000</v>
      </c>
      <c r="T41" s="5">
        <f>'Planejamento Financeiro'!$C$38-V41</f>
        <v>50000</v>
      </c>
    </row>
    <row r="42" spans="5:20" x14ac:dyDescent="0.25">
      <c r="O42" s="2">
        <f t="shared" si="1"/>
        <v>38</v>
      </c>
      <c r="P42" s="2">
        <f>Tabela46[[#This Row],[ANO]]+'Planejamento Financeiro'!$M$14</f>
        <v>88</v>
      </c>
      <c r="Q42" s="5">
        <f t="shared" si="3"/>
        <v>-88921150.28282626</v>
      </c>
      <c r="R42" s="5">
        <f>'Planejamento Financeiro'!$C$26*Tabela46[[#This Row],[PL]]+('Planejamento Financeiro'!$C$32*12)</f>
        <v>-5939261.7358717881</v>
      </c>
      <c r="S42" s="3">
        <f>Tabela46[[#This Row],[GASTO MÊS]]*12</f>
        <v>600000</v>
      </c>
      <c r="T42" s="5">
        <f>'Planejamento Financeiro'!$C$38-V42</f>
        <v>50000</v>
      </c>
    </row>
    <row r="43" spans="5:20" x14ac:dyDescent="0.25">
      <c r="O43" s="2">
        <f t="shared" si="1"/>
        <v>39</v>
      </c>
      <c r="P43" s="2">
        <f>Tabela46[[#This Row],[ANO]]+'Planejamento Financeiro'!$M$14</f>
        <v>89</v>
      </c>
      <c r="Q43" s="5">
        <f t="shared" si="3"/>
        <v>-95460412.018698052</v>
      </c>
      <c r="R43" s="5">
        <f>'Planejamento Financeiro'!$C$26*Tabela46[[#This Row],[PL]]+('Planejamento Financeiro'!$C$32*12)</f>
        <v>-6376035.0669092629</v>
      </c>
      <c r="S43" s="3">
        <f>Tabela46[[#This Row],[GASTO MÊS]]*12</f>
        <v>600000</v>
      </c>
      <c r="T43" s="5">
        <f>'Planejamento Financeiro'!$C$38-V43</f>
        <v>50000</v>
      </c>
    </row>
    <row r="44" spans="5:20" x14ac:dyDescent="0.25">
      <c r="O44" s="2">
        <f t="shared" si="1"/>
        <v>40</v>
      </c>
      <c r="P44" s="2">
        <f>Tabela46[[#This Row],[ANO]]+'Planejamento Financeiro'!$M$14</f>
        <v>90</v>
      </c>
      <c r="Q44" s="5">
        <f t="shared" si="3"/>
        <v>-102436447.08560732</v>
      </c>
      <c r="R44" s="5">
        <f>'Planejamento Financeiro'!$C$26*Tabela46[[#This Row],[PL]]+('Planejamento Financeiro'!$C$32*12)</f>
        <v>-6841981.5600575414</v>
      </c>
      <c r="S44" s="3">
        <f>Tabela46[[#This Row],[GASTO MÊS]]*12</f>
        <v>600000</v>
      </c>
      <c r="T44" s="5">
        <f>'Planejamento Financeiro'!$C$38-V44</f>
        <v>50000</v>
      </c>
    </row>
    <row r="45" spans="5:20" x14ac:dyDescent="0.25">
      <c r="O45" s="2">
        <f t="shared" si="1"/>
        <v>41</v>
      </c>
      <c r="P45" s="2">
        <f>Tabela46[[#This Row],[ANO]]+'Planejamento Financeiro'!$M$14</f>
        <v>91</v>
      </c>
      <c r="Q45" s="5">
        <f t="shared" si="3"/>
        <v>-109878428.64566486</v>
      </c>
      <c r="R45" s="5">
        <f>'Planejamento Financeiro'!$C$26*Tabela46[[#This Row],[PL]]+('Planejamento Financeiro'!$C$32*12)</f>
        <v>-7339049.7623708183</v>
      </c>
      <c r="S45" s="3">
        <f>Tabela46[[#This Row],[GASTO MÊS]]*12</f>
        <v>600000</v>
      </c>
      <c r="T45" s="5">
        <f>'Planejamento Financeiro'!$C$38-V45</f>
        <v>50000</v>
      </c>
    </row>
    <row r="46" spans="5:20" x14ac:dyDescent="0.25">
      <c r="O46" s="2">
        <f t="shared" si="1"/>
        <v>42</v>
      </c>
      <c r="P46" s="2">
        <f>Tabela46[[#This Row],[ANO]]+'Planejamento Financeiro'!$M$14</f>
        <v>92</v>
      </c>
      <c r="Q46" s="5">
        <f t="shared" ref="Q46:Q54" si="4">Q45+R45-S45</f>
        <v>-117817478.40803568</v>
      </c>
      <c r="R46" s="5">
        <f>'Planejamento Financeiro'!$C$26*Tabela46[[#This Row],[PL]]+('Planejamento Financeiro'!$C$32*12)</f>
        <v>-7869318.3691404918</v>
      </c>
      <c r="S46" s="3">
        <f>Tabela46[[#This Row],[GASTO MÊS]]*12</f>
        <v>600000</v>
      </c>
      <c r="T46" s="5">
        <f>'Planejamento Financeiro'!$C$38-V46</f>
        <v>50000</v>
      </c>
    </row>
    <row r="47" spans="5:20" x14ac:dyDescent="0.25">
      <c r="O47" s="2">
        <f t="shared" si="1"/>
        <v>43</v>
      </c>
      <c r="P47" s="2">
        <f>Tabela46[[#This Row],[ANO]]+'Planejamento Financeiro'!$M$14</f>
        <v>93</v>
      </c>
      <c r="Q47" s="5">
        <f t="shared" si="4"/>
        <v>-126286796.77717617</v>
      </c>
      <c r="R47" s="5">
        <f>'Planejamento Financeiro'!$C$26*Tabela46[[#This Row],[PL]]+('Planejamento Financeiro'!$C$32*12)</f>
        <v>-8435004.916815158</v>
      </c>
      <c r="S47" s="3">
        <f>Tabela46[[#This Row],[GASTO MÊS]]*12</f>
        <v>600000</v>
      </c>
      <c r="T47" s="5">
        <f>'Planejamento Financeiro'!$C$38-V47</f>
        <v>50000</v>
      </c>
    </row>
    <row r="48" spans="5:20" x14ac:dyDescent="0.25">
      <c r="O48" s="2">
        <f t="shared" si="1"/>
        <v>44</v>
      </c>
      <c r="P48" s="2">
        <f>Tabela46[[#This Row],[ANO]]+'Planejamento Financeiro'!$M$14</f>
        <v>94</v>
      </c>
      <c r="Q48" s="5">
        <f t="shared" si="4"/>
        <v>-135321801.69399133</v>
      </c>
      <c r="R48" s="5">
        <f>'Planejamento Financeiro'!$C$26*Tabela46[[#This Row],[PL]]+('Planejamento Financeiro'!$C$32*12)</f>
        <v>-9038475.0565420575</v>
      </c>
      <c r="S48" s="3">
        <f>Tabela46[[#This Row],[GASTO MÊS]]*12</f>
        <v>600000</v>
      </c>
      <c r="T48" s="5">
        <f>'Planejamento Financeiro'!$C$38-V48</f>
        <v>50000</v>
      </c>
    </row>
    <row r="49" spans="15:20" x14ac:dyDescent="0.25">
      <c r="O49" s="2">
        <f t="shared" si="1"/>
        <v>45</v>
      </c>
      <c r="P49" s="2">
        <f>Tabela46[[#This Row],[ANO]]+'Planejamento Financeiro'!$M$14</f>
        <v>95</v>
      </c>
      <c r="Q49" s="5">
        <f t="shared" si="4"/>
        <v>-144960276.7505334</v>
      </c>
      <c r="R49" s="5">
        <f>'Planejamento Financeiro'!$C$26*Tabela46[[#This Row],[PL]]+('Planejamento Financeiro'!$C$32*12)</f>
        <v>-9682252.4471110944</v>
      </c>
      <c r="S49" s="3">
        <f>Tabela46[[#This Row],[GASTO MÊS]]*12</f>
        <v>600000</v>
      </c>
      <c r="T49" s="5">
        <f>'Planejamento Financeiro'!$C$38-V49</f>
        <v>50000</v>
      </c>
    </row>
    <row r="50" spans="15:20" x14ac:dyDescent="0.25">
      <c r="O50" s="2">
        <f t="shared" si="1"/>
        <v>46</v>
      </c>
      <c r="P50" s="2">
        <f>Tabela46[[#This Row],[ANO]]+'Planejamento Financeiro'!$M$14</f>
        <v>96</v>
      </c>
      <c r="Q50" s="5">
        <f t="shared" si="4"/>
        <v>-155242529.1976445</v>
      </c>
      <c r="R50" s="5">
        <f>'Planejamento Financeiro'!$C$26*Tabela46[[#This Row],[PL]]+('Planejamento Financeiro'!$C$32*12)</f>
        <v>-10369029.308672853</v>
      </c>
      <c r="S50" s="3">
        <f>Tabela46[[#This Row],[GASTO MÊS]]*12</f>
        <v>600000</v>
      </c>
      <c r="T50" s="5">
        <f>'Planejamento Financeiro'!$C$38-V50</f>
        <v>50000</v>
      </c>
    </row>
    <row r="51" spans="15:20" x14ac:dyDescent="0.25">
      <c r="O51" s="2">
        <f t="shared" si="1"/>
        <v>47</v>
      </c>
      <c r="P51" s="2">
        <f>Tabela46[[#This Row],[ANO]]+'Planejamento Financeiro'!$M$14</f>
        <v>97</v>
      </c>
      <c r="Q51" s="5">
        <f t="shared" si="4"/>
        <v>-166211558.50631735</v>
      </c>
      <c r="R51" s="5">
        <f>'Planejamento Financeiro'!$C$26*Tabela46[[#This Row],[PL]]+('Planejamento Financeiro'!$C$32*12)</f>
        <v>-11101677.681365341</v>
      </c>
      <c r="S51" s="3">
        <f>Tabela46[[#This Row],[GASTO MÊS]]*12</f>
        <v>600000</v>
      </c>
      <c r="T51" s="5">
        <f>'Planejamento Financeiro'!$C$38-V51</f>
        <v>50000</v>
      </c>
    </row>
    <row r="52" spans="15:20" x14ac:dyDescent="0.25">
      <c r="O52" s="2">
        <f t="shared" si="1"/>
        <v>48</v>
      </c>
      <c r="P52" s="2">
        <f>Tabela46[[#This Row],[ANO]]+'Planejamento Financeiro'!$M$14</f>
        <v>98</v>
      </c>
      <c r="Q52" s="5">
        <f t="shared" si="4"/>
        <v>-177913236.18768269</v>
      </c>
      <c r="R52" s="5">
        <f>'Planejamento Financeiro'!$C$26*Tabela46[[#This Row],[PL]]+('Planejamento Financeiro'!$C$32*12)</f>
        <v>-11883261.435932007</v>
      </c>
      <c r="S52" s="3">
        <f>Tabela46[[#This Row],[GASTO MÊS]]*12</f>
        <v>600000</v>
      </c>
      <c r="T52" s="5">
        <f>'Planejamento Financeiro'!$C$38-V52</f>
        <v>50000</v>
      </c>
    </row>
    <row r="53" spans="15:20" x14ac:dyDescent="0.25">
      <c r="O53" s="2">
        <f t="shared" si="1"/>
        <v>49</v>
      </c>
      <c r="P53" s="2">
        <f>Tabela46[[#This Row],[ANO]]+'Planejamento Financeiro'!$M$14</f>
        <v>99</v>
      </c>
      <c r="Q53" s="5">
        <f t="shared" si="4"/>
        <v>-190396497.6236147</v>
      </c>
      <c r="R53" s="5">
        <f>'Planejamento Financeiro'!$C$26*Tabela46[[#This Row],[PL]]+('Planejamento Financeiro'!$C$32*12)</f>
        <v>-12717049.086558409</v>
      </c>
      <c r="S53" s="3">
        <f>Tabela46[[#This Row],[GASTO MÊS]]*12</f>
        <v>600000</v>
      </c>
      <c r="T53" s="5">
        <f>'Planejamento Financeiro'!$C$38-V53</f>
        <v>50000</v>
      </c>
    </row>
    <row r="54" spans="15:20" x14ac:dyDescent="0.25">
      <c r="O54" s="2">
        <f t="shared" si="1"/>
        <v>50</v>
      </c>
      <c r="P54" s="2">
        <f>Tabela46[[#This Row],[ANO]]+'Planejamento Financeiro'!$M$14</f>
        <v>100</v>
      </c>
      <c r="Q54" s="5">
        <f t="shared" si="4"/>
        <v>-203713546.7101731</v>
      </c>
      <c r="R54" s="5">
        <f>'Planejamento Financeiro'!$C$26*Tabela46[[#This Row],[PL]]+('Planejamento Financeiro'!$C$32*12)</f>
        <v>-13606527.459509667</v>
      </c>
      <c r="S54" s="3">
        <f>Tabela46[[#This Row],[GASTO MÊS]]*12</f>
        <v>600000</v>
      </c>
      <c r="T54" s="5">
        <f>'Planejamento Financeiro'!$C$38-V54</f>
        <v>50000</v>
      </c>
    </row>
  </sheetData>
  <pageMargins left="0.511811024" right="0.511811024" top="0.78740157499999996" bottom="0.78740157499999996" header="0.31496062000000002" footer="0.31496062000000002"/>
  <pageSetup paperSize="9" orientation="portrait" verticalDpi="30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6"/>
  <dimension ref="A1:C5"/>
  <sheetViews>
    <sheetView showGridLines="0" workbookViewId="0">
      <selection activeCell="A36" sqref="A36"/>
    </sheetView>
  </sheetViews>
  <sheetFormatPr defaultRowHeight="15" x14ac:dyDescent="0.25"/>
  <cols>
    <col min="1" max="1" width="33.85546875" bestFit="1" customWidth="1"/>
    <col min="2" max="2" width="12.140625" bestFit="1" customWidth="1"/>
    <col min="3" max="3" width="7" bestFit="1" customWidth="1"/>
  </cols>
  <sheetData>
    <row r="1" spans="1:3" ht="30" x14ac:dyDescent="0.25">
      <c r="A1" s="60" t="s">
        <v>42</v>
      </c>
      <c r="B1" t="s">
        <v>37</v>
      </c>
      <c r="C1" t="s">
        <v>38</v>
      </c>
    </row>
    <row r="2" spans="1:3" x14ac:dyDescent="0.25">
      <c r="A2">
        <v>1.4999999999999999E-2</v>
      </c>
      <c r="B2" t="s">
        <v>39</v>
      </c>
      <c r="C2">
        <v>6.7500000000000004E-2</v>
      </c>
    </row>
    <row r="3" spans="1:3" x14ac:dyDescent="0.25">
      <c r="A3">
        <v>0.03</v>
      </c>
      <c r="B3" t="s">
        <v>7</v>
      </c>
      <c r="C3">
        <v>8.249999999999999E-2</v>
      </c>
    </row>
    <row r="4" spans="1:3" x14ac:dyDescent="0.25">
      <c r="A4">
        <v>0.05</v>
      </c>
      <c r="B4" t="s">
        <v>40</v>
      </c>
      <c r="C4">
        <v>0.10249999999999999</v>
      </c>
    </row>
    <row r="5" spans="1:3" x14ac:dyDescent="0.25">
      <c r="A5">
        <v>0.08</v>
      </c>
      <c r="B5" t="s">
        <v>41</v>
      </c>
      <c r="C5">
        <v>0.13250000000000001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9A18969AF6C2E46B7FD734E9ED9DCAB" ma:contentTypeVersion="16" ma:contentTypeDescription="Crie um novo documento." ma:contentTypeScope="" ma:versionID="e924efaf90d66d3f42bc30bedccb0b3f">
  <xsd:schema xmlns:xsd="http://www.w3.org/2001/XMLSchema" xmlns:xs="http://www.w3.org/2001/XMLSchema" xmlns:p="http://schemas.microsoft.com/office/2006/metadata/properties" xmlns:ns2="cf870a7a-5f56-4e0b-aac1-6c44e4161f45" xmlns:ns3="6e04eee9-383a-4b8c-bf02-1b17214a4c7a" targetNamespace="http://schemas.microsoft.com/office/2006/metadata/properties" ma:root="true" ma:fieldsID="a820b738566b4ca02492366fdca1dae9" ns2:_="" ns3:_="">
    <xsd:import namespace="cf870a7a-5f56-4e0b-aac1-6c44e4161f45"/>
    <xsd:import namespace="6e04eee9-383a-4b8c-bf02-1b17214a4c7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870a7a-5f56-4e0b-aac1-6c44e4161f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e0f821ba-9ef2-4ce0-ab91-3295ab383a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4eee9-383a-4b8c-bf02-1b17214a4c7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b84cfb5e-241e-485a-9712-33d0a1396f43}" ma:internalName="TaxCatchAll" ma:showField="CatchAllData" ma:web="6e04eee9-383a-4b8c-bf02-1b17214a4c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04eee9-383a-4b8c-bf02-1b17214a4c7a" xsi:nil="true"/>
    <lcf76f155ced4ddcb4097134ff3c332f xmlns="cf870a7a-5f56-4e0b-aac1-6c44e4161f4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ADAEC3A-328A-49D9-9509-73D2C71DF96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E8EB9F-BAF6-4B0D-A0A4-735A2CEA66D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277545E-55AB-4A87-9589-F7EF8A1F1D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870a7a-5f56-4e0b-aac1-6c44e4161f45"/>
    <ds:schemaRef ds:uri="6e04eee9-383a-4b8c-bf02-1b17214a4c7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679A9B8-5D8F-43B5-BB72-C730B8B8CAB7}">
  <ds:schemaRefs>
    <ds:schemaRef ds:uri="http://schemas.microsoft.com/office/2006/metadata/properties"/>
    <ds:schemaRef ds:uri="http://schemas.microsoft.com/office/infopath/2007/PartnerControls"/>
    <ds:schemaRef ds:uri="6e04eee9-383a-4b8c-bf02-1b17214a4c7a"/>
    <ds:schemaRef ds:uri="cf870a7a-5f56-4e0b-aac1-6c44e4161f4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Planejamento Financeiro</vt:lpstr>
      <vt:lpstr>Base Dash acum</vt:lpstr>
      <vt:lpstr>Perfil de Risco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Back Office</dc:creator>
  <cp:keywords/>
  <dc:description/>
  <cp:lastModifiedBy>Ted Jordao Duarte</cp:lastModifiedBy>
  <cp:revision/>
  <dcterms:created xsi:type="dcterms:W3CDTF">2021-09-14T14:13:42Z</dcterms:created>
  <dcterms:modified xsi:type="dcterms:W3CDTF">2023-01-23T11:19:03Z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1332612180</vt:lpwstr>
  </property>
  <property fmtid="{D5CDD505-2E9C-101B-9397-08002B2CF9AE}" pid="3" name="EcoUpdateMessage">
    <vt:lpwstr>2022/03/24-18:03:00</vt:lpwstr>
  </property>
  <property fmtid="{D5CDD505-2E9C-101B-9397-08002B2CF9AE}" pid="4" name="EcoUpdateStatus">
    <vt:lpwstr>2022-03-23=BRA:St,ME,Fd,TP;USA:St,ME,TP;ARG:St,ME,TP;MEX:St,ME,Fd,TP;CHL:St,ME,Fd;GBR:St,ME;COL:St,ME,Fd;PER:St,ME,Fd|2022-03-22=ARG:Fd;PER:TP|2021-11-17=CHL:TP|2014-02-26=VEN:St|2002-11-08=JPN:St|2016-08-18=NNN:St|2007-01-31=ESP:St|2003-01-29=CHN:St|2003</vt:lpwstr>
  </property>
  <property fmtid="{D5CDD505-2E9C-101B-9397-08002B2CF9AE}" pid="5" name="ContentTypeId">
    <vt:lpwstr>0x01010079A18969AF6C2E46B7FD734E9ED9DCAB</vt:lpwstr>
  </property>
  <property fmtid="{D5CDD505-2E9C-101B-9397-08002B2CF9AE}" pid="6" name="MediaServiceImageTags">
    <vt:lpwstr/>
  </property>
</Properties>
</file>